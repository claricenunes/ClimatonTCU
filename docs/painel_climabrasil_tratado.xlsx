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uis.mlima\Documents\Climaton\"/>
    </mc:Choice>
  </mc:AlternateContent>
  <xr:revisionPtr revIDLastSave="0" documentId="13_ncr:1_{DAD405BC-CAE3-42DB-A557-70C07A18DB8E}" xr6:coauthVersionLast="47" xr6:coauthVersionMax="47" xr10:uidLastSave="{00000000-0000-0000-0000-000000000000}"/>
  <bookViews>
    <workbookView xWindow="28680" yWindow="-120" windowWidth="29040" windowHeight="15720" tabRatio="500" activeTab="1" xr2:uid="{00000000-000D-0000-FFFF-FFFF00000000}"/>
  </bookViews>
  <sheets>
    <sheet name="Leia-me" sheetId="1" r:id="rId1"/>
    <sheet name="Resumo por Ente" sheetId="2" r:id="rId2"/>
    <sheet name="Resumo por Pilar" sheetId="3" r:id="rId3"/>
    <sheet name="Dado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M1399" i="4" l="1"/>
  <c r="M1398" i="4"/>
  <c r="M1397" i="4"/>
  <c r="M1396" i="4"/>
  <c r="M1395" i="4"/>
  <c r="M1394" i="4"/>
  <c r="M1393" i="4"/>
  <c r="M1392" i="4"/>
  <c r="M1391" i="4"/>
  <c r="M1390" i="4"/>
  <c r="M1389" i="4"/>
  <c r="M1388" i="4"/>
  <c r="M1387" i="4"/>
  <c r="M1386" i="4"/>
  <c r="M1385" i="4"/>
  <c r="M1384" i="4"/>
  <c r="M1383" i="4"/>
  <c r="M1382" i="4"/>
  <c r="M1381" i="4"/>
  <c r="M1380" i="4"/>
  <c r="M1379" i="4"/>
  <c r="M1378" i="4"/>
  <c r="M1377" i="4"/>
  <c r="M1376" i="4"/>
  <c r="M1375" i="4"/>
  <c r="M1374" i="4"/>
  <c r="M1373" i="4"/>
  <c r="M1372" i="4"/>
  <c r="M1371" i="4"/>
  <c r="M1370" i="4"/>
  <c r="M1369" i="4"/>
  <c r="M1368" i="4"/>
  <c r="M1367" i="4"/>
  <c r="M1366" i="4"/>
  <c r="M1365" i="4"/>
  <c r="M1364" i="4"/>
  <c r="M1363" i="4"/>
  <c r="M1362" i="4"/>
  <c r="M1361" i="4"/>
  <c r="M1360" i="4"/>
  <c r="M1359" i="4"/>
  <c r="M1358" i="4"/>
  <c r="M1357" i="4"/>
  <c r="M1356" i="4"/>
  <c r="M1355" i="4"/>
  <c r="M1354" i="4"/>
  <c r="M1353" i="4"/>
  <c r="M1352" i="4"/>
  <c r="F50" i="2" s="1"/>
  <c r="M1351" i="4"/>
  <c r="M1350" i="4"/>
  <c r="M1349" i="4"/>
  <c r="M1348" i="4"/>
  <c r="M1347" i="4"/>
  <c r="M1346" i="4"/>
  <c r="M1345" i="4"/>
  <c r="M1344" i="4"/>
  <c r="M1343" i="4"/>
  <c r="M1342" i="4"/>
  <c r="M1341" i="4"/>
  <c r="M1340" i="4"/>
  <c r="M1339" i="4"/>
  <c r="M1338" i="4"/>
  <c r="M1337" i="4"/>
  <c r="M1336" i="4"/>
  <c r="M1335" i="4"/>
  <c r="M1334" i="4"/>
  <c r="M1333" i="4"/>
  <c r="M1332" i="4"/>
  <c r="M1331" i="4"/>
  <c r="M1330" i="4"/>
  <c r="M1329" i="4"/>
  <c r="M1328" i="4"/>
  <c r="M1327" i="4"/>
  <c r="M1326" i="4"/>
  <c r="M1325" i="4"/>
  <c r="M1324" i="4"/>
  <c r="M1323" i="4"/>
  <c r="M1322" i="4"/>
  <c r="M1321" i="4"/>
  <c r="M1320" i="4"/>
  <c r="M1319" i="4"/>
  <c r="M1318" i="4"/>
  <c r="M1317" i="4"/>
  <c r="M1316" i="4"/>
  <c r="M1315" i="4"/>
  <c r="M1314" i="4"/>
  <c r="M1313" i="4"/>
  <c r="M1312" i="4"/>
  <c r="M1311" i="4"/>
  <c r="M1310" i="4"/>
  <c r="M1309" i="4"/>
  <c r="M1308" i="4"/>
  <c r="M1307" i="4"/>
  <c r="M1306" i="4"/>
  <c r="F49" i="2" s="1"/>
  <c r="M1305" i="4"/>
  <c r="M1304" i="4"/>
  <c r="M1303" i="4"/>
  <c r="M1302" i="4"/>
  <c r="M1301" i="4"/>
  <c r="M1300" i="4"/>
  <c r="M1299" i="4"/>
  <c r="M1298" i="4"/>
  <c r="M1297" i="4"/>
  <c r="M1296" i="4"/>
  <c r="M1295" i="4"/>
  <c r="M1294" i="4"/>
  <c r="M1293" i="4"/>
  <c r="M1292" i="4"/>
  <c r="F48" i="2" s="1"/>
  <c r="M1291" i="4"/>
  <c r="M1290" i="4"/>
  <c r="M1289" i="4"/>
  <c r="M1288" i="4"/>
  <c r="M1287" i="4"/>
  <c r="M1286" i="4"/>
  <c r="M1285" i="4"/>
  <c r="M1284" i="4"/>
  <c r="M1283" i="4"/>
  <c r="M1282" i="4"/>
  <c r="M1281" i="4"/>
  <c r="M1280" i="4"/>
  <c r="M1279" i="4"/>
  <c r="M1278" i="4"/>
  <c r="M1277" i="4"/>
  <c r="M1276" i="4"/>
  <c r="M1275" i="4"/>
  <c r="M1274" i="4"/>
  <c r="M1273" i="4"/>
  <c r="M1272" i="4"/>
  <c r="M1271" i="4"/>
  <c r="M1270" i="4"/>
  <c r="M1269" i="4"/>
  <c r="M1268" i="4"/>
  <c r="F25" i="2" s="1"/>
  <c r="M1267" i="4"/>
  <c r="M1266" i="4"/>
  <c r="M1265" i="4"/>
  <c r="M1264" i="4"/>
  <c r="M1263" i="4"/>
  <c r="M1262" i="4"/>
  <c r="M1261" i="4"/>
  <c r="M1260" i="4"/>
  <c r="M1259" i="4"/>
  <c r="M1258" i="4"/>
  <c r="M1257" i="4"/>
  <c r="M1256" i="4"/>
  <c r="F24" i="2" s="1"/>
  <c r="M1255" i="4"/>
  <c r="M1254" i="4"/>
  <c r="M1253" i="4"/>
  <c r="M1252" i="4"/>
  <c r="M1251" i="4"/>
  <c r="M1250" i="4"/>
  <c r="M1249" i="4"/>
  <c r="M1248" i="4"/>
  <c r="M1247" i="4"/>
  <c r="M1246" i="4"/>
  <c r="M1245" i="4"/>
  <c r="M1244" i="4"/>
  <c r="M1243" i="4"/>
  <c r="M1242" i="4"/>
  <c r="M1241" i="4"/>
  <c r="M1240" i="4"/>
  <c r="M1239" i="4"/>
  <c r="M1238" i="4"/>
  <c r="M1237" i="4"/>
  <c r="M1236" i="4"/>
  <c r="M1235" i="4"/>
  <c r="M1234" i="4"/>
  <c r="M1233" i="4"/>
  <c r="M1232" i="4"/>
  <c r="F47" i="2" s="1"/>
  <c r="M1231" i="4"/>
  <c r="M1230" i="4"/>
  <c r="M1229" i="4"/>
  <c r="M1228" i="4"/>
  <c r="M1227" i="4"/>
  <c r="M1226" i="4"/>
  <c r="M1225" i="4"/>
  <c r="M1224" i="4"/>
  <c r="M1223" i="4"/>
  <c r="M1222" i="4"/>
  <c r="M1221" i="4"/>
  <c r="M1220" i="4"/>
  <c r="F23" i="2" s="1"/>
  <c r="M1219" i="4"/>
  <c r="M1218" i="4"/>
  <c r="M1217" i="4"/>
  <c r="M1216" i="4"/>
  <c r="M1215" i="4"/>
  <c r="M1214" i="4"/>
  <c r="M1213" i="4"/>
  <c r="M1212" i="4"/>
  <c r="M1211" i="4"/>
  <c r="M1210" i="4"/>
  <c r="M1209" i="4"/>
  <c r="M1208" i="4"/>
  <c r="M1207" i="4"/>
  <c r="M1206" i="4"/>
  <c r="M1205" i="4"/>
  <c r="M1204" i="4"/>
  <c r="M1203" i="4"/>
  <c r="M1202" i="4"/>
  <c r="M1201" i="4"/>
  <c r="M1200" i="4"/>
  <c r="M1199" i="4"/>
  <c r="M1198" i="4"/>
  <c r="M1197" i="4"/>
  <c r="M1196" i="4"/>
  <c r="F22" i="2" s="1"/>
  <c r="M1195" i="4"/>
  <c r="M1194" i="4"/>
  <c r="M1193" i="4"/>
  <c r="M1192" i="4"/>
  <c r="M1191" i="4"/>
  <c r="M1190" i="4"/>
  <c r="M1189" i="4"/>
  <c r="M1188" i="4"/>
  <c r="M1187" i="4"/>
  <c r="M1186" i="4"/>
  <c r="M1185" i="4"/>
  <c r="M1184" i="4"/>
  <c r="M1183" i="4"/>
  <c r="M1182" i="4"/>
  <c r="M1181" i="4"/>
  <c r="M1180" i="4"/>
  <c r="M1179" i="4"/>
  <c r="M1178" i="4"/>
  <c r="M1177" i="4"/>
  <c r="M1176" i="4"/>
  <c r="M1175" i="4"/>
  <c r="M1174" i="4"/>
  <c r="M1173" i="4"/>
  <c r="M1172" i="4"/>
  <c r="M1171" i="4"/>
  <c r="M1170" i="4"/>
  <c r="M1169" i="4"/>
  <c r="M1168" i="4"/>
  <c r="M1167" i="4"/>
  <c r="M1166" i="4"/>
  <c r="M1165" i="4"/>
  <c r="M1164" i="4"/>
  <c r="M1163" i="4"/>
  <c r="M1162" i="4"/>
  <c r="M1161" i="4"/>
  <c r="M1160" i="4"/>
  <c r="F21" i="2" s="1"/>
  <c r="M1159" i="4"/>
  <c r="M1158" i="4"/>
  <c r="M1157" i="4"/>
  <c r="M1156" i="4"/>
  <c r="M1155" i="4"/>
  <c r="M1154" i="4"/>
  <c r="M1153" i="4"/>
  <c r="M1152" i="4"/>
  <c r="M1151" i="4"/>
  <c r="M1150" i="4"/>
  <c r="M1149" i="4"/>
  <c r="M1148" i="4"/>
  <c r="M1147" i="4"/>
  <c r="M1146" i="4"/>
  <c r="M1145" i="4"/>
  <c r="M1144" i="4"/>
  <c r="M1143" i="4"/>
  <c r="M1142" i="4"/>
  <c r="M1141" i="4"/>
  <c r="M1140" i="4"/>
  <c r="M1139" i="4"/>
  <c r="M1138" i="4"/>
  <c r="M1137" i="4"/>
  <c r="M1136" i="4"/>
  <c r="F20" i="2" s="1"/>
  <c r="M1135" i="4"/>
  <c r="M1134" i="4"/>
  <c r="M1133" i="4"/>
  <c r="M1132" i="4"/>
  <c r="M1131" i="4"/>
  <c r="M1130" i="4"/>
  <c r="M1129" i="4"/>
  <c r="M1128" i="4"/>
  <c r="M1127" i="4"/>
  <c r="M1126" i="4"/>
  <c r="M1125" i="4"/>
  <c r="M1124" i="4"/>
  <c r="F19" i="2" s="1"/>
  <c r="M1123" i="4"/>
  <c r="M1122" i="4"/>
  <c r="M1121" i="4"/>
  <c r="M1120" i="4"/>
  <c r="M1119" i="4"/>
  <c r="M1118" i="4"/>
  <c r="M1117" i="4"/>
  <c r="M1116" i="4"/>
  <c r="M1115" i="4"/>
  <c r="M1114" i="4"/>
  <c r="M1113" i="4"/>
  <c r="M1112" i="4"/>
  <c r="M1111" i="4"/>
  <c r="M1110" i="4"/>
  <c r="M1109" i="4"/>
  <c r="M1108" i="4"/>
  <c r="M1107" i="4"/>
  <c r="M1106" i="4"/>
  <c r="M1105" i="4"/>
  <c r="M1104" i="4"/>
  <c r="M1103" i="4"/>
  <c r="M1102" i="4"/>
  <c r="M1101" i="4"/>
  <c r="M1100" i="4"/>
  <c r="F45" i="2" s="1"/>
  <c r="M1099" i="4"/>
  <c r="M1098" i="4"/>
  <c r="M1097" i="4"/>
  <c r="M1096" i="4"/>
  <c r="M1095" i="4"/>
  <c r="M1094" i="4"/>
  <c r="M1093" i="4"/>
  <c r="M1092" i="4"/>
  <c r="M1091" i="4"/>
  <c r="M1090" i="4"/>
  <c r="M1089" i="4"/>
  <c r="M1088" i="4"/>
  <c r="M1087" i="4"/>
  <c r="M1086" i="4"/>
  <c r="M1085" i="4"/>
  <c r="M1084" i="4"/>
  <c r="M1083" i="4"/>
  <c r="M1082" i="4"/>
  <c r="M1081" i="4"/>
  <c r="M1080" i="4"/>
  <c r="M1079" i="4"/>
  <c r="M1078" i="4"/>
  <c r="M1077" i="4"/>
  <c r="M1076" i="4"/>
  <c r="M1075" i="4"/>
  <c r="M1074" i="4"/>
  <c r="M1073" i="4"/>
  <c r="M1072" i="4"/>
  <c r="M1071" i="4"/>
  <c r="M1070" i="4"/>
  <c r="M1069" i="4"/>
  <c r="M1068" i="4"/>
  <c r="M1067" i="4"/>
  <c r="M1066" i="4"/>
  <c r="M1065" i="4"/>
  <c r="M1064" i="4"/>
  <c r="F43" i="2" s="1"/>
  <c r="M1063" i="4"/>
  <c r="M1062" i="4"/>
  <c r="M1061" i="4"/>
  <c r="M1060" i="4"/>
  <c r="M1059" i="4"/>
  <c r="M1058" i="4"/>
  <c r="M1057" i="4"/>
  <c r="M1056" i="4"/>
  <c r="M1055" i="4"/>
  <c r="M1054" i="4"/>
  <c r="M1053" i="4"/>
  <c r="M1052" i="4"/>
  <c r="M1051" i="4"/>
  <c r="M1050" i="4"/>
  <c r="M1049" i="4"/>
  <c r="M1048" i="4"/>
  <c r="M1047" i="4"/>
  <c r="M1046" i="4"/>
  <c r="M1045" i="4"/>
  <c r="M1044" i="4"/>
  <c r="M1043" i="4"/>
  <c r="M1042" i="4"/>
  <c r="M1041" i="4"/>
  <c r="M1040" i="4"/>
  <c r="F42" i="2" s="1"/>
  <c r="M1039" i="4"/>
  <c r="M1038" i="4"/>
  <c r="M1037" i="4"/>
  <c r="M1036" i="4"/>
  <c r="M1035" i="4"/>
  <c r="M1034" i="4"/>
  <c r="M1033" i="4"/>
  <c r="M1032" i="4"/>
  <c r="M1031" i="4"/>
  <c r="M1030" i="4"/>
  <c r="M1029" i="4"/>
  <c r="M1028" i="4"/>
  <c r="F18" i="2" s="1"/>
  <c r="M1027" i="4"/>
  <c r="M1026" i="4"/>
  <c r="M1025" i="4"/>
  <c r="M1024" i="4"/>
  <c r="M1023" i="4"/>
  <c r="M1022" i="4"/>
  <c r="M1021" i="4"/>
  <c r="M1020" i="4"/>
  <c r="M1019" i="4"/>
  <c r="M1018" i="4"/>
  <c r="M1017" i="4"/>
  <c r="M1016" i="4"/>
  <c r="M1015" i="4"/>
  <c r="M1014" i="4"/>
  <c r="M1013" i="4"/>
  <c r="M1012" i="4"/>
  <c r="M1011" i="4"/>
  <c r="M1010" i="4"/>
  <c r="M1009" i="4"/>
  <c r="M1008" i="4"/>
  <c r="M1007" i="4"/>
  <c r="M1006" i="4"/>
  <c r="M1005" i="4"/>
  <c r="M1004" i="4"/>
  <c r="F17" i="2" s="1"/>
  <c r="M1003" i="4"/>
  <c r="M1002" i="4"/>
  <c r="M1001" i="4"/>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F15" i="2" s="1"/>
  <c r="M967" i="4"/>
  <c r="M966" i="4"/>
  <c r="M965" i="4"/>
  <c r="M964" i="4"/>
  <c r="M963" i="4"/>
  <c r="M962" i="4"/>
  <c r="M961" i="4"/>
  <c r="M960" i="4"/>
  <c r="M959" i="4"/>
  <c r="M958" i="4"/>
  <c r="M957" i="4"/>
  <c r="M956" i="4"/>
  <c r="M955" i="4"/>
  <c r="M954" i="4"/>
  <c r="M953" i="4"/>
  <c r="M952" i="4"/>
  <c r="M951" i="4"/>
  <c r="M950" i="4"/>
  <c r="M949" i="4"/>
  <c r="M948" i="4"/>
  <c r="M947" i="4"/>
  <c r="M946" i="4"/>
  <c r="M945" i="4"/>
  <c r="M944" i="4"/>
  <c r="F14" i="2" s="1"/>
  <c r="M943" i="4"/>
  <c r="M942" i="4"/>
  <c r="M941" i="4"/>
  <c r="M940" i="4"/>
  <c r="M939" i="4"/>
  <c r="M938" i="4"/>
  <c r="M937" i="4"/>
  <c r="M936" i="4"/>
  <c r="M935" i="4"/>
  <c r="M934" i="4"/>
  <c r="M933" i="4"/>
  <c r="M932" i="4"/>
  <c r="F41" i="2" s="1"/>
  <c r="M931" i="4"/>
  <c r="M930" i="4"/>
  <c r="M929" i="4"/>
  <c r="M928" i="4"/>
  <c r="M927" i="4"/>
  <c r="M926" i="4"/>
  <c r="M925" i="4"/>
  <c r="M924" i="4"/>
  <c r="M923" i="4"/>
  <c r="M922" i="4"/>
  <c r="M921" i="4"/>
  <c r="M920" i="4"/>
  <c r="M919" i="4"/>
  <c r="M918" i="4"/>
  <c r="M917" i="4"/>
  <c r="M916" i="4"/>
  <c r="M915" i="4"/>
  <c r="M914" i="4"/>
  <c r="M913" i="4"/>
  <c r="M912" i="4"/>
  <c r="M911" i="4"/>
  <c r="M910" i="4"/>
  <c r="M909" i="4"/>
  <c r="M908" i="4"/>
  <c r="F40" i="2" s="1"/>
  <c r="M907" i="4"/>
  <c r="M906" i="4"/>
  <c r="M905" i="4"/>
  <c r="M904" i="4"/>
  <c r="M903" i="4"/>
  <c r="M902" i="4"/>
  <c r="M901" i="4"/>
  <c r="M900" i="4"/>
  <c r="M899" i="4"/>
  <c r="M898" i="4"/>
  <c r="M897" i="4"/>
  <c r="M896" i="4"/>
  <c r="F13" i="2" s="1"/>
  <c r="M895" i="4"/>
  <c r="M894" i="4"/>
  <c r="M893" i="4"/>
  <c r="M892" i="4"/>
  <c r="M891" i="4"/>
  <c r="M890" i="4"/>
  <c r="M889" i="4"/>
  <c r="M888" i="4"/>
  <c r="M887" i="4"/>
  <c r="M886" i="4"/>
  <c r="M885" i="4"/>
  <c r="M884" i="4"/>
  <c r="M883" i="4"/>
  <c r="M882" i="4"/>
  <c r="M881" i="4"/>
  <c r="M880" i="4"/>
  <c r="M879" i="4"/>
  <c r="M878" i="4"/>
  <c r="M877" i="4"/>
  <c r="M876" i="4"/>
  <c r="M875" i="4"/>
  <c r="M874" i="4"/>
  <c r="M873" i="4"/>
  <c r="M872" i="4"/>
  <c r="F12" i="2" s="1"/>
  <c r="M871" i="4"/>
  <c r="M870" i="4"/>
  <c r="M869" i="4"/>
  <c r="M868" i="4"/>
  <c r="M867" i="4"/>
  <c r="M866" i="4"/>
  <c r="M865" i="4"/>
  <c r="M864" i="4"/>
  <c r="M863" i="4"/>
  <c r="M862" i="4"/>
  <c r="M861" i="4"/>
  <c r="M860" i="4"/>
  <c r="F11" i="2" s="1"/>
  <c r="M859" i="4"/>
  <c r="M858" i="4"/>
  <c r="M857" i="4"/>
  <c r="M856" i="4"/>
  <c r="M855" i="4"/>
  <c r="M854" i="4"/>
  <c r="M853" i="4"/>
  <c r="M852" i="4"/>
  <c r="M851" i="4"/>
  <c r="M850" i="4"/>
  <c r="M849" i="4"/>
  <c r="M848" i="4"/>
  <c r="M847" i="4"/>
  <c r="M846" i="4"/>
  <c r="M845" i="4"/>
  <c r="M844" i="4"/>
  <c r="M843" i="4"/>
  <c r="M842" i="4"/>
  <c r="M841" i="4"/>
  <c r="M840" i="4"/>
  <c r="M839" i="4"/>
  <c r="M838" i="4"/>
  <c r="M837" i="4"/>
  <c r="M836" i="4"/>
  <c r="F10" i="2" s="1"/>
  <c r="M835" i="4"/>
  <c r="M834" i="4"/>
  <c r="M833" i="4"/>
  <c r="M832" i="4"/>
  <c r="M831" i="4"/>
  <c r="M830" i="4"/>
  <c r="M829" i="4"/>
  <c r="M828" i="4"/>
  <c r="M827" i="4"/>
  <c r="M826" i="4"/>
  <c r="M825" i="4"/>
  <c r="M824" i="4"/>
  <c r="M823" i="4"/>
  <c r="M822" i="4"/>
  <c r="M821" i="4"/>
  <c r="M820" i="4"/>
  <c r="M819" i="4"/>
  <c r="M818" i="4"/>
  <c r="M817" i="4"/>
  <c r="M816" i="4"/>
  <c r="M815" i="4"/>
  <c r="M814" i="4"/>
  <c r="M813" i="4"/>
  <c r="M812" i="4"/>
  <c r="F39" i="2" s="1"/>
  <c r="M811" i="4"/>
  <c r="M810" i="4"/>
  <c r="M809" i="4"/>
  <c r="M808" i="4"/>
  <c r="M807" i="4"/>
  <c r="M806" i="4"/>
  <c r="M805" i="4"/>
  <c r="M804" i="4"/>
  <c r="M803" i="4"/>
  <c r="M802" i="4"/>
  <c r="M801" i="4"/>
  <c r="M800" i="4"/>
  <c r="F38" i="2" s="1"/>
  <c r="M799" i="4"/>
  <c r="M798" i="4"/>
  <c r="M797" i="4"/>
  <c r="M796" i="4"/>
  <c r="M795" i="4"/>
  <c r="M794" i="4"/>
  <c r="M793" i="4"/>
  <c r="M792" i="4"/>
  <c r="M791" i="4"/>
  <c r="M790" i="4"/>
  <c r="M789" i="4"/>
  <c r="M788" i="4"/>
  <c r="M787" i="4"/>
  <c r="M786" i="4"/>
  <c r="M785" i="4"/>
  <c r="M784" i="4"/>
  <c r="M783" i="4"/>
  <c r="M782" i="4"/>
  <c r="M781" i="4"/>
  <c r="M780" i="4"/>
  <c r="M779" i="4"/>
  <c r="M778" i="4"/>
  <c r="M777" i="4"/>
  <c r="M776" i="4"/>
  <c r="E37" i="2" s="1"/>
  <c r="M775" i="4"/>
  <c r="M774" i="4"/>
  <c r="M773" i="4"/>
  <c r="M772" i="4"/>
  <c r="M771" i="4"/>
  <c r="M770" i="4"/>
  <c r="M769" i="4"/>
  <c r="M768" i="4"/>
  <c r="M767" i="4"/>
  <c r="M766" i="4"/>
  <c r="M765" i="4"/>
  <c r="M764" i="4"/>
  <c r="F36" i="2" s="1"/>
  <c r="M763" i="4"/>
  <c r="M762" i="4"/>
  <c r="M761" i="4"/>
  <c r="M760" i="4"/>
  <c r="M759" i="4"/>
  <c r="M758" i="4"/>
  <c r="M757" i="4"/>
  <c r="M756" i="4"/>
  <c r="M755" i="4"/>
  <c r="M754" i="4"/>
  <c r="M753" i="4"/>
  <c r="M752" i="4"/>
  <c r="M751" i="4"/>
  <c r="M750" i="4"/>
  <c r="M749" i="4"/>
  <c r="M748" i="4"/>
  <c r="M747" i="4"/>
  <c r="M746" i="4"/>
  <c r="M745" i="4"/>
  <c r="M744" i="4"/>
  <c r="M743" i="4"/>
  <c r="M742" i="4"/>
  <c r="M741" i="4"/>
  <c r="M740" i="4"/>
  <c r="F9" i="2" s="1"/>
  <c r="M739" i="4"/>
  <c r="M738" i="4"/>
  <c r="M737" i="4"/>
  <c r="M736" i="4"/>
  <c r="M735" i="4"/>
  <c r="M734" i="4"/>
  <c r="M733" i="4"/>
  <c r="M732" i="4"/>
  <c r="M731" i="4"/>
  <c r="M730" i="4"/>
  <c r="M729" i="4"/>
  <c r="M728" i="4"/>
  <c r="F35" i="2" s="1"/>
  <c r="M727" i="4"/>
  <c r="M726" i="4"/>
  <c r="M725" i="4"/>
  <c r="M724" i="4"/>
  <c r="M723" i="4"/>
  <c r="M722" i="4"/>
  <c r="M721" i="4"/>
  <c r="M720" i="4"/>
  <c r="M719" i="4"/>
  <c r="M718" i="4"/>
  <c r="M717" i="4"/>
  <c r="M716" i="4"/>
  <c r="M715" i="4"/>
  <c r="M714" i="4"/>
  <c r="M713" i="4"/>
  <c r="M712" i="4"/>
  <c r="M711" i="4"/>
  <c r="M710" i="4"/>
  <c r="M709" i="4"/>
  <c r="M708" i="4"/>
  <c r="M707" i="4"/>
  <c r="M706" i="4"/>
  <c r="M705" i="4"/>
  <c r="M704" i="4"/>
  <c r="E34" i="2" s="1"/>
  <c r="M703" i="4"/>
  <c r="M702" i="4"/>
  <c r="M701" i="4"/>
  <c r="M700" i="4"/>
  <c r="M699" i="4"/>
  <c r="M698" i="4"/>
  <c r="M697" i="4"/>
  <c r="M696" i="4"/>
  <c r="M695" i="4"/>
  <c r="M694" i="4"/>
  <c r="M693" i="4"/>
  <c r="M692" i="4"/>
  <c r="M691" i="4"/>
  <c r="M690" i="4"/>
  <c r="M689" i="4"/>
  <c r="M688" i="4"/>
  <c r="M687" i="4"/>
  <c r="M686" i="4"/>
  <c r="M685" i="4"/>
  <c r="M684" i="4"/>
  <c r="M683" i="4"/>
  <c r="M682" i="4"/>
  <c r="M681" i="4"/>
  <c r="M680" i="4"/>
  <c r="F8" i="2" s="1"/>
  <c r="M679" i="4"/>
  <c r="M678" i="4"/>
  <c r="M677" i="4"/>
  <c r="M676" i="4"/>
  <c r="M675" i="4"/>
  <c r="M674" i="4"/>
  <c r="M673" i="4"/>
  <c r="M672" i="4"/>
  <c r="M671" i="4"/>
  <c r="M670" i="4"/>
  <c r="M669" i="4"/>
  <c r="M668" i="4"/>
  <c r="F33" i="2" s="1"/>
  <c r="M667" i="4"/>
  <c r="M666" i="4"/>
  <c r="M665" i="4"/>
  <c r="M664" i="4"/>
  <c r="M663" i="4"/>
  <c r="M662" i="4"/>
  <c r="M661" i="4"/>
  <c r="M660" i="4"/>
  <c r="M659" i="4"/>
  <c r="M658" i="4"/>
  <c r="M657" i="4"/>
  <c r="M656" i="4"/>
  <c r="M655" i="4"/>
  <c r="M654" i="4"/>
  <c r="M653" i="4"/>
  <c r="M652" i="4"/>
  <c r="M651" i="4"/>
  <c r="M650" i="4"/>
  <c r="M649" i="4"/>
  <c r="M648" i="4"/>
  <c r="M647" i="4"/>
  <c r="M646" i="4"/>
  <c r="M645" i="4"/>
  <c r="M644" i="4"/>
  <c r="F32" i="2" s="1"/>
  <c r="M643" i="4"/>
  <c r="M642" i="4"/>
  <c r="M641" i="4"/>
  <c r="M640" i="4"/>
  <c r="M639" i="4"/>
  <c r="M638" i="4"/>
  <c r="M637" i="4"/>
  <c r="M636" i="4"/>
  <c r="M635" i="4"/>
  <c r="M634" i="4"/>
  <c r="M633" i="4"/>
  <c r="M632" i="4"/>
  <c r="F7" i="2" s="1"/>
  <c r="M631" i="4"/>
  <c r="M630" i="4"/>
  <c r="M629" i="4"/>
  <c r="M628" i="4"/>
  <c r="M627" i="4"/>
  <c r="M626" i="4"/>
  <c r="M625" i="4"/>
  <c r="M624" i="4"/>
  <c r="M623" i="4"/>
  <c r="M622" i="4"/>
  <c r="M621" i="4"/>
  <c r="M620" i="4"/>
  <c r="M619" i="4"/>
  <c r="M618" i="4"/>
  <c r="M617" i="4"/>
  <c r="M616" i="4"/>
  <c r="M615" i="4"/>
  <c r="M614" i="4"/>
  <c r="M613" i="4"/>
  <c r="M612" i="4"/>
  <c r="M611" i="4"/>
  <c r="M610" i="4"/>
  <c r="M609" i="4"/>
  <c r="M608" i="4"/>
  <c r="F31" i="2" s="1"/>
  <c r="M607" i="4"/>
  <c r="M606" i="4"/>
  <c r="M605" i="4"/>
  <c r="M604" i="4"/>
  <c r="M603" i="4"/>
  <c r="M602" i="4"/>
  <c r="M601" i="4"/>
  <c r="M600" i="4"/>
  <c r="M599" i="4"/>
  <c r="M598" i="4"/>
  <c r="M597" i="4"/>
  <c r="M596" i="4"/>
  <c r="F30" i="2" s="1"/>
  <c r="M595" i="4"/>
  <c r="M594" i="4"/>
  <c r="M593" i="4"/>
  <c r="M592" i="4"/>
  <c r="M591" i="4"/>
  <c r="M590" i="4"/>
  <c r="M589" i="4"/>
  <c r="M588" i="4"/>
  <c r="M587" i="4"/>
  <c r="M586" i="4"/>
  <c r="M585" i="4"/>
  <c r="M584" i="4"/>
  <c r="M583" i="4"/>
  <c r="M582" i="4"/>
  <c r="M581" i="4"/>
  <c r="M580" i="4"/>
  <c r="M579" i="4"/>
  <c r="M578" i="4"/>
  <c r="M577" i="4"/>
  <c r="M576" i="4"/>
  <c r="M575" i="4"/>
  <c r="M574" i="4"/>
  <c r="M573" i="4"/>
  <c r="M572" i="4"/>
  <c r="F29" i="2" s="1"/>
  <c r="M571" i="4"/>
  <c r="M570" i="4"/>
  <c r="M569" i="4"/>
  <c r="M568" i="4"/>
  <c r="M567" i="4"/>
  <c r="M566" i="4"/>
  <c r="M565" i="4"/>
  <c r="M564" i="4"/>
  <c r="M563" i="4"/>
  <c r="M562" i="4"/>
  <c r="M561" i="4"/>
  <c r="M560" i="4"/>
  <c r="M559" i="4"/>
  <c r="M558" i="4"/>
  <c r="M557" i="4"/>
  <c r="M556" i="4"/>
  <c r="M555" i="4"/>
  <c r="M554" i="4"/>
  <c r="M553" i="4"/>
  <c r="M552" i="4"/>
  <c r="M551" i="4"/>
  <c r="M550" i="4"/>
  <c r="M549" i="4"/>
  <c r="M548" i="4"/>
  <c r="E28" i="2" s="1"/>
  <c r="M547" i="4"/>
  <c r="M546" i="4"/>
  <c r="M545" i="4"/>
  <c r="M544" i="4"/>
  <c r="M543" i="4"/>
  <c r="M542" i="4"/>
  <c r="M541" i="4"/>
  <c r="M540" i="4"/>
  <c r="M539" i="4"/>
  <c r="M538" i="4"/>
  <c r="M537" i="4"/>
  <c r="M536" i="4"/>
  <c r="F6" i="2" s="1"/>
  <c r="M535" i="4"/>
  <c r="M534" i="4"/>
  <c r="M533" i="4"/>
  <c r="M532" i="4"/>
  <c r="M531" i="4"/>
  <c r="M530" i="4"/>
  <c r="M529" i="4"/>
  <c r="M528" i="4"/>
  <c r="M527" i="4"/>
  <c r="M526" i="4"/>
  <c r="M525" i="4"/>
  <c r="M524" i="4"/>
  <c r="F10" i="3" s="1"/>
  <c r="M523" i="4"/>
  <c r="M522" i="4"/>
  <c r="M521" i="4"/>
  <c r="M520" i="4"/>
  <c r="M519" i="4"/>
  <c r="M518" i="4"/>
  <c r="M517" i="4"/>
  <c r="M516" i="4"/>
  <c r="M515" i="4"/>
  <c r="M514" i="4"/>
  <c r="M513" i="4"/>
  <c r="M512" i="4"/>
  <c r="F5" i="2" s="1"/>
  <c r="M511" i="4"/>
  <c r="M510" i="4"/>
  <c r="M509" i="4"/>
  <c r="M508" i="4"/>
  <c r="M507" i="4"/>
  <c r="M506" i="4"/>
  <c r="M505" i="4"/>
  <c r="M504" i="4"/>
  <c r="M503" i="4"/>
  <c r="M502" i="4"/>
  <c r="M501" i="4"/>
  <c r="M500" i="4"/>
  <c r="F8" i="3" s="1"/>
  <c r="M499" i="4"/>
  <c r="M498" i="4"/>
  <c r="M497" i="4"/>
  <c r="M496" i="4"/>
  <c r="M495" i="4"/>
  <c r="M494" i="4"/>
  <c r="M493" i="4"/>
  <c r="M492" i="4"/>
  <c r="M491" i="4"/>
  <c r="M490" i="4"/>
  <c r="M489" i="4"/>
  <c r="M488" i="4"/>
  <c r="F11" i="3" s="1"/>
  <c r="M487" i="4"/>
  <c r="M486" i="4"/>
  <c r="M485" i="4"/>
  <c r="M484" i="4"/>
  <c r="M483" i="4"/>
  <c r="M482" i="4"/>
  <c r="M481" i="4"/>
  <c r="M480" i="4"/>
  <c r="M479" i="4"/>
  <c r="M478" i="4"/>
  <c r="M477" i="4"/>
  <c r="M476" i="4"/>
  <c r="D3" i="2" s="1"/>
  <c r="M475" i="4"/>
  <c r="M474" i="4"/>
  <c r="M473" i="4"/>
  <c r="M472" i="4"/>
  <c r="M471" i="4"/>
  <c r="M470" i="4"/>
  <c r="M469" i="4"/>
  <c r="M468" i="4"/>
  <c r="M467" i="4"/>
  <c r="M466" i="4"/>
  <c r="M465" i="4"/>
  <c r="M464" i="4"/>
  <c r="F9" i="3" s="1"/>
  <c r="M463" i="4"/>
  <c r="M462" i="4"/>
  <c r="M461" i="4"/>
  <c r="M460" i="4"/>
  <c r="M459" i="4"/>
  <c r="M458" i="4"/>
  <c r="M457" i="4"/>
  <c r="M456" i="4"/>
  <c r="M455" i="4"/>
  <c r="M454" i="4"/>
  <c r="M453" i="4"/>
  <c r="M452" i="4"/>
  <c r="F5" i="3" s="1"/>
  <c r="M451" i="4"/>
  <c r="M450" i="4"/>
  <c r="M449" i="4"/>
  <c r="M448" i="4"/>
  <c r="M447" i="4"/>
  <c r="M446" i="4"/>
  <c r="M445" i="4"/>
  <c r="M444" i="4"/>
  <c r="M443" i="4"/>
  <c r="G51" i="2" s="1"/>
  <c r="M442" i="4"/>
  <c r="M441" i="4"/>
  <c r="M440" i="4"/>
  <c r="G27" i="2" s="1"/>
  <c r="M439" i="4"/>
  <c r="M438" i="4"/>
  <c r="M437" i="4"/>
  <c r="M436" i="4"/>
  <c r="M435" i="4"/>
  <c r="M434" i="4"/>
  <c r="M433" i="4"/>
  <c r="M432" i="4"/>
  <c r="M431" i="4"/>
  <c r="M430" i="4"/>
  <c r="M429" i="4"/>
  <c r="M428" i="4"/>
  <c r="G50" i="2" s="1"/>
  <c r="M427" i="4"/>
  <c r="M426" i="4"/>
  <c r="M425" i="4"/>
  <c r="M424" i="4"/>
  <c r="M423" i="4"/>
  <c r="M422" i="4"/>
  <c r="M421" i="4"/>
  <c r="M420" i="4"/>
  <c r="M419" i="4"/>
  <c r="M418" i="4"/>
  <c r="M417" i="4"/>
  <c r="M416" i="4"/>
  <c r="E49" i="2" s="1"/>
  <c r="M415" i="4"/>
  <c r="M414" i="4"/>
  <c r="M413" i="4"/>
  <c r="M412" i="4"/>
  <c r="M411" i="4"/>
  <c r="M410" i="4"/>
  <c r="M409" i="4"/>
  <c r="M408" i="4"/>
  <c r="M407" i="4"/>
  <c r="M406" i="4"/>
  <c r="M405" i="4"/>
  <c r="M404" i="4"/>
  <c r="G48" i="2" s="1"/>
  <c r="M403" i="4"/>
  <c r="M402" i="4"/>
  <c r="M401" i="4"/>
  <c r="M400" i="4"/>
  <c r="M399" i="4"/>
  <c r="M398" i="4"/>
  <c r="M397" i="4"/>
  <c r="M396" i="4"/>
  <c r="M395" i="4"/>
  <c r="M394" i="4"/>
  <c r="M393" i="4"/>
  <c r="M392" i="4"/>
  <c r="E25" i="2" s="1"/>
  <c r="M391" i="4"/>
  <c r="M390" i="4"/>
  <c r="M389" i="4"/>
  <c r="M388" i="4"/>
  <c r="M387" i="4"/>
  <c r="M386" i="4"/>
  <c r="M385" i="4"/>
  <c r="M384" i="4"/>
  <c r="M383" i="4"/>
  <c r="M382" i="4"/>
  <c r="M381" i="4"/>
  <c r="M380" i="4"/>
  <c r="G24" i="2" s="1"/>
  <c r="M379" i="4"/>
  <c r="M378" i="4"/>
  <c r="M377" i="4"/>
  <c r="M376" i="4"/>
  <c r="M375" i="4"/>
  <c r="M374" i="4"/>
  <c r="M373" i="4"/>
  <c r="M372" i="4"/>
  <c r="M371" i="4"/>
  <c r="G47" i="2" s="1"/>
  <c r="M370" i="4"/>
  <c r="M369" i="4"/>
  <c r="M368" i="4"/>
  <c r="E23" i="2" s="1"/>
  <c r="M367" i="4"/>
  <c r="M366" i="4"/>
  <c r="M365" i="4"/>
  <c r="M364" i="4"/>
  <c r="M363" i="4"/>
  <c r="M362" i="4"/>
  <c r="M361" i="4"/>
  <c r="M360" i="4"/>
  <c r="M359" i="4"/>
  <c r="M358" i="4"/>
  <c r="M357" i="4"/>
  <c r="M356" i="4"/>
  <c r="G22" i="2" s="1"/>
  <c r="M355" i="4"/>
  <c r="M354" i="4"/>
  <c r="M353" i="4"/>
  <c r="M352" i="4"/>
  <c r="M351" i="4"/>
  <c r="M350" i="4"/>
  <c r="M349" i="4"/>
  <c r="M348" i="4"/>
  <c r="M347" i="4"/>
  <c r="M346" i="4"/>
  <c r="M345" i="4"/>
  <c r="M344" i="4"/>
  <c r="G46" i="2" s="1"/>
  <c r="M343" i="4"/>
  <c r="M342" i="4"/>
  <c r="M341" i="4"/>
  <c r="M340" i="4"/>
  <c r="M339" i="4"/>
  <c r="M338" i="4"/>
  <c r="M337" i="4"/>
  <c r="M336" i="4"/>
  <c r="M335" i="4"/>
  <c r="M334" i="4"/>
  <c r="M333" i="4"/>
  <c r="M332" i="4"/>
  <c r="G20" i="2" s="1"/>
  <c r="M331" i="4"/>
  <c r="M330" i="4"/>
  <c r="M329" i="4"/>
  <c r="M328" i="4"/>
  <c r="M327" i="4"/>
  <c r="M326" i="4"/>
  <c r="M325" i="4"/>
  <c r="M324" i="4"/>
  <c r="M323" i="4"/>
  <c r="M322" i="4"/>
  <c r="M321" i="4"/>
  <c r="M320" i="4"/>
  <c r="G19" i="2" s="1"/>
  <c r="M319" i="4"/>
  <c r="M318" i="4"/>
  <c r="M317" i="4"/>
  <c r="M316" i="4"/>
  <c r="M315" i="4"/>
  <c r="M314" i="4"/>
  <c r="M313" i="4"/>
  <c r="M312" i="4"/>
  <c r="M311" i="4"/>
  <c r="M310" i="4"/>
  <c r="M309" i="4"/>
  <c r="M308" i="4"/>
  <c r="G45" i="2" s="1"/>
  <c r="M307" i="4"/>
  <c r="M306" i="4"/>
  <c r="M305" i="4"/>
  <c r="M304" i="4"/>
  <c r="M303" i="4"/>
  <c r="M302" i="4"/>
  <c r="M301" i="4"/>
  <c r="M300" i="4"/>
  <c r="M299" i="4"/>
  <c r="G44" i="2" s="1"/>
  <c r="M298" i="4"/>
  <c r="M297" i="4"/>
  <c r="M296" i="4"/>
  <c r="G43" i="2" s="1"/>
  <c r="M295" i="4"/>
  <c r="M294" i="4"/>
  <c r="M293" i="4"/>
  <c r="M292" i="4"/>
  <c r="M291" i="4"/>
  <c r="M290" i="4"/>
  <c r="M289" i="4"/>
  <c r="M288" i="4"/>
  <c r="M287" i="4"/>
  <c r="M286" i="4"/>
  <c r="M285" i="4"/>
  <c r="M284" i="4"/>
  <c r="D42" i="2" s="1"/>
  <c r="M283" i="4"/>
  <c r="M282" i="4"/>
  <c r="M281" i="4"/>
  <c r="M280" i="4"/>
  <c r="M279" i="4"/>
  <c r="M278" i="4"/>
  <c r="M277" i="4"/>
  <c r="M276" i="4"/>
  <c r="M275" i="4"/>
  <c r="M274" i="4"/>
  <c r="M273" i="4"/>
  <c r="M272" i="4"/>
  <c r="D18" i="2" s="1"/>
  <c r="M271" i="4"/>
  <c r="M270" i="4"/>
  <c r="M269" i="4"/>
  <c r="M268" i="4"/>
  <c r="M267" i="4"/>
  <c r="M266" i="4"/>
  <c r="M265" i="4"/>
  <c r="M264" i="4"/>
  <c r="M263" i="4"/>
  <c r="G17" i="2" s="1"/>
  <c r="M262" i="4"/>
  <c r="M261" i="4"/>
  <c r="M260" i="4"/>
  <c r="E16" i="2" s="1"/>
  <c r="M259" i="4"/>
  <c r="M258" i="4"/>
  <c r="M257" i="4"/>
  <c r="M256" i="4"/>
  <c r="M255" i="4"/>
  <c r="M254" i="4"/>
  <c r="M253" i="4"/>
  <c r="M252" i="4"/>
  <c r="M251" i="4"/>
  <c r="M250" i="4"/>
  <c r="M249" i="4"/>
  <c r="M248" i="4"/>
  <c r="G15" i="2" s="1"/>
  <c r="M247" i="4"/>
  <c r="M246" i="4"/>
  <c r="M245" i="4"/>
  <c r="M244" i="4"/>
  <c r="M243" i="4"/>
  <c r="M242" i="4"/>
  <c r="M241" i="4"/>
  <c r="M240" i="4"/>
  <c r="M239" i="4"/>
  <c r="M238" i="4"/>
  <c r="M237" i="4"/>
  <c r="M236" i="4"/>
  <c r="G14" i="2" s="1"/>
  <c r="M235" i="4"/>
  <c r="M234" i="4"/>
  <c r="M233" i="4"/>
  <c r="M232" i="4"/>
  <c r="M231" i="4"/>
  <c r="M230" i="4"/>
  <c r="M229" i="4"/>
  <c r="M228" i="4"/>
  <c r="M227" i="4"/>
  <c r="G41" i="2" s="1"/>
  <c r="M226" i="4"/>
  <c r="M225" i="4"/>
  <c r="M224" i="4"/>
  <c r="E40" i="2" s="1"/>
  <c r="M223" i="4"/>
  <c r="M222" i="4"/>
  <c r="M221" i="4"/>
  <c r="M220" i="4"/>
  <c r="M219" i="4"/>
  <c r="M218" i="4"/>
  <c r="M217" i="4"/>
  <c r="M216" i="4"/>
  <c r="M215" i="4"/>
  <c r="M214" i="4"/>
  <c r="M213" i="4"/>
  <c r="M212" i="4"/>
  <c r="E13" i="2" s="1"/>
  <c r="M211" i="4"/>
  <c r="M210" i="4"/>
  <c r="M209" i="4"/>
  <c r="M208" i="4"/>
  <c r="M207" i="4"/>
  <c r="M206" i="4"/>
  <c r="M205" i="4"/>
  <c r="M204" i="4"/>
  <c r="M203" i="4"/>
  <c r="M202" i="4"/>
  <c r="M201" i="4"/>
  <c r="M200" i="4"/>
  <c r="G12" i="2" s="1"/>
  <c r="M199" i="4"/>
  <c r="M198" i="4"/>
  <c r="M197" i="4"/>
  <c r="M196" i="4"/>
  <c r="M195" i="4"/>
  <c r="M194" i="4"/>
  <c r="M193" i="4"/>
  <c r="M192" i="4"/>
  <c r="M191" i="4"/>
  <c r="G11" i="2" s="1"/>
  <c r="M190" i="4"/>
  <c r="M189" i="4"/>
  <c r="M188" i="4"/>
  <c r="E10" i="2" s="1"/>
  <c r="M187" i="4"/>
  <c r="M186" i="4"/>
  <c r="M185" i="4"/>
  <c r="M184" i="4"/>
  <c r="M183" i="4"/>
  <c r="M182" i="4"/>
  <c r="M181" i="4"/>
  <c r="M180" i="4"/>
  <c r="M179" i="4"/>
  <c r="M178" i="4"/>
  <c r="M177" i="4"/>
  <c r="M176" i="4"/>
  <c r="G39" i="2" s="1"/>
  <c r="M175" i="4"/>
  <c r="M174" i="4"/>
  <c r="M173" i="4"/>
  <c r="M172" i="4"/>
  <c r="M171" i="4"/>
  <c r="M170" i="4"/>
  <c r="M169" i="4"/>
  <c r="M168" i="4"/>
  <c r="M167" i="4"/>
  <c r="M166" i="4"/>
  <c r="M165" i="4"/>
  <c r="M164" i="4"/>
  <c r="G38" i="2" s="1"/>
  <c r="M163" i="4"/>
  <c r="M162" i="4"/>
  <c r="M161" i="4"/>
  <c r="M160" i="4"/>
  <c r="M159" i="4"/>
  <c r="M158" i="4"/>
  <c r="M157" i="4"/>
  <c r="M156" i="4"/>
  <c r="M155" i="4"/>
  <c r="G37" i="2" s="1"/>
  <c r="M154" i="4"/>
  <c r="M153" i="4"/>
  <c r="M152" i="4"/>
  <c r="G36" i="2" s="1"/>
  <c r="M151" i="4"/>
  <c r="M150" i="4"/>
  <c r="M149" i="4"/>
  <c r="M148" i="4"/>
  <c r="M147" i="4"/>
  <c r="M146" i="4"/>
  <c r="M145" i="4"/>
  <c r="M144" i="4"/>
  <c r="M143" i="4"/>
  <c r="M142" i="4"/>
  <c r="M141" i="4"/>
  <c r="M140" i="4"/>
  <c r="D9" i="2" s="1"/>
  <c r="M139" i="4"/>
  <c r="M138" i="4"/>
  <c r="M137" i="4"/>
  <c r="M136" i="4"/>
  <c r="M135" i="4"/>
  <c r="M134" i="4"/>
  <c r="M133" i="4"/>
  <c r="M132" i="4"/>
  <c r="M131" i="4"/>
  <c r="M130" i="4"/>
  <c r="M129" i="4"/>
  <c r="M128" i="4"/>
  <c r="G35" i="2" s="1"/>
  <c r="M127" i="4"/>
  <c r="M126" i="4"/>
  <c r="M125" i="4"/>
  <c r="M124" i="4"/>
  <c r="M123" i="4"/>
  <c r="M122" i="4"/>
  <c r="M121" i="4"/>
  <c r="M120" i="4"/>
  <c r="M119" i="4"/>
  <c r="G34" i="2" s="1"/>
  <c r="M118" i="4"/>
  <c r="M117" i="4"/>
  <c r="M116" i="4"/>
  <c r="G8" i="2" s="1"/>
  <c r="M115" i="4"/>
  <c r="M114" i="4"/>
  <c r="M113" i="4"/>
  <c r="M112" i="4"/>
  <c r="M111" i="4"/>
  <c r="M110" i="4"/>
  <c r="M109" i="4"/>
  <c r="M108" i="4"/>
  <c r="M107" i="4"/>
  <c r="M106" i="4"/>
  <c r="M105" i="4"/>
  <c r="M104" i="4"/>
  <c r="G33" i="2" s="1"/>
  <c r="M103" i="4"/>
  <c r="M102" i="4"/>
  <c r="M101" i="4"/>
  <c r="M100" i="4"/>
  <c r="M99" i="4"/>
  <c r="M98" i="4"/>
  <c r="M97" i="4"/>
  <c r="M96" i="4"/>
  <c r="M95" i="4"/>
  <c r="M94" i="4"/>
  <c r="M93" i="4"/>
  <c r="M92" i="4"/>
  <c r="E32" i="2" s="1"/>
  <c r="M91" i="4"/>
  <c r="M90" i="4"/>
  <c r="M89" i="4"/>
  <c r="M88" i="4"/>
  <c r="M87" i="4"/>
  <c r="M86" i="4"/>
  <c r="M85" i="4"/>
  <c r="M84" i="4"/>
  <c r="M83" i="4"/>
  <c r="G7" i="2" s="1"/>
  <c r="M82" i="4"/>
  <c r="M81" i="4"/>
  <c r="M80" i="4"/>
  <c r="G31" i="2" s="1"/>
  <c r="M79" i="4"/>
  <c r="M78" i="4"/>
  <c r="M77" i="4"/>
  <c r="M76" i="4"/>
  <c r="M75" i="4"/>
  <c r="M74" i="4"/>
  <c r="M73" i="4"/>
  <c r="M72" i="4"/>
  <c r="M71" i="4"/>
  <c r="M70" i="4"/>
  <c r="M69" i="4"/>
  <c r="M68" i="4"/>
  <c r="D30" i="2" s="1"/>
  <c r="M67" i="4"/>
  <c r="M66" i="4"/>
  <c r="M65" i="4"/>
  <c r="M64" i="4"/>
  <c r="M63" i="4"/>
  <c r="M62" i="4"/>
  <c r="M61" i="4"/>
  <c r="M60" i="4"/>
  <c r="M59" i="4"/>
  <c r="M58" i="4"/>
  <c r="M57" i="4"/>
  <c r="M56" i="4"/>
  <c r="E29" i="2" s="1"/>
  <c r="M55" i="4"/>
  <c r="M54" i="4"/>
  <c r="M53" i="4"/>
  <c r="M52" i="4"/>
  <c r="M51" i="4"/>
  <c r="M50" i="4"/>
  <c r="M49" i="4"/>
  <c r="M48" i="4"/>
  <c r="M47" i="4"/>
  <c r="G28" i="2" s="1"/>
  <c r="M46" i="4"/>
  <c r="M45" i="4"/>
  <c r="M44" i="4"/>
  <c r="D6" i="2" s="1"/>
  <c r="M43" i="4"/>
  <c r="M42" i="4"/>
  <c r="M41" i="4"/>
  <c r="M40" i="4"/>
  <c r="M39" i="4"/>
  <c r="M38" i="4"/>
  <c r="M37" i="4"/>
  <c r="M36" i="4"/>
  <c r="M35" i="4"/>
  <c r="M34" i="4"/>
  <c r="M33" i="4"/>
  <c r="M32" i="4"/>
  <c r="D5" i="2" s="1"/>
  <c r="M31" i="4"/>
  <c r="M30" i="4"/>
  <c r="M29" i="4"/>
  <c r="M28" i="4"/>
  <c r="M27" i="4"/>
  <c r="M26" i="4"/>
  <c r="M25" i="4"/>
  <c r="M24" i="4"/>
  <c r="M23" i="4"/>
  <c r="M22" i="4"/>
  <c r="M21" i="4"/>
  <c r="M20" i="4"/>
  <c r="E4" i="2" s="1"/>
  <c r="M19" i="4"/>
  <c r="M18" i="4"/>
  <c r="M17" i="4"/>
  <c r="M16" i="4"/>
  <c r="M15" i="4"/>
  <c r="M14" i="4"/>
  <c r="M13" i="4"/>
  <c r="M12" i="4"/>
  <c r="M11" i="4"/>
  <c r="G3" i="2" s="1"/>
  <c r="M10" i="4"/>
  <c r="F4" i="3" s="1"/>
  <c r="M9" i="4"/>
  <c r="M8" i="4"/>
  <c r="G2" i="2" s="1"/>
  <c r="M7" i="4"/>
  <c r="M6" i="4"/>
  <c r="M5" i="4"/>
  <c r="M4" i="4"/>
  <c r="M3" i="4"/>
  <c r="M2" i="4"/>
  <c r="D11" i="3"/>
  <c r="D10" i="3"/>
  <c r="D9" i="3"/>
  <c r="D8" i="3"/>
  <c r="D7" i="3"/>
  <c r="D6" i="3"/>
  <c r="D5" i="3"/>
  <c r="D4" i="3"/>
  <c r="D3" i="3"/>
  <c r="D2" i="3"/>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 r="F27" i="2" l="1"/>
  <c r="D11" i="2"/>
  <c r="F51" i="2"/>
  <c r="E5" i="2"/>
  <c r="D10" i="2"/>
  <c r="E15" i="2"/>
  <c r="E6" i="2"/>
  <c r="D23" i="2"/>
  <c r="E30" i="2"/>
  <c r="D35" i="2"/>
  <c r="F44" i="2"/>
  <c r="F37" i="2"/>
  <c r="D44" i="2"/>
  <c r="G5" i="2"/>
  <c r="G29" i="2"/>
  <c r="F26" i="2"/>
  <c r="G10" i="2"/>
  <c r="E18" i="2"/>
  <c r="E51" i="2"/>
  <c r="D32" i="2"/>
  <c r="G32" i="2"/>
  <c r="F16" i="2"/>
  <c r="E3" i="2"/>
  <c r="D8" i="2"/>
  <c r="F3" i="2"/>
  <c r="E8" i="2"/>
  <c r="D20" i="2"/>
  <c r="E39" i="2"/>
  <c r="F46" i="2"/>
  <c r="E42" i="2"/>
  <c r="E10" i="3"/>
  <c r="E20" i="2"/>
  <c r="E27" i="2"/>
  <c r="F7" i="3"/>
  <c r="F34" i="2"/>
  <c r="D47" i="2"/>
  <c r="E11" i="2"/>
  <c r="D28" i="2"/>
  <c r="E35" i="2"/>
  <c r="D40" i="2"/>
  <c r="E47" i="2"/>
  <c r="G49" i="2"/>
  <c r="E2" i="3"/>
  <c r="E6" i="3"/>
  <c r="D21" i="2"/>
  <c r="G13" i="2"/>
  <c r="G25" i="2"/>
  <c r="G30" i="2"/>
  <c r="F4" i="2"/>
  <c r="E9" i="2"/>
  <c r="D14" i="2"/>
  <c r="E21" i="2"/>
  <c r="G23" i="2"/>
  <c r="D26" i="2"/>
  <c r="F28" i="2"/>
  <c r="E33" i="2"/>
  <c r="D38" i="2"/>
  <c r="E45" i="2"/>
  <c r="D50" i="2"/>
  <c r="G18" i="2"/>
  <c r="D33" i="2"/>
  <c r="G42" i="2"/>
  <c r="F2" i="3"/>
  <c r="D2" i="2"/>
  <c r="E2" i="2"/>
  <c r="D7" i="2"/>
  <c r="E14" i="2"/>
  <c r="G16" i="2"/>
  <c r="D19" i="2"/>
  <c r="E26" i="2"/>
  <c r="D31" i="2"/>
  <c r="E38" i="2"/>
  <c r="G40" i="2"/>
  <c r="D43" i="2"/>
  <c r="E50" i="2"/>
  <c r="E3" i="3"/>
  <c r="E7" i="3"/>
  <c r="E11" i="3"/>
  <c r="D4" i="2"/>
  <c r="D16" i="2"/>
  <c r="G6" i="2"/>
  <c r="D45" i="2"/>
  <c r="F6" i="3"/>
  <c r="G4" i="2"/>
  <c r="F2" i="2"/>
  <c r="E7" i="2"/>
  <c r="G9" i="2"/>
  <c r="D12" i="2"/>
  <c r="E19" i="2"/>
  <c r="G21" i="2"/>
  <c r="D24" i="2"/>
  <c r="E31" i="2"/>
  <c r="D36" i="2"/>
  <c r="E43" i="2"/>
  <c r="D48" i="2"/>
  <c r="F3" i="3"/>
  <c r="E12" i="2"/>
  <c r="D17" i="2"/>
  <c r="E24" i="2"/>
  <c r="G26" i="2"/>
  <c r="D29" i="2"/>
  <c r="E36" i="2"/>
  <c r="D41" i="2"/>
  <c r="E48" i="2"/>
  <c r="E17" i="2"/>
  <c r="D22" i="2"/>
  <c r="E41" i="2"/>
  <c r="D46" i="2"/>
  <c r="E4" i="3"/>
  <c r="E8" i="3"/>
  <c r="D34" i="2"/>
  <c r="D15" i="2"/>
  <c r="E22" i="2"/>
  <c r="D27" i="2"/>
  <c r="D39" i="2"/>
  <c r="E46" i="2"/>
  <c r="D51" i="2"/>
  <c r="D25" i="2"/>
  <c r="D37" i="2"/>
  <c r="E44" i="2"/>
  <c r="D49" i="2"/>
  <c r="E5" i="3"/>
  <c r="E9" i="3"/>
  <c r="D13" i="2"/>
</calcChain>
</file>

<file path=xl/sharedStrings.xml><?xml version="1.0" encoding="utf-8"?>
<sst xmlns="http://schemas.openxmlformats.org/spreadsheetml/2006/main" count="14087" uniqueCount="1503">
  <si>
    <t>Painel ClimaBrasil — Base de Dados Tratada</t>
  </si>
  <si>
    <t>Reconstrução e organização da base bruta 'pcb-raw-data' (TCU / ClimateScanner)</t>
  </si>
  <si>
    <t>O QUE FOI FEITO</t>
  </si>
  <si>
    <t>O arquivo original continha o CSV bruto do Painel ClimaBrasil colado em uma única coluna do Excel. Como vários</t>
  </si>
  <si>
    <t>comentários de auditores possuem quebras de linha dentro de campos entre aspas, o Excel havia fragmentado cada</t>
  </si>
  <si>
    <t>parágrafo em uma linha própria da planilha (5.399 linhas para o que deveriam ser ~1.400 registros). Os dados foram</t>
  </si>
  <si>
    <t>reconstruídos a partir do texto bruto, identificando o início de cada avaliação por seu padrão fixo de campos</t>
  </si>
  <si>
    <t>(id, eixo, data, versão, tipo de ente, nome, id do ente, componente, item, nota), separando corretamente cada</t>
  </si>
  <si>
    <t>registro em uma linha e preservando o comentário completo do auditor.</t>
  </si>
  <si>
    <t>ESTRUTURA DOS DADOS</t>
  </si>
  <si>
    <t>• 1.398 avaliações (1 linha = 1 item avaliado em 1 ente federativo)</t>
  </si>
  <si>
    <t>• 48 entes avaliados nesta base: estados/DF e capitais</t>
  </si>
  <si>
    <t>• Eixos presentes nesta base: Governança (G1 a G7) e Financiamento (F1 a F3)</t>
  </si>
  <si>
    <t xml:space="preserve">  Observação: o eixo 'Políticas Públicas' (P1 a P5) não constava no arquivo enviado. Se você tiver essa parte</t>
  </si>
  <si>
    <t xml:space="preserve">  da base, posso incluí-la seguindo a mesma estrutura.</t>
  </si>
  <si>
    <t>ESCALA DE NOTAS</t>
  </si>
  <si>
    <t>• Estágio avançado = 1,000</t>
  </si>
  <si>
    <t>• Estágio intermediário = 0,666</t>
  </si>
  <si>
    <t>• Estágio inicial = 0,333</t>
  </si>
  <si>
    <t>• Sem progresso = tratado como 0 na coluna calculada 'Nota Numérica'</t>
  </si>
  <si>
    <t>• Não avaliado / Não se aplica / Confidencial (não publicado) = excluído das médias</t>
  </si>
  <si>
    <t>ABAS DESTE ARQUIVO</t>
  </si>
  <si>
    <t>• Dados — base completa, uma linha por avaliação, com coluna calculada 'Nota Numérica' para uso em médias</t>
  </si>
  <si>
    <t>• Resumo por Ente — nº de itens avaliados e nota média (geral e por eixo) para cada estado/capital</t>
  </si>
  <si>
    <t>• Resumo por Pilar — nº de avaliações e nota média por componente/pilar (G1-G7, F1-F3)</t>
  </si>
  <si>
    <t>RESSALVA DE QUALIDADE DOS DADOS</t>
  </si>
  <si>
    <t>Em 92 dos 1.398 registros (6,6%), o comentário original do auditor continha aspas internas não escapadas</t>
  </si>
  <si>
    <t>corretamente no CSV de origem, o que pode deixar uma aspas isolada sobrando no início/fim do texto extraído.</t>
  </si>
  <si>
    <t>O conteúdo do comentário em si foi preservado; apenas a pontuação de abertura/fechamento pode estar levemente</t>
  </si>
  <si>
    <t>imprecisa nesses casos. Nenhum dado numérico (nota, data, entidade) foi afetado por esse problema.</t>
  </si>
  <si>
    <t>NOTA ADICIONAL</t>
  </si>
  <si>
    <t>Em 5 células de comentário (Amazonas G3-A, G4-C, G5-A, G6-C; Vitória G7-C), o texto contém a marca literal '#NAME?'. Isso já estava presente no arquivo original enviado (confirmado: 45 ocorrências no arquivo-fonte) — provavelmente um trecho iniciado por hífen foi interpretado como fórmula em uma edição anterior do arquivo e o conteúdo original não pôde ser recuperado. Não é um erro introduzido neste tratamento.</t>
  </si>
  <si>
    <t>Tipo de Ente</t>
  </si>
  <si>
    <t>Nome do Ente</t>
  </si>
  <si>
    <t>Nº de Registros</t>
  </si>
  <si>
    <t>Itens com Nota Válida</t>
  </si>
  <si>
    <t>Nota Média Geral</t>
  </si>
  <si>
    <t>Nota Média — Governança</t>
  </si>
  <si>
    <t>Nota Média — Financiamento</t>
  </si>
  <si>
    <t>Estado</t>
  </si>
  <si>
    <t>Acre</t>
  </si>
  <si>
    <t>Alagoas</t>
  </si>
  <si>
    <t>Amapá</t>
  </si>
  <si>
    <t>Amazonas</t>
  </si>
  <si>
    <t>Bahia</t>
  </si>
  <si>
    <t>Ceará</t>
  </si>
  <si>
    <t>Espírito Santo</t>
  </si>
  <si>
    <t>Goiás</t>
  </si>
  <si>
    <t>Maranhão</t>
  </si>
  <si>
    <t>Mato Grosso</t>
  </si>
  <si>
    <t>Mato Grosso do Sul</t>
  </si>
  <si>
    <t>Minas Gerais</t>
  </si>
  <si>
    <t>Paraná</t>
  </si>
  <si>
    <t>Paraíba</t>
  </si>
  <si>
    <t>Pará</t>
  </si>
  <si>
    <t>Pernambuco</t>
  </si>
  <si>
    <t>Piauí</t>
  </si>
  <si>
    <t>Rio Grande do Norte</t>
  </si>
  <si>
    <t>Rio Grande do Sul</t>
  </si>
  <si>
    <t>Rio de Janeiro</t>
  </si>
  <si>
    <t>Rondônia</t>
  </si>
  <si>
    <t>Roraima</t>
  </si>
  <si>
    <t>Santa Catarina</t>
  </si>
  <si>
    <t>Sergipe</t>
  </si>
  <si>
    <t>São Paulo</t>
  </si>
  <si>
    <t>Tocantins</t>
  </si>
  <si>
    <t>Município</t>
  </si>
  <si>
    <t>Belo Horizonte</t>
  </si>
  <si>
    <t>Belém</t>
  </si>
  <si>
    <t>Boa Vista</t>
  </si>
  <si>
    <t>Campo Grande</t>
  </si>
  <si>
    <t>Cuiabá</t>
  </si>
  <si>
    <t>Curitiba</t>
  </si>
  <si>
    <t>Florianópolis</t>
  </si>
  <si>
    <t>Fortaleza</t>
  </si>
  <si>
    <t>João Pessoa</t>
  </si>
  <si>
    <t>Macapá</t>
  </si>
  <si>
    <t>Maceió</t>
  </si>
  <si>
    <t>Manaus</t>
  </si>
  <si>
    <t>Natal</t>
  </si>
  <si>
    <t>Palmas</t>
  </si>
  <si>
    <t>Porto Alegre</t>
  </si>
  <si>
    <t>Porto Velho</t>
  </si>
  <si>
    <t>Recife</t>
  </si>
  <si>
    <t>Rio Branco</t>
  </si>
  <si>
    <t>Salvador</t>
  </si>
  <si>
    <t>São Luís</t>
  </si>
  <si>
    <t>Teresina</t>
  </si>
  <si>
    <t>Vitória</t>
  </si>
  <si>
    <t>Eixo</t>
  </si>
  <si>
    <t>Componente</t>
  </si>
  <si>
    <t>Pilar</t>
  </si>
  <si>
    <t>Nota Média</t>
  </si>
  <si>
    <t>Financiamento</t>
  </si>
  <si>
    <t>F1</t>
  </si>
  <si>
    <t>Finanças e gastos públicos</t>
  </si>
  <si>
    <t>F2</t>
  </si>
  <si>
    <t>Captação de recursos</t>
  </si>
  <si>
    <t>F3</t>
  </si>
  <si>
    <t>Mobilização de investimento privado</t>
  </si>
  <si>
    <t>Governança</t>
  </si>
  <si>
    <t>G1</t>
  </si>
  <si>
    <t>Quadro legal</t>
  </si>
  <si>
    <t>G2</t>
  </si>
  <si>
    <t>Estrutura governamental</t>
  </si>
  <si>
    <t>G3</t>
  </si>
  <si>
    <t>Gestão de riscos</t>
  </si>
  <si>
    <t>G4</t>
  </si>
  <si>
    <t>Coordenação horizontal e vertical</t>
  </si>
  <si>
    <t>G5</t>
  </si>
  <si>
    <t>Engajamento de partes interessadas</t>
  </si>
  <si>
    <t>G6</t>
  </si>
  <si>
    <t>Justiça climática</t>
  </si>
  <si>
    <t>G7</t>
  </si>
  <si>
    <t>Atuação do Legislativo, Judiciário e Controle</t>
  </si>
  <si>
    <t>ID Avaliação</t>
  </si>
  <si>
    <t>Item</t>
  </si>
  <si>
    <t>ID do Ente</t>
  </si>
  <si>
    <t>Data da Avaliação</t>
  </si>
  <si>
    <t>Versão</t>
  </si>
  <si>
    <t>Nota (Texto)</t>
  </si>
  <si>
    <t>Nota (Valor Original)</t>
  </si>
  <si>
    <t>Nota Numérica (p/ médias)</t>
  </si>
  <si>
    <t>Comentário do Auditor</t>
  </si>
  <si>
    <t>Justificativa de Confidencialidade</t>
  </si>
  <si>
    <t>Status</t>
  </si>
  <si>
    <t>A</t>
  </si>
  <si>
    <t>Versão de Avaliação 2025</t>
  </si>
  <si>
    <t>Estágio avançado</t>
  </si>
  <si>
    <t>No PPA é previsto um programa Específico 1460- Programa Ecossistema de Inivação Ambiental e Adaptação Climática, com orçamento em 2024: R$ 10.521.086,24 e 2025: R$ 10.856.375,97.
O Programa 1459 - Regularização, controle e monitoramento ambiental, prevê  o orçamento de 2024: R$ 11.157.652,57 - 2025: R$ 11.513.228,62 e tem como objetivo Desenvolver de forma ampla o monitoramento ambiental do estado do Acre (cobertura 
florestal, hidrometeorológico, queimadas, qualidade do ar e a dinâmica de uso e ocupação do solo).
Há também o programa Infraestrutura e mobilidade Urbana que prevê o orçamento de 2024: R$ 246.234.833,46 - 2025: R$ 254.081.932,93 e tem como OBJETIVO ESPECÍFICO 5: Implantação e Urbanização de Parques e OBJETIVO ESPECÍFICO 6:Preservação das Encostas de Rios e Igarapés
Programa 1453 - Saneia Acre, com objetivo de Ampliar a oferta de rede de distribuição de água potável e da rede coletora e de tratamento de esgoto em 
todos municípios do Estado. Orçamento previsto: 2024: R$ 62.277.884,85 - 2025: R$ 64.262.578,69</t>
  </si>
  <si>
    <t>P</t>
  </si>
  <si>
    <t>B</t>
  </si>
  <si>
    <t>Estágio intermediário</t>
  </si>
  <si>
    <t>No PPA é possível identificar programas com nomes relacionados ao clima, mas não um sistema de classificação em seu orçamento (Programa 1460 - Ecossistema de Inivação Ambiental e Adaptação Climática, em outros programas).  
Já na LOA 2025 pode-se identificar, mensurar e classificar gastos direcionados para ações climáticas, como por exemplo no Anexo 7 - Lei 2030: Código: 18.541.1460. Especificação: ECOSSISTEMA DE INOVAÇÃO AMBIENTAl e Adaptação Climática. Projetos: 15.225.268,48
Não foi possivel encontrar ações que possam contribuir negativamente para os objetivos climáticos.
Porém a LOA 2025,</t>
  </si>
  <si>
    <t>C</t>
  </si>
  <si>
    <t>Sem progresso</t>
  </si>
  <si>
    <t>Em algumas licitações no Acre, documentos como o DOF e o licenciamento de operação são exigidos para comprovar a origem e legalidade de produtos florestais. Embora não haja menção específica a um "selo verde" do Acre, o estado tem algumas poucas ações de sustentabilidade, como o Prêmio Socioambiental Chico Mendes. Porém, não foi possível constatar que esta seja uma pratica institucionalizada do Estado em sua rotina de contratações e compras.</t>
  </si>
  <si>
    <t>D</t>
  </si>
  <si>
    <t>"O portal de transparencia apresenta os dados orçamentários da gestão ambiental como um todo, não sendo possível discriminar os gastos em programas específicos. 
O acesso é feito pelo endereço www.acreppp.org, onde é possível encontrar de forma precisa indicadores de desmatamento - que registrou uma redução de 66% no período de 12 anos</t>
  </si>
  <si>
    <t>Governo do Acre alinha políticas públicas ambientais que serão executadas em parceria com governo federal e municípios.
O Acre aderiu ao projeto Floresta+ Amazônia, do Ministério de Meio Ambiente (MMA), e já deu início ao processo de adesão para que produtores rurais possam ser remunerados por manterem suas florestas em pé para além do exigido por lei.
O Governo do Acre tem estabelecido diversas parcerias com o governo federal para fortalecer políticas ambientais no estado, com foco na preservação da Amazônia e no combate ao desmatamento. Essas parcerias envolvem ações de regularização ambiental, restauração florestal, bioeconomia e enfrentamento aos efeitos das mudanças climáticas.
O Fundo Brasil-ONU é uma parceria estratégica entre o Consórcio da Amazônia Legal (CAL), a ONU Brasil e o governo federal, com o objetivo de apoiar a implementação de soluções sustentáveis e inclusivas para os desafios da Amazônia. O Acre foi contemplado pelo Fundo Brasil-ONU para a Amazônia. São mais de R$ 15 milhões que serão  investidos no fortalecimento da governança ambiental, na restauração florestal, segurança hídrica e na bioeconomia.
Não foi possível encontrar um mapeamento sistemático oportunidades de adesão.</t>
  </si>
  <si>
    <t>O Acre tem se destacado na adesão e implementação de programas e políticas federais relacionadas ao clima, com foco na redução do desmatamento, promoção da sustentabilidade e adaptação às mudanças climáticas. O estado tem recebido investimentos significativos do governo federal e parcerias internacionais para projetos ambientais, incluindo programas como REDD+ e a recuperação de áreas degradadas. 
O governo do Acre, por meio da Secretaria de Estado de Meio Ambiente (Sema), tem trabalhado para alinhar políticas públicas ambientais com o governo federal e os municípios.
O Programa REM e o Projeto Rumo ao Desmatamento Ilegal Zero com o Fundo Amazônia reafirmam a posição de vanguarda do Acre na proteção do meio ambiente. Juntas, essas iniciativas possibilitarão ao governo estadual empregar mais de R$ 138 milhões, no próximo ano, em ações de fortalecimento das políticas de sustentabilidade florestal e combate ao desmatamento ilegal.</t>
  </si>
  <si>
    <t>O governo do Acre, em colaboração com o governo federal, realiza o monitoramento da execução físico-financeira das políticas ambientais no estado. O governo do Acre tem parceria com o Ministério do Meio Ambiente (MMA) e municípios para o desenvolvimento de políticas públicas ambientais. 
Projetos como o "Pagamento por Serviços Ambientais (PSA) Agricultor" e o "Floresta+ Amazônia" são exemplos de iniciativas conjuntas. 
O estado também busca recursos de outras fontes, como o Fundo Amazônia, para financiar projetos de conservação ambiental. As ações de mobilização de investimentos são monitoradas com regularidade e as informações disponibilizadas e encontradas atendem parcialmente os atributos 2 e 3.
Os recursos do Programa REM ACre Fase II podem ser acompanhadas na página eletrônica do programa e são atualizadas e de fácil compreensão.</t>
  </si>
  <si>
    <t>Estágio inicial</t>
  </si>
  <si>
    <t>Acre capta mais de U$ 300 milhões para investimentos
Na Conferência das Nações Unidas sobre as Mudanças Climáticas (COP27), no Egito, o Estado do Acre prospectou mais de U$ 300 milhões que irão garantir investimentos em políticas de sustentabilidade para os próximos 4 anos. Com a U.S. Agency for International Development (Usaid), estão previstos mais de U$ 250 mil para desenvolvimento de projetos voltados para a sustentabilidade e o reflorestamento, para o fortalecimento de cadeias produtivas locais e melhoria da qualidade de vida daqueles que vivem na floresta.
 parceria foi firmada com a Noruega para captação de U$ 8 milhões destinados à recuperação de áreas degradadas, melhoramento do uso do solo, a diversificação da produção, a melhoria da geração de renda e dos serviços ambientais e ecossistêmicos. Já o fundo canadense se dispôs a investir U$ 30 milhões para ações voltadas para a bioeconomia.
A Mercuria Trading S.A., uma empresa privada suíça, se propôs a contribuir com as políticas de comando e controle do desmatamento e incêndios florestais, a fim de viabilizar a captação mais de U$ 2 milhões. O programa REM, financiado pelos governos alemão (Banco KfW) e inglês (Beis), disponibilizará mais de U$ 13 milhões para o Acre.
transparência e preparação da população.</t>
  </si>
  <si>
    <t>Não foram encontradas as ações de mobilização de investimento privado que sejam monitoradas regularmente e que a informação seja disponibilizada de forma a atender totalmente aos atributos de transparência, acessibilidade e usabilidade
Não foram localizadas evidências que demonstrem a existência de tal sistema de monitoramento e transparencia para o investimento privado.</t>
  </si>
  <si>
    <t>O PPA do Estado de Alagoas inclui o enfrentamento das mudanças climáticas como uma das suas diretrizes, alocando recursos em seus orçamentos anuais para ações ou iniciativas direcionadas ao enfrentamento da mudança do clima e seus impactos.
Dentre as ações, pode-se citar:
1 - OPERAR, MANTER E AMPLIAR A REDE DE ESTAÇÕES METEOROLÓGICAS, HIDROLÓGICAS E PLUVIOMÉTRICAS DO SISTEMA DE MONITORAMENTO DE DESASTRES NATURAIS NO ESTADO DE ALAGOAS.
2 - CONSTRUIR BARRAGENS E REALIZAR AÇÕES DE PREVENÇÕES DE DESASTRES AMBIENTAIS NAS BACIAS HIDROGRÁFICAS.
3 - CONSCIENTIZAR A POPULAÇÃO E DISSERMINAR INFORMAÇÕES SOBRE A IMPORTÂNCIA DE SE PRESERVAR O MEIO AMBIENTE.
4 - IMPLANTAR E PROMOVER A POLÍTICA DE EDUCAÇÃO AMBIENTAL NO ESTADO, GARANTINDO A CONSERVAÇÃO E A MANUTENÇÃO DA BIODIVERSIDADE, PROMOVENDO A CONSERVAÇÃO DOS SOLOS, A PRODUÇÃO AGRÍCOLA, A BIODIVERSIDADE E A CONVIVÊNCIA SUSTENTAVÉL COM A SEMIARIDEZ EM REGIÕES SUSCETÍVEIS À DESERTIFICAÇÃO, E PROMOVENDO DIRETRIZES GERAIS DE DISCIPLINAMENTO DE USO E OCUPAÇÃO NATURAL E ECONÔNICA DA ZONA COSTEIRA.
5 - ELABORAR O PLANO DE AÇÃO CLIMÁTICA, OBJETIVANDO CRIAR ESTRATÉGIAS VOLTADAS ÀS MUDANÇAS CLIMÁTICAS.
6 - MANTER A SALA DE ALERTA E O SISTEMA DE ALERTA CLIMÁTICO DE ALAGOAS.</t>
  </si>
  <si>
    <t>Conforme resposta do jurisdicionado ao RI, bem como após analisar o QDD 2024 e 2025, verifica-se que não há uma metodologia para identificar, mensurar e classificar os gastos direcionados a ações climáticas no orçamento. Os códigos ou rubricas são variados, não diferenciando os gastos diretos em ações climáticas de outros tipos de despesa administrativas ou setorial. Desse modo, não é possível o atendimento aos critérios de 1 a 4 da metodologia do Painel ClimaBrasil.</t>
  </si>
  <si>
    <t>A Lei nº 9.304/2024 estabelece como objetivos a redução das emissões de GEE e a promoção de ações de adaptação às mudanças climáticas, incluindo:
1. Implementação de ações de prevenção e adaptação às alterações produzidas pelos impactos das mudanças climáticas, visando proteger principalmente os estratos mais vulneráveis da população.
2. Promoção de compras e contratações sustentáveis pelo Poder Público, com base em critérios de sustentabilidade, em particular com vistas ao equilíbrio climático.
Neste mesmo sentido, o Estado de Alagoas tem investido na capacitação técnica para viabilizar a inclusão de critérios de sustentabilidade nas compras públicas. Destaca-se a exigência de Declaração de Sustentabilidade nos editais, conforme a lei 14.133/21
Por fim, o Selo Alagoas pelo Clima reconhece publicamente as organizações que realizam e registram seus inventários de emissões de GEE, promovendo a adoção de boas práticas e a descarbonização de seus processos.
Em relação aos critérios relacionados à redução de GEE e adaptação às mudanças climáticas nas compras públicas estaduais, há indicativos de ações concretas como a aquisição de Aquisição de Arla 32 para frota a diesel, a fim de reduzir emissões de óxidos de nitrogênio (NOx).</t>
  </si>
  <si>
    <t>Não há marcador climático no orçamento. Desse modo, este item fica prejudicado.
Ademais, as evidências apresentadas pelo ente jurisdicionado, bem como as pesquisas efetuadas pela Equipe de Auditoria em sites oficiais, não foram adequadas e suficientes para comprovar o atendimento aos critérios do item, conforme a Metodologia do Painel ClimaBrasil.</t>
  </si>
  <si>
    <t>AdaptaCidades: Adesão formalizada, com previsão de apoio técnico a municípios, mas sem publicação de plano de ação estadual
Plano ABC+ Alagoas: Lançado, porém ainda em fase inicial de execução (sem metas monitoradas publicamente)
No entanto, não há registro público de um mapeamento sistemático ou documento estadual que organize de forma integrada todas as oportunidades de financiamento climático, sejam federais, multilaterais (como GCF, BID, BNDES Fundo Clima) ou por meio de políticas setoriais.
Quanto a capacidade operacional, algumas ações são descentralizadas em diferentes secretarias/órgãos (Meio Ambiente, Infraestrutura, Agricultura, IMA), levando a atuações isoladas, o que dificulta a integração das informações geradas pelos diferentes atores.</t>
  </si>
  <si>
    <t>Conforme respostas fornecidas pelo jurisdicionado ao RI, na página 30: "Há iniciativas de apresentação de projetos em Brasília e captação de recursos (ex.: ações conjuntas com SERFI para transição energética e projetos estruturantes)".
Não foram fornecidos mapeamentos ou informações adicionais sobre os projetos/oportunidades de financiamento atualmente buscados/identificados pelo governo de Alagoas, sendo evidenciado apenas que havia iniciativas a serem apresentadas, mas nada concretizado até a presente avaliação.</t>
  </si>
  <si>
    <t>Não foram identificadas/fornecidas evidências de que há ações para a captação de recursos para execução de ações de política climática monitoradas de modo contínuo e/ou regular (ao menos uma vez).
Não foram identificados/fornecidas evidências de que há sistemas, relatórios, websites ou outras ferramentas ou plataformas específicas (mecanismos) que apresentem dados sobre a captação de recursos para execução de ações de política climática de modo contínuo, com dados atualizados e disponíveis para pesquisa e auditoria (transparência ativa).</t>
  </si>
  <si>
    <t>As evidências demonstram a existência de pelo menos dois mecanismos operacionais:
1. O Programa Cresce Alagoas, que oferece incentivos tributários.
2. O Programa Estadual de Pagamento por Serviços Ambientais (PROPSA), com editais lançados e em fase de pagamento.
Assim, há evidências de que o ente mobilizou recursos privados em ações que contribuem para o alcance dos objetivos climáticos (nos exercícios de 2024-2025). A EXIGEN 1, biorrefinaria pioneira de biocombustíveis sustentáveis avançados do Brasil, fruto de uma aliança estratégica entre GranBio, Usina Caeté, Usina Santo Antônio e Impacto Bioenergia, é responsável por atrair investimentos da ordem de R$ 1,5 bilhão até 2028.</t>
  </si>
  <si>
    <t>Não foram fornecidas evidências de atendimento a este critério pelo ente jurisdicionado. 
Também não ficou evidenciado se há ações para a mobilização de recursos privados para financiamento climático e, em havendo, se são monitoradas de modo contínuo e regular (ao menos uma vez ao ano) pelo Estado.</t>
  </si>
  <si>
    <t>O PPA 2024-2027 e a LOA 2025 preveem programas e ações alinhados ao ODS 13, como "Governança Ambiental Sustentável" e "Tesouro Verde", com dotações específicas para políticas de clima e serviços ambientais. Contudo, os valores são reduzidos frente ao orçamento total, concentram-se na área ambiental e não há Plano Estadual de Mudanças Climáticas plenamente integrado.</t>
  </si>
  <si>
    <t>O Estado do Amapá não possui mecanismos formais para identificar e rastrear despesas orçamentárias, diretas ou indiretas, relacionadas a ações de mitigação/adaptação ou prejudiciais aos objetivos climáticos. As dotações existentes no PPA e LOA não estão classificadas como "gasto climático" nem integradas a sistema de monitoramento específico e tampouco foi demonstrado pela SEMA/AP em resposta oficial.</t>
  </si>
  <si>
    <t>Embora o Estado do Amapá possua o Manual Prático de Contratações Sustentáveis e base legal que prevê a adoção de critérios ambientais e climáticos, não há evidências consolidadas de aplicação sistemática e monitorada desses critérios nos processos licitatórios. As iniciativas identificadas concentram-se em orientações gerais e exemplos, mas sem comprovação de que sejam incorporadas de forma rotineira nos editais, contratos e licitações.</t>
  </si>
  <si>
    <t>O Estado do Amapá disponibiliza receitas e despesas em formato aberto (CSV), com dados detalhados e atualizados, atendendo à transparência ativa. Contudo, não há categorização específica para gastos climáticos ou contratações emergenciais, nem linguagem simplificada ou metadados que facilitem a compreensão pelo cidadão,</t>
  </si>
  <si>
    <t>O Estado do Amapá demonstra capacidade de adesão a instrumentos e programas vinculados a planos climáticos e setoriais nacionais por meio da participação em iniciativas como o Programa de Consolidação do Pacto Nacional pela Gestão das Águas - Progestão e o Plano de Prevenção e Controle do Desmatamento na Amazônia Legal - PPCDAM. Devido à adesão comprovada e à implementação de medidas efetivas, mas com possibilidade de evolução para avançado mediante maior integração intersetorial e monitoramento ampliado.</t>
  </si>
  <si>
    <t>Há evidências de execução local com participação da SEMA e parceiros técnicos, demonstrando capacidade de captar e aplicar recursos externos. Contudo, a escala ainda é limitada e concentrada em poucos programas, sem portfólio diversificado e sistemático que envolva fundos nacionais como Fundo Clima ou operações com BNDES e GCF.</t>
  </si>
  <si>
    <t>Não foram identificadas evidências de mecanismos específicos e operacionais no Estado do Amapá para monitorar e divulgar de forma sistemática informações sobre o uso de recursos captados em financiamentos climáticos, nem sobre os resultados obtidos com sua aplicação.</t>
  </si>
  <si>
    <t>O Estado do Amapá aprovou a Lei nº 3.152/2024, que concede isenção de IPVA para veículos elétricos e híbridos até 2026, configurando incentivo fiscal climático. Além disso, o Estado dispõe do Programa Tesouro Verde, criado para promover a valoração de ativos ambientais e atrair recursos privados destinados à conservação e ao desenvolvimento sustentável.
Entretanto, o Tesouro Verde encontra-se paralisado desde o início de 2023, sem execução orçamentária, operacionalização de projetos ou evidências de resultados concretos. Dessa forma, embora haja mecanismos instituídos, a ausência de implementação prática</t>
  </si>
  <si>
    <t>Não foram identificadas evidências de que o Estado do Amapá possua mecanismos para monitorar a mobilização de financiamento climático privado ou para divulgar de forma sistemática os resultados obtidos com esses recursos. Não há registros públicos de relatórios, indicadores ou sistemas de acompanhamento específicos sobre investimentos privados em ações de mitigação ou adaptação.</t>
  </si>
  <si>
    <t>Apesar de constar no Orçamento de 2025, a ação "Serviços Ambientais, Adaptação e Mitigação às Mudanças do Clima", o valor orçamentário alocado é de apenas R$ 1.054,00"</t>
  </si>
  <si>
    <t>A estrutura apresentada no PPA possibilita apenas, identificar, mensurar e classificar os gastos direcionados a ações climaticas no orçamento.
Não é possível diferenciar recursos diretors ou outros tipos de despesas administrativas setoriais, bem como recursos indiretos que contribuam para os objetivos climáticos.</t>
  </si>
  <si>
    <t>O Estado adota em seus processos licitatórios, critérios de sustentabilidade.</t>
  </si>
  <si>
    <t>Não existem sistemas, relatórios ou websites que possibilitem a consulta a dados sobre o orçamento climático.</t>
  </si>
  <si>
    <t>O Estado desenvolve ações relevantes no combate ao desmatamento, por meio do PPCDQ-AM</t>
  </si>
  <si>
    <t>O Estado tem mapeadas fontes de recursos e utiliza vários instrumentos, por meio de projetos elaborados por seus técnicos, para acessá-los.</t>
  </si>
  <si>
    <t>Atende ao atributo 1 e parcialmente aos itens 1 e 2.</t>
  </si>
  <si>
    <t>Não há ações nesse sentido.</t>
  </si>
  <si>
    <t>"O PPA vigente (2024 - 2027) prevê a execução do Programa Meio Ambiente e Mudança do Clima, que, dentre outros, objetiva a implementação de ações de adaptação e mitigação das mudanças climáticas. Dentre as iniciativas previstas estão: implementar a Política Estadual de Mudança do Clima</t>
  </si>
  <si>
    <t>"Na LOA 2025, há ações de mitigação dos efeitos das mudanças climáticas: Implementar o plano Agricultura de Baixo Carbono ABC+Bahia (SDR)</t>
  </si>
  <si>
    <t>A Auditoria identificou normativos que estabelecem critérios de sustentabilidade nas contratações públicas estaduais, não havendo, especificamente, critérios relacionados à redução de GEE e adaptação à mudança do clima. O Estado sancionou sua nova Lei de Licitações e Contratos (Lei 14.634/2023), alinhando-se a Lei Federal 14.133/2021, estabelecendo o desenvolvimento sustentável como um dos seus princípios. Identificou-se o Decreto Estadual nº 14.692/2013, que instituiu o Programa Est. de Compras Públicas sustentáveis e o Decreto nº 22.598/2024, que trata da elaboração dos ETP's para aquisição de bens e contratação de serviços pelos órgãos e entidades da Adm. Pública direta, autárquica e fundacional do Executivo baiano, determinando, em seu Art. 6º, que dentre os elementos obrigatórios no ETP deverá estar presente "descrição de possíveis impactos ambientais e respectivas medidas mitigadoras, incluídos requisitos de baixo consumo de energia e de outros recursos, bem como logística reversa para desfazimento e reciclagem de bens e refugos, quando aplicável". Verificou-se, ainda, a Instrução Normativa SAEB nº 015/2014, que orienta sobre sustentabilidade ambiental na aquisição de bens e contratações de serviços de Tecnologia da Informação e Comunicação e a Instrução Normativa SAEB 003/2024, que orienta os órgãos e entidades do Executivo Estadual quanto à elaboração dos ETPs, prevendo, em anexo único, , modelo padronizado que expressamente exige a avaliação de impactos ambientais.</t>
  </si>
  <si>
    <t>Não existe, nos sites dos órgãos ambientais estaduais, uma transparência específica acerca das ações e gastos dentro da Política Estadual de Mudança do Clima (ou outras políticas estaduais ambientais). O que existe, no âmbito estadual, é o Portal da Transparência do Estado da Bahia (www.transparencia.ba.gov.br ), que oferece à sociedade uma consulta detalhada das despesas executadas pelo Poder Público, por ação orçamentária, inclusive aquelas vinculadas diretamente à política climática, a exemplo da Ação 3070 - Elaboração de Estudo de Mudança do Clima. Tal ferramenta digital oficial possibilita a pesquisa dos gastos ocorridos em programas estaduais, o que inclui as políticas públicas ambientais.</t>
  </si>
  <si>
    <t>"A Auditoria identificou programas e iniciativas da União destinados a mitigação e adaptação às mudanças climáticas. Dentre os principais, destacam-se a Política Nacional sobre Mudança do Clima, o Plano Clima, o Fundo Clima, o Plano de Ação Brasileiro de Combate à Desertificação e Mitigação dos Efeitos da Seca</t>
  </si>
  <si>
    <t>O Estado da Bahia não dispõe de mapeamento de oportunidades de financiamento para as ações climáticas, com identificação de linhas para projetos prioritários, com um planejamento estratégico para acesso a fontes externas. Segundo informado pela SEMA: "As articulações para obtenção de financiamentos destinados às ações climáticas são realizadas conforme a disponibilidade e as oportunidades apresentadas pelos editais e chamadas públicas. Como exemplo, destaca-se o Projeto Sertão Vivo, sob a administração da Companhia de Desenvolvimento e Ação Regional - CAR, lançado em julho de 2025, fruto de cooperação entre o Governo da Bahia, o Banco Nacional de Desenvolvimento Econômico e Social (BNDES), o Fundo Internacional de Desenvolvimento Agrícola (FIDA) e o Fundo Verde Clima.</t>
  </si>
  <si>
    <t>A SEMA, conforme transcrito a seguir, informou acerca da inexistência de mecanismos de monitoramento de captação de recursos: Atualmente, a Secretaria do Meio Ambiente não dispõe de mecanismo formal e sistematizado de monitoramento contínuo ou periódico específico para as ações de captação de recursos voltadas à política climática. No entanto, a Pasta reconhece a relevância desse instrumento para o fortalecimento da gestão ambiental e vem envidando esforços para estruturar procedimentos internos que possibilitem maior rastreabilidade e avaliação das iniciativas desenvolvidas. Diante disso, como parte do processo de aprimoramento da gestão, estão sendo avaliadas alternativas viáveis para organizar e reunir, de forma mais sistemática, as informações sobre projetos, parcerias e cooperações técnicas, de modo a facilitar o acompanhamento dessas iniciativas e subsidiar, de maneira mais eficiente, a tomada de decisões relacionadas às ações climáticas no Estado".</t>
  </si>
  <si>
    <t>Não foi apresentado mapeamento de possíveis oportunidades para incentivar empresas/cidadãos a investirem em ações para mitigação/adaptação das mudanças climáticas. Apesar disto, verificou-se que normativos foram publicados objetivando incentivar o uso de recursos privados em ações para produção/uso de energias renováveis. A Política Estadual de Incentivo à Geração e Aproveitamento de Energia Solar (Lei 13.914/2018) promove a racionalização do consumo energético e o uso de energia solar fotovoltaica, e tem, dentre seus objetivos, conceder incentivos fiscais/tributários às empresas que fabricam equipamentos geradores de energia alternativa. O Plano Estadual para a Economia do Hidrogênio Verde (Decreto 21.200/2022) busca fortalecer a cadeia produtiva do hidrogênio verde e fomentar sua aplicação em setores industriais, de mobilidade e transporte. A Lei 14.638/2023 isentou de IPVA automóveis elétricos. A Lei Estadual 14.889/2025 instituiu o Programa Estadual de Transição Energética, que tem, entre seus objetivos, a diversificação das fontes de produção e abastecimento de energia. Ademais, verificou-se, em auditoria realizada em 2023 por este TCE (gestão florestal de Unidades de Conservação), a concessão, pelo INEMA, de diversas licenças ambientais autorizando empresas privadas a instalarem na Bahia Usinas Produtoras de energia eólica, fonte energética renovável (a Bahia é o segundo maior produtor estadual desta fonte).</t>
  </si>
  <si>
    <t>"Através do item 14 da Solicitação MSOL.003.2025 foi requerida a seguinte informação: ""A mobilização destes recursos privados para financiamento climático (caso existam) são monitoradas de modo contínuo e regular (ao menos uma vez ao ano) pelo estado?"". Não foi apresentada nenhuma resposta acerca desta questão. Ademais, a Auditoria não verificou, nos sites dos órgãos ambientais ou outras fontes, qualquer ferramenta publicizando informações desta natureza (se as ações para a mobilização de recursos privados para financiamento climático são monitoradas de modo contínuo e regular</t>
  </si>
  <si>
    <t>"A Prefeitura de Belo Horizonte informou que a LDO de 2025 estabelece como prioridades, da área de resultado Sustentabilidade Ambiental, o ""enfrentamento às mudanças climáticas por meio de monitoramento das emissões e execução de ações práticas para redução e sequestro de carbono"" (Art. 2°, VIII, n). Informou, também, que o PPAG (2025) do Município apresenta um conjunto de programas e ações, dentro da área de resultado Sustentabilidade Ambiental, que visam atender essas diretrizes e estão devidamente alinhados com as ações previstas no Plano de Ação Climática e no Plano de Redução de Emissões de GEE - PREGEE. Conforme o Manual de Aplicação, deve ser verificado: 1)Se o PPA do estado ou município inclui o enfrentamento das mudanças climáticas como uma das suas diretrizes</t>
  </si>
  <si>
    <t>"A Prefeitura de Belo Horizonte (PBH) informou que está em desenvolvimento o Orçamento Temático-OT Mudanças Climáticas, para identificar todas as ações de mitigação e adaptação. Informou, também, que está disponível o Painel do OT ODS, para identificar as ações orçamentárias relacionadas ao ODS 13 (Ação Contra a Mudança Global do Clima). Ademais, informou que um dos projetos transformadores da PBH é o ""Resiliência e Mudanças Climáticas"", que será incorporado como Programa dentro do PPAG, com ações e valores monitorados. Conforme o Manual de Aplicação, deve ser verificado: 1)Se adota metodologia para identificar, mensurar e classificar os gastos direcionados a ações climáticas em seu orçamento</t>
  </si>
  <si>
    <t>A Prefeitura informou que o Plano de Ação Climática estabelece, como meta, realizar 10% das compras de alimentos para escolas públicas, via Caixa Escolar, de produtores urbanos até 2030. Informou, também, que o Plano de Redução de Emissões de GEE estabelece na Linha de Ação "Eficiência Energética" a elaboração de uma diretriz central de compras sustentáveis, contudo, essa ação ainda não foi iniciada, estando seu início previsto no PPAG 26/29. Finalmente, informou que a ação de "Promover a permanente substituição de frota de transporte coletivo por veículos menos emissores" está prevista no PREGEE, no PlanMob-BH e no Plano Diretor, porém para ocorrer até 2030. Considerando as evidências anexadas (A Lei 11181/2019 e "O Plano de Mobilidade de Belo Horizonte - PlanMob-BH"), e considerando a própria informação da Prefeitura de que algumas ações estão previstas para serem realizadas até 2030, portanto, ainda são incipientes. Portanto, avalia-se que existem mecanismos que promovem em parte a adoção de critérios e práticas de mitigação/adaptação nas compras e contratações públicas, porém as ações relacionadas a esses mecanismos são incipientes. Desse modo, considerando que de acordo com o Manual de Aplicação, deve ser verificado se o Município possui mecanismos para a inclusão de critérios e práticas de redução da emissão de GEE e/ou de adaptação à mudança do clima, nas compras e contratações públicas, a classificação é "Estágio Inicial", quanto a esse item.</t>
  </si>
  <si>
    <t>Belo Horizonte apresenta avanços expressivos na transparência fiscal aplicada ao tema climático. Estão disponíveis ao público o Portal da Transparência, o Portal de Dados Abertos e o Painel do Orçamento Temático ODS, que permitem acompanhar a execução orçamentária em tempo real e em formatos acessíveis. Destaca-se a possibilidade de filtrar os gastos pelo ODS 13 - Ação contra a Mudança Global do Clima, o que possibilita identificar programas e iniciativas ligadas à agenda ambiental. Complementarmente, o Relatório de Execução Anual de Ações Governamentais traz, no capítulo "Sustentabilidade Ambiental", informações sobre projetos e resultados implementados. Esses instrumentos atendem de forma relevante aos critérios de transparência ativa, linguagem simples e dados abertos, pois oferecem painéis visuais e dados em formatos reutilizáveis. Contudo, ainda há possibilidades de aprimoramento: as informações permanecem agregadas, exigindo conhecimento técnico para identificar gastos climáticos específicos, o que limita a plena compreensão pela sociedade. Ademais, não foram encontradas evidências de divulgação de contratações emergenciais em contextos de desastres, aspecto essencial para fortalecer a transparência. Assim, o município demonstra alinhamento aos Objetivos de Desenvolvimento Sustentável e boas práticas de transparência, mas a consolidação de um sistema efetivo requer maior detalhamento das despesas climáticas e a inclusão de dados sobre contratações emergenciais.</t>
  </si>
  <si>
    <t>"A Prefeitura de Belo horizonte informou que o Município apresenta plena capacidade para aderir a programas climáticos nacionais e internacionais, além de possuir uma diretoria (DCFI, art. 49 Decreto 16.682/2017) com equipe técnica capacitada e dedicada a essa finalidade. A Prefeitura informou, também, que os cálculos dos limites previstos no art. 7º da RSF nº 43/2001 resultaram em percentuais inferiores a 80%, e possui nota A+ na CAPAG, demonstrando solidez fiscal e capacidade de pagamento, com diversos projetos de captação de recursos, como a parceria com o ICLEI, o MCMV e o Pró-Moradia. Constatou-se, a partir das evidências anexadas, a observância dos critérios definidos no Manual de Aplicação, a saber: existe um mapeamento das oportunidades de obtenção de recursos a partir da adesão do ente federativo aos instrumentos da PNMC</t>
  </si>
  <si>
    <t>A Prefeitura de Belo horizonte informou que o Município dispõe de instrumentos e mecanismos que permitem o acesso a diversas fontes de financiamento, como fundos públicos nacionais, recursos de bancos de desenvolvimento, agências de cooperação internacional, como demonstra os contratos anexos. A Prefeitura informou, também, que a capacidade técnica e jurídica da administração municipal (uma Diretoria dedicada, a DCFI) permite a elaboração de propostas, a gestão de convênios, financiamentos, bem como o atendimento a requisitos técnicos, operacionais e de prestação de contas. Conforme Manual de Aplicação, deve-se avaliar em que medida o ente federativo possui mecanismos e capacidades para identificar e acessar fontes de recursos financeiros, para a execução de projetos específicos, no âmbito do enfrentamento da mudança do clima. Nesse sentido, verificou-se que existem mecanismos que atendem a todos esse critérios e, portanto, a classificação é "Estágio Avançado", quanto a esse item.</t>
  </si>
  <si>
    <t>A Prefeitura de Belo horizonte informou que o Município possui mecanismos de monitoramento e controle da utilização dos recursos externos, centrados em órgãos internos (planejamento, controle e auditoria), e sistemas informatizados de acompanhamento de projetos, que garantem a rastreabilidade e a efetividade na aplicação dos recursos captados, assegurando a boa governança dos projetos climáticos implementados com recursos externos, e transparência no monitoramento. Conforme Manual de Aplicação, cabe avaliar se se a execução físico-financeira e os resultados das ações  e dos projetos são monitorados regularmente (periodicidade anual, pelo menos), e se há disponibilização das informações relacionadas com o progresso e os resultados dessas ações e projetos. Cabe avaliar, também, se as informações divulgadas estão disponíveis (fácil acesso) para consulta e auditoria, bem como se estão estruturadas de modo que qualquer cidadão, órgão de controle ou parte interessada pode compreender o mecanismo, bem como acompanhar seus resultados (dados abertos/desagregados, linguagem simples). Verificou-se que as ações de mobilização de investimento privado climático são monitoradas, e a informação é disponibilizada, atendendo parcialmente aos critérios referidos. Entretanto, não há monitoramento e mecanismos de transparência específicos sobre os financiamentos para a área climática. Desse modo, a classificação é "Estágio Intermediário".</t>
  </si>
  <si>
    <t>"A Prefeitura informou que Belo Horizonte tem um programa de certificação em sustentabilidade de empreendimentos, o Selo BH Sustentável, que a partir de 2021 foi revisado de forma a incorporar ações de sustentabilidade que considerem ações de adaptação em cinco dimensões: permeabilidade e vegetação</t>
  </si>
  <si>
    <t>A Prefeitura de Belo Horizonte informou que o Certificado de Crédito Verde ainda não foi utilizado, por este motivo não existe monitoramento das renúncias fiscais por este meio. Além disso, a Prefeitura informou que os investimentos financeiros para implementar as medidas de sustentabilidade se dão à cargo do empreendedor. Desse modo, não se verifica o monitoramento contínuo e regular relativo à mobilização de recursos privados para financiamento de ações na área climática, conforme previsto no escopo de avaliação relativo ao financiamento do Manual de Aplicação. Por esse motivo, classifica-se Belo Horizonte, quanto a esse item, como "Sem Progresso".</t>
  </si>
  <si>
    <t>O PPA 2022-2025 previu, nos subprogramas "Belém Bem Cuidada", "Belém, Nossa Moradia" e "Belém, Integrada e Acessível", algumas ações indiretamente relacionadas às mudanças do clima.
As LOAs de 2024 e de 2025 destinaram recursos próprios para a execução de algumas atividades, projetos e operações especiais, indiretamente relacionadas às mudanças do clima, podendo contribuir para o cumprimento parcial da totalidade das metas previstas no Plano de Ação Climática de Belém (PLAC).</t>
  </si>
  <si>
    <t>Não são utilizadas rubricas específicas para o gastos com ações que contribuam, positivamente ou negativamente, para os objetivos climáticos. Porém, além das despesas fixadas nas LOAs, é possível rastrear os gastos/investimentos que contribuem indiretamente, por meio do filtro da natureza de despesas, não tendo como principal objetivo a mitigação e/ou adaptação climática, sendo disponibilizadas na seguinte página do site institucional: 
https://portaltransparencia.belem.pa.gov.br/despesas/despesas-detalhadas/.</t>
  </si>
  <si>
    <t>Após consulta no site da Câmara Municipal e da Prefeitura Municipal de Belém, não restou comprovada a existência de mecanismos que promovam a adoção de critérios e práticas de sustentabilidade, redução da emissão de Gases de Efeito Estufa - GEE, nem adaptação às mudanças do clima nas compras e contratações públicas do ente.</t>
  </si>
  <si>
    <t>Não há dados específicos sobre o orçamento climático, mas existe o detalhamento da execução orçamentária e financeira do Município de Belém, com possibilidade de pesquisa por projeto/atividade, por função/subfunção, por natureza de despesa, por fonte e por fundo, sendo disponibilizadas no formato .pdf, mediante o website: 
https://portaltransparencia.belem.pa.gov.br/despesas/despesas-detalhadas/.
Informações a respeito de ações relacionadas às mudanças do clima podem ser acessadas no site Agência Belém, mediante o website: https://agenciabelem.com.br/.
Além disso, os processos licitatórios são divulgados na página do site da prefeitura:
https://portaltransparencia.belem.pa.gov.br/licitacoes-e-contratos/processos-licitatorios/</t>
  </si>
  <si>
    <t>Não há mapeamento das oportunidades de obtenção de recursos a partir da adesão aos instrumentos da PNMC (ou setoriais) ou de outros planos estaduais, com identificação de quais são mais adequadas para os projetos prioritários. Porém, a prefeitura Municipal de Belém aderiu ao Novo PAC (Programa de Aceleração do Crescimento) visando a obter recursos para execução de programas indiretamente relacionados às mudanças do clima, a exemplo do Programa de Macrodrenagem da Bacia Hidrográfica do Mata Fome (PROMMAF).</t>
  </si>
  <si>
    <t>Não há mapeamento das oportunidades de obtenção de financiamento para as ações climáticas, com identificação de quais linhas são mais adequadas para os projetos prioritários, com um planejamento estratégico para acesso a fontes que não sejam do próprio orçamento. Porém, a prefeitura Municipal de Belém acessou a "Linha de financiamento Verde" com o Fundo Financeiro para o Desenvolvimento da Bacia do Prata (FONPLATA) para execução de programas indiretamente relacionados às mudanças do clima, a exemplo do Programa de Macrodrenagem da Bacia Hidrográfica do Mata Fome (PROMMAF).</t>
  </si>
  <si>
    <t>A Prefeitura do Município de Belém possui site em que se disponibilizam os instrumentos básicos utilizados na captação de recursos para execução de ações indiretamente relacionadas à política climática, porém, não atualizadas e de difícil acesso, a exemplo do seguinte link: https://segep.belem.pa.gov.br/prommaf/.</t>
  </si>
  <si>
    <t>Não há mapeamento de possíveis oportunidades para incentivar empresas e cidadãos a investirem em ações para mitigação e adaptação das mudanças climáticas. Porém, o Município de Belém oferece isenção do pagamento do Imposto Predial e Territorial Urbano (IPTU) ao proprietário de imóvel cujo ecossistema natural seja preservado ou restaurado no todo ou em parte, e que tenha relevância para o equilíbrio ecológico, atendendo a interesse público e da coletividade, mediante avaliação técnica e autorização do órgão responsável pela política ambiental municipal.</t>
  </si>
  <si>
    <t>Não há dados específicos sobre investimento privados em projetos climáticos, mas existe o detalhamento da execução orçamentária e financeira do Município de Belém, com possibilidade de pesquisa por projeto/atividade, por função/subfunção, por natureza de despesa, por fonte e por fundo, sendo disponibilizadas no formato .pdf, mediante o website: 
https://portaltransparencia.belem.pa.gov.br/despesas/despesas-detalhadas/.
Informações a respeito de ações relacionadas às mudanças do clima podem ser acessadas no site Agência Belém, mediante o website: https://agenciabelem.com.br/.</t>
  </si>
  <si>
    <t>Não há previsão específica no PPA ou leis orçamentárias do município de Boa Vista de ações ou recursos para o enfrentamento das mudanças climáticas e seus impactos.</t>
  </si>
  <si>
    <t>O município de Boa Vista não adota nenhuma metodologia de identificação dos gastos climáticos em seu orçamento.</t>
  </si>
  <si>
    <t>Não existem mecanismos formais no município que estabeleçam critérios de sustentabilidade ou de mitigação/adaptação nas compras e contratações públicas.</t>
  </si>
  <si>
    <t>O município de Boa Vista não possui mecanismos de transparência ativa que forneçam informações específicas sobre orçamento e gasto público climático.</t>
  </si>
  <si>
    <t>Não existem mecanismos que viabilizem a adesão do município a políticas/programas federais e/ou estaduais.</t>
  </si>
  <si>
    <t>Não existem no município mecanismos que viabilizam a identificação de oportunidades para acesso a fontes de recursos financeiros para projetos específicos de do enfrentamento da mudança do clima.</t>
  </si>
  <si>
    <t>O município de Boa Vista não possui instrumento legal/mecanismo que fomente a mobilização de recursos privados em ações que contribuem para o alcance dos objetivos climáticos.</t>
  </si>
  <si>
    <t>O município de Boa Vista não possui instrumento que estimule a mobilização de recursos privados em ações para o alcance dos objetivos climáticos.</t>
  </si>
  <si>
    <t>O PPA 2022-2025 e a LDO2025 incluem a sustentabilidade ambiental e o desenvolvimento sustentável como diretrizes e prioridades. A LOA 2025 na Ação 4031 -
Planejamento Ambiental reserva alocação de recursos que está diretamente alinhada a uma iniciativa do PPA 2022-2025 (Iniciativa 14 - Elaborar Plano de Ações Climáticas). As diretrizes do PPA e da LDO mencionam sustentabilidade e meio ambiente.</t>
  </si>
  <si>
    <t>O município ainda não possui uma taxonomia específica ou sistema de marcação de despesas voltadas exclusivamente ao clima. Está em estudo a criação de categorias que permitam rastrear gastos climáticos diretos e indiretos, como parte da estruturação do Plano de Descarbonização.</t>
  </si>
  <si>
    <t>De acordo com o Manual de compras públicas governamentais do município, há uma indicação de mecanismos para a inclusão de critérios de sustentabilidade de forma geral. Não há evidências claras e específicas de mecanismos que promovam a adoção de critérios relacionados à redução de GEE e adaptação à mudança do clima. Não há evidências de mecanismos para impulsionar a construção de capacidades técnicas específicas para critérios climáticos.</t>
  </si>
  <si>
    <t>Segundo a equipe da prefeitura, os projetos relacionados ao Plano de Descarbonização SERÃO divulgados com maior detalhamento após sua aprovação. Não há dados atualizados e acessíveis em formato de dados abertos e linguagem simples sobre o financiamento público das políticas climáticas.</t>
  </si>
  <si>
    <t>Campo Grande integra o Programa "Cidades Modelo Verdes Resilientes" do Governo Federal, que fornecerá suporte técnico para desenvolver ações climáticas de mitigação e adaptação. Também firmou o Termo de Compromisso da Agenda Local do Roadmap Território Carbono Neutro, coordenado pela Semadesc e Sebrae/MS, visando avaliar a maturidade climática e apoiar a implementação de ações. Tem Termo de Cooperação com a concessionária Águas Guariroba para o Programa "Córrego Limpo, Cidade Viva" é outro exemplo de parceria.</t>
  </si>
  <si>
    <t>Há evidências de mapeamento e planejamento estratégico para acesso a fontes de financiamento externas para projetos específicos. E tem capacidade técnica para elaboração de projetos competitivos é evidente, seja pela contratação de consultoria especializada ou pelo desenvolvimento interno e diagnóstico positivo de maturidade nos documentos suporte e na equipe da Agência Municipal de Meio Ambiente e Planejamento Urbano.Por fim, o município conseguiu captar recursos (cooperação técnica e financiamento) de uma das fontes exemplificadas (BID), e está inserido em outros programas que fornecem suporte para o desenvolvimento de ações.</t>
  </si>
  <si>
    <t>Atualmente NÃO há ações para a captação de recursos para execução de ações de política climática COM MONITORAMENTO de modo contínuo e/ou regular (ao menos uma vez ao ano) pelo município. Não há plataformas específicas (mecanismos) que apresentem dados sobre a captação de recursos para execução de ações de política climática. Segundo a prefeitura há previsão de criar um painel digital de acompanhamento das metas climáticas com origem de recursos e progresso das ações.</t>
  </si>
  <si>
    <t>O município oferece benefício tributário, consistente na redução do Imposto Predial e Territorial Urbano - IPTU e ISS - Imposto sobre Serviços de qualquer natureza, às pessoas físicas e jurídicas proprietárias de imóveis residenciais e comerciais que adotem uma das medidas que estimulem a proteção, preservação e recuperação do meio ambiente. Essas ações buscam Melhorar o perfil de risco-retorno de projetos específicos e contribuir para convencer os financiadores privados a investirem em ações para mitigação e adaptação das mudanças climáticas.</t>
  </si>
  <si>
    <t>Não há nenhum monitoramento específico sobre o programa de incentivo promovido pelo município.</t>
  </si>
  <si>
    <t>A classificação como Estágio Intermediário decorre da análise dos seguintes elementos:
1) O PPA incorpora diretrizes climáticas, atendendo ao Atributo 1, porém sem detalhamento de mecanismos de implementação intersetorial
2) Há alocação orçamentária específica para clima em 2024 e 2025 (Atributo 2), mas com limitações quantitativas e ausência de previsão de aumento progressivo
3) Identificou-se alinhamento parcial entre recursos e políticas climáticas (Atributo 3): 70% das ações orçadas relacionam-se a planos existentes, mas 30% carecem de vinculação a instrumentos normativos ou prioridades territoriais.
Conforme o manual, o estágio intermediário aplica-se quando há avanços estruturais, mas persistem lacunas operacionais. No caso, a falta de integração entre orçamento e metas setoriais, somada à baixa proporção de recursos frente aos desafios climáticos locais, impede a classificação como avançado. Recomenda-se a revisão do PPA para incluir indicadores de eficiência alocativa e ampliar o diálogo com setores-chave (agricultura, energia).</t>
  </si>
  <si>
    <t>A análise identificou ausência de documentação comprobatória quanto à implementação de metodologia para rastreamento de gastos climáticos, requisito mínimo para o estágio inicial. 
A não diferenciação de ações climáticas no orçamento - corroborada pela inexistência de códigos específicos ou relatórios setoriais - impossibilita verificar alocação efetiva de recursos.</t>
  </si>
  <si>
    <t>A análise revela que o ente auditado dispõe de mecanismos incipientes para incorporação de critérios sustentáveis e climáticos em contratações, como normativos pontuais e capacitação esporádica. Contudo, falta padronização de cláusulas obrigatórias em todos os processos, diretrizes claras para redução de emissões e monitoramento contínuo das capacitações. A ausência de sistemas integrados para verificação de conformidade e a limitação na abrangência dos critérios indicam fragilidades na implementação, caracterizando estágio inicial de maturidade.</t>
  </si>
  <si>
    <t>A análise evidenciou esforços incipientes de transparência, com a produção periódica de relatórios institucionais. Contudo, os critérios de dados abertos e transparência ativa não foram integralmente atendidos:
a) Fragilidades críticas: Ausência de padronização em formatos reutilizáveis e carência de mecanismos que permitam o cruzamento de dados por terceiros (ex.: valores executados por ação climática).
b) Barreira de acesso: Informações técnicas não são traduzidas para linguagem cidadã, limitando o controle social.
c) Omissão em emergências: Lacuna na divulgação de contratos emergenciais pós-desastres, fator essencial para avaliar a eficácia de respostas rápidas.</t>
  </si>
  <si>
    <t>Mapeamento não é sistêmico: Embora o estado utilize programas federais, não há evidências de um diagnóstico que priorize ou articule essas ferramentas com suas metas climáticas locais (ex.: plano estadual de adaptação não citado)
Implementação é setorial: A participação no MCMV e ABC+ não inclui critérios climáticos explícitos na execução (ex.: habitações do MCMV não têm certificação de eficiência energética)
Capacidade técnica limitada: Não há menção a unidades especializadas ou sistemas de monitoramento de resultados climáticos (ex.: redução de emissões gerada pelo ABC+ não foi quantificada).</t>
  </si>
  <si>
    <t>A avaliação identificou a existência inicial de mecanismos de identificação de fontes de recursos, conforme evidenciado pelo mapeamento parcial de linhas de financiamento climático. Entretanto, a ausência de planejamento estratégico integrado e a inadequação dos projetos às exigências técnicas dos financiadores (comprovada pela inexistência de aprovações) limitam a eficácia da captação. A capacidade técnica insipiente da equipe foi verificada através da análise de propostas genéricas, sem aderência a critérios específicos de editais internacionais ou REDD+. A inexistência de recursos efetivamente captados - mesmo identificando-se tentativas de submissão a programas federais - reforça a lacuna operacional. Conclui-se que os mecanismos existentes atendem parcialmente aos atributos 1 a 3, caracterizando um estágio incipiente de desenvolvimento institucional para acesso a fontes alternativas. Esse cenário demanda ações corretivas prioritárias para estruturação de fluxos de trabalho especializados e fortalecimento da governança financeira climática.</t>
  </si>
  <si>
    <t>A reanálise demonstra que apenas o atributo 1 é atendido minimamente, porém sem regularidade comprovada (ações pontuais  -  monitoramento contínuo). A ausência de plataforma unificada ou relatórios com periodicidade definida inviabiliza o atendimento ao atributo 2, caracterizando mera produção ocasional de documentos. Quanto à transparência ativa (atributo 3), a disponibilização de dados em formatos não reutilizáveis e sem metadados descaracteriza o acesso aberto.</t>
  </si>
  <si>
    <t>Existência de instrumentos normativos ativos (ex: condicionalidade de benefícios fiscais a critérios ESG - Art. 3º, §3º da Lei 19.139)
Mobilização indireta via regulação (ex: ajustes em procedimentos licitatórios para viabilizar parcerias público-privadas - Art. 10 da Lei 19.139)
Articulação intersetorial comprovada na estrutura do Conselho de Governança (Lei 18.459, Art. 6º), que inclui entes privados e academia.</t>
  </si>
  <si>
    <t>A análise das evidências indica ajuste na classificação:
1) Monitoramento regular:
Existem mecanismos formais (relatórios anuais previstos na Lei 18.459/2023, Art. 5º, IV)
2) Divulgação insuficiente:
Falha no atributo 2: As informações são restritas a relatórios técnicos sem plataforma específica (ex: portal climático) ou atualização contínua
Falha no atributo 3: Dados não estão em formato aberto/desagregado (Lei 19.139/2024 não prevê APIs, CSV ou mecanismos de busca avançada)
Ausência de comprovação sobre linguagem acessível ao cidadão (ex: resumos executivos simplificados).
Classificação para Estágio Inicial justifica-se porque:
Apenas o atributo 1 foi integralmente atendido (monitoramento anual)
Atributos 2 e 3 não possuem evidências de implementação (ex: sistemas digitais de transparência ativa, dados auditáveis em tempo real).
Apenas o atributo 1 foi integralmente atendido (monitoramento anual)
Atributos 2 e 3 não possuem evidências de implementação (ex: sistemas digitais de transparência ativa, dados auditáveis em tempo real).</t>
  </si>
  <si>
    <t>"A situação avaliada enquadra-se na classificação ""Sem Progresso"", uma vez que não há atendimento integral a nenhum dos três atributos exigidos. Apesar da existência de recursos ambientais no planejamento municipal, a ausência de diretrizes específicas voltadas à agenda climática no Plano Plurianual (PPA) e a inexistência de políticas climáticas formalmente instituídas impedem uma classificação mais elevada. Principais lacunas identificadas: Ausência de diretrizes climáticas nas leis orçamentárias
Principais lacunas identificadas: Ausência de diretrizes climáticas nas leis orçamentárias</t>
  </si>
  <si>
    <t>A avaliação do Item B - Rastreamento das Despesas Climáticas - concluiu que o município de Cuiabá não atende a nenhum dos quatro atributos exigidos, resultando na classificação "Sem Progresso". O atributo 1, que exige a existência de metodologia formal para identificar gastos climáticos, não foi atendido, o que compromete o atendimento dos demais critérios. Atributo 1 (Metodologia formal): não atendido. Atributo 2 (Códigos/marcações orçamentárias): não atendido. Atributo 3 (Rastreamento de gastos indiretos): não atendido. Atributo 4 (Identificação de gastos negativos): não atendido. A ausência de metodologia formal inviabiliza a estruturação de um sistema eficaz de rastreio, conforme os parâmetros da metodologia adotada. Embora o município possua infraestrutura orçamentária robusta, como o uso do SIAFIC, portal de transparência estruturado e contas regularmente aprovadas pelo TCE-MT, não há qualquer evidência de esforços voltados à marcação ou rastreamento de despesas climáticas. Essa lacuna se destaca negativamente, sobretudo considerando a relevância ambiental de Cuiabá no contexto do Pantanal e Cerrado. Pontos positivos incluem a modernidade da gestão orçamentária e o cumprimento de requisitos de transparência e controle externo. Contudo, permanecem lacunas críticas, como a total ausência de capacidades específicas para rastreamento climático e a inexistência de um Plano Municipal de Mudanças Climáticas.</t>
  </si>
  <si>
    <t>Não existem mecanismos que promovam a adoção de critérios e práticas de sustentabilidade ou de mitigação/adaptação nas compras e contratações públicas</t>
  </si>
  <si>
    <t>Embora o município possua mecanismos gerais de transparência, não atende aos requisitos específicos para monitoramento de políticas climáticas. A transparência genérica não substitui a necessidade de sistemas dedicados exclusivamente ao acompanhamento de orçamentos e gastos climáticos. Considerando a ausência completa de mecanismos específicos para transparência climática em todos os quatro atributos avaliados, classifica-se como "Sem progresso".</t>
  </si>
  <si>
    <t>Não existem mecanismos nem capacidades internas que viabilizem a adesão do ente federativo a políticas ou programas federais e/ou estaduais" relacionados a mudanças climáticas.</t>
  </si>
  <si>
    <t>Cuiabá foi classificada no ESTÁGIO INICIAL para o Item B por atender parcialmente apenas um dos três critérios avaliados.
CRITÉRIO 1 - MAPEAMENTO DE OPORTUNIDADES: NÃO ATENDE. Não foram encontradas evidências de mecanismos sistemáticos para identificação de linhas de financiamento climático. A análise do documento F2-B(2).pdf (860 páginas) não apresentou referências a fundos como REDD+, GEF ou GCF.
CRITÉRIO 2 - CAPACIDADE TÉCNICA: PARCIALMENTE ATENDE. A SMADES possui estrutura institucional estabelecida pela Lei Complementar 146/2007 (páginas 1-2), com competências para licenciamento ambiental e celebração de convênios. O documento F2-B(2).pdf confirma participação da SMADES no Conselho do Plano Diretor (página 835). Contudo, não há evidências de equipe especializada em projetos para fundos climáticos internacionais.
CRITÉRIO 3 - CAPTAÇÃO EFETIVA: NÃO ATENDE PARA MUDANÇAS CLIMÁTICAS. Embora o município tenha histórico de captação de recursos do BNDES para infraestrutura geral (páginas 589-590 do F2-B(2).pdf), não foram encontradas evidências de captação específica para projetos de mudanças climáticas. O Ementário da Legislação Municipal 2011 documenta financiamentos gerais, mas não climáticos.
A classificação reflete a ausência de mecanismos específicos para mudanças climáticas, mantendo Cuiabá no estágio inicial.</t>
  </si>
  <si>
    <t>Cuiabá foi classificada em SEM PROGRESSO para o Item F2-C devido ao não atendimento dos critérios de monitoramento e transparência de políticas climáticas.
ATRIBUTO 1 (Monitoramento Regular): NÃO ATENDE. O Portal da SMADES (https://www.cuiaba.mt.gov.br/secretarias/meio-ambiente-e-desenvolvimento-urbano/residuos-solidos) disponibiliza relatórios de monitoramento de resíduos sólidos de 2010-2012, o que demonstra que esses documentos estão desatualizados. Destaca-se também que esses relatórios tratam da gestão de resíduos sólidos, não do monitoramento da "captação de recursos para execução de ações de política climática". 
ATRIBUTO 2 (Transparência Ativa): NÃO ATENDE. O Portal de Transparência (http://transparencia.cuiaba.mt.gov.br/) possui estrutura adequada, mas carece de seção específica para recursos climáticos. O Portal da SMADES disponibiliza documentos técnicos, porém sem foco em captação de recursos climáticos.
ATRIBUTO 3 (Acessibilidade): NÃO ATENDE. Dados disponíveis apenas em PDF, não reutilizáveis. Ausência de portal municipal de dados abertos e APIs, conforme verificado nos portais consultados.
A classificação em SEM PROGRESSO reflete mecanismos básicos de transparência e capacidade técnica demonstrada, mas com limitações na divulgação de dados específicos sobre políticas climáticas.</t>
  </si>
  <si>
    <t>Cuiabá foi classificada no "Estágio Avançado" quanto à mobilização de financiamento climático privado, com base nas seguintes evidências:
Mecanismos estruturados: A Lei Complementar 515/2022 institui o IPTU Sustentável, com descontos de até 25% para imóveis que adotem 9 tecnologias sustentáveis. A Lei Complementar 321/2013 criou o Fundo Municipal de Meio Ambiente (FMMA), com 13 fontes de recursos voltadas ao financiamento de projetos governamentais e não governamentais.
Mobilização efetiva em 2024-2025: Foram mobilizados recursos privados relevantes, como os R$ 973.639,00 destinados pela Iguá Saneamento a projetos socioambientais em 2025. O IPTU Sustentável beneficiou mais de 1.100 munícipes, e a Parceria Público-Privada do Mercado Municipal movimentou R$ 125 milhões. Cuiabá alcançou o 2º lugar nacional em potência instalada de energia solar, com 296 MW.
Adequação ao contexto local: Os incentivos são compatíveis com as características climáticas da região, como a valorização da captação de águas pluviais e o uso de energia solar, aproveitando a alta irradiação da cidade.
A presença de mecanismos estruturados e a mobilização comprovada de recursos demonstram que o ente federativo possui mecanismos e estruturas e mobilizou recursos privados em ações que contribuem para o alcance dos objetivos climáticos (nos exercícios de 2024-2025), o que justifica a classificação no Estágio Avançado.</t>
  </si>
  <si>
    <t>Cuiabá foi classificada como "Sem Progresso" no item F3-B por não atender a nenhum dos três critérios estabelecidos. Primeiro, não há evidências de monitoramento contínuo e regular das ações de mobilização de recursos privados para ação climática. A análise do Portal de Transparência Municipal, site da SMADESS e Gazeta Municipal não identificou relatórios anuais ou sistemas de acompanhamento específicos. Segundo inexistem mecanismos de transparência ativa com dados atualizados. O Índice de Dados Abertos para Cidades 2023 atribuiu pontuação 0 (opaco) para Cuiabá na dimensão Meio Ambiente, evidenciando ausência de sistemas, dashboards ou plataformas dedicadas à divulgação de informações sobre recursos privados climáticos. Terceiro as informações não estão estruturadas para consulta pública. Os dados encontram-se fragmentados em diferentes portais, sem desagregação específica sobre mobilização de recursos privados, linguagem técnica inacessível e ausência de ferramentas que permitam auditoria cidadã. Esta classificação contrasta com a avaliação anterior, onde Cuiabá demonstrou possuir mecanismos estruturados de mobilização (FMMA, IPTU Sustentável, PPPs), mas falha completamente no monitoramento e transparência dessas ações, comprometendo o controle social e a prestação de contas à população.</t>
  </si>
  <si>
    <t>As leis orçamentárias do Município preveem recursos para ações relacionadas à mitigação e adaptação às mudanças climáticas. O PPA 2022-2025 inclui o tema como diretriz para as entregas, e ações orçamentárias para a implementação do PanClima, para o "desenvolvimento de ações para mitigação das emissões de gases de efeito estufa e adaptação às mudanças climáticas" e para o projeto específico "GESTÃO DE RISCO CLIMÁTICO - BAIRRO NOVO DA CAXIMBA". A LOA 2025 confirma destinação de recursos para essas ações, além de dotações voltadas à mobilidade urbana e transportes, alinhadas ao plano setorial.</t>
  </si>
  <si>
    <t>Os principais mecanismos disponíveis para rastreamento das despesas do Município de Curitiba são os relatórios de execução orçamentária e demonstrações contábeis tradicionais, assim como auditorias internas, mais comuns quanto a programas co-financiados, onde é possível garimpar informações sobre a aplicação de recursos em ações de mitigação e adaptação climáticas ou verificar os recursos aplicados por função, secretaria, programa, etc. Não há codificação que diferencie os gastos diretos ou indiretos em ações climáticas de outros tipos de despesas administrativas ou setoriais. Não há análises sobre a execução das ações orçamentárias que identifiquem trade-offs, ou seja, ações que contribuem negativamente para os objetivos climáticos (subsídios perversos, atividades intensivas em carbono e outros similares).</t>
  </si>
  <si>
    <t>O Município de Curitiba regulamentou a promoção do desenvolvimento sustentável nas contratações públicas, que inclui como diretriz a priorização da utilização de fontes alternativas de geração de energia em detrimento à utilização de combustíveis fósseis no transporte motorizado de mercadorias e pessoas, e o uso de inovações e tecnologia que reduzam a pressão sobre recursos naturais e emissão de GEE, que pode apoiar-se em políticas públicas e normativos específicos, com destaque para o PlanClima. Porém, embora a norma possibilite a incorporação de critérios alinhados à gestão ambiental eficiente desde a fase de planejamento das contratações, não consistem em critérios relacionados aos objetivos e metas das ações climáticas nos processos licitatórios não foi ainda adotada de forma ampla. Os gestores informaram que algumas contratações específicas já incorporaram exigências nesse sentido, tendo listado a Concorrência nº 63/2023-SMMA, referente à coleta de resíduos, e o Chamamento Público nº 03/2024-SMMA, cujo objeto foi exatamente a seleção de Organização da Sociedade Civil com atuação na área ambiental, visando a celebração de Termo de Fomento (12 meses) para execução de Projetos de Mitigação e Adaptação às Mudanças Climáticas. Uma vez que as evidências se restringem à Pasta ambiental e não demonstram permeabilidade dos critérios nas demais áreas de compras públicas do ente, considera-se em estágio inicial.</t>
  </si>
  <si>
    <t>Uma vez que os principais mecanismos disponíveis para rastreamento das despesas do Município são os relatórios de execução orçamentária e demonstrações contábeis tradicionais, assim como auditorias internas, onde é possível garimpar informações sobre a aplicação de recursos em ações de mitigação e adaptação climáticas, conforme descrito no item F1.B, não há sistemas, relatórios, websites ou outras ferramentas ou plataformas específicas que apresentem dados sobre o "orçamento climático" de modo contínuo, com dados atualizados sobre esses recursos. Vale observar que Curitiba conta com Portal de Dados Abertos, porém, dada a inexistência de bases de origem, fica prejudicada a questão.</t>
  </si>
  <si>
    <t>Em que pese não tenha sido localizado mapeamento de oportunidades de obtenção de recursos externos para projetos prioritários, o Município de Curitiba conta com mecanismos institucionais e capacidades técnicas que permitem a adesão a instrumentos e programas vinculados a planos e estratégias climáticas estaduais, federais e internacionais. Esses mecanismos e capacidades incluem uma estrutura institucional dedicada, o Departamento de Mudanças Climáticas da Secretaria Municipal do Meio Ambiente, responsável, entre outros, por coordenar ações locais alinhadas às diretrizes nacionais e internacionais, equipes multidisciplinares, instrumentos de planejamento e normativos alinhados a compromissos estabelecidos em todos os níveis, além de histórico e experiência na adesão a ações climáticas. O PlanClima dedica seção à descrição da trajetória de ações de Curitiba no enfrentamento das mudanças climáticas, que ilustra esse ponto.  Destaca-se a cooperação com a esfera estadual no Projeto Reserva Hídrica do Futuro, a adesão ao Pacto Global de Prefeitos pelo Clima e Energia, além de programas co-financiados com recursos externos, tais como o Programa de Gestão de Risco Climático Bairro Novo da Caximba e Programas de Mobilidade Sustentável.</t>
  </si>
  <si>
    <t>"Em que pese não tenha sido localizado mapeamento de oportunidades de financiamento para ações climáticas, é evidente a capacidade técnica do Município de Curitiba para a propor e acessar recursos para a execução de projetos específicos. Entre os executados ou em execução, destacam-se parcerias a Agência Francesa de Desenvolvimento (AFD), financiadora do Projeto Gestão de Risco Climático Bairro Novo do Caximba (2019), de adaptação à mudança climática, para uma área de ocupação irregular na região sul da cidade</t>
  </si>
  <si>
    <t>Foram verificadas auditorias internas e do TCEPR sobre Programas e projetos específicos, financiados ou cofinanciados com recursos externos. Além disso, conforme já mencionado no item F1.D, os principais mecanismos disponíveis para rastreamento das despesas do Município são os relatórios de execução orçamentária e demonstrações contábeis tradicionais, disponíveis no Portal da Transparência, onde é possível acessar informações sobre a aplicação de recursos em ações de mitigação e adaptação climáticas, não havendo sistemas, relatórios, websites ou outras ferramentas ou plataformas específicas que agreguem dados sobre recursos captados de modo contínuo, com dados atualizados sobre esses recursos.</t>
  </si>
  <si>
    <t>O Município criou empresa estatal vinculada à Secretaria Municipal de Planejamento, Finanças e Orçamento, que tem por objeto promover Parcerias Público-Privadas e possui Fundo Garantidor das PPPs, o que poderá vir a ser mobilizado para ações climáticas. Não foram evidenciados mecanismos ou incentivos específicos para o financiamento climático privado.</t>
  </si>
  <si>
    <t>Foram verificadas auditorias internas e sobre Programas e projetos específicos, financiados ou cofinanciados com recursos externos, além de mecanismos disponíveis para rastreamento das despesas do Município, na forma de relatórios de execução orçamentária e demonstrações contábeis tradicionais, disponíveis no Portal da Transparência, onde é possível acessar informações sobre a aplicação de recursos, o que revela capacidade de disponibilizar informações sobre outras formas de financiamento. No entanto, uma vez que não foram verificados recursos privados no financiamento de ações climáticas, considera-se o item como "sem progresso".",,P
7235,Financiamento,2025-09-11T20:06:31.871Z,"Versão de Avaliação 2025","Distrito Federal","Distrito Federal",5300108,F1,A,"Estágio inicial",0.333,"O DF elencou, como uma de suas preocupações ao estabelecer seu planejamento quadrienal, o enfrentamento das causas e dos efeitos da mudança do clima no DF, que constitui o objetivo O306 constante do PPA 2024/2027, com a meta declarada de implantar quatro infraestruturas verdes que se constituam em sumidouros de carbono. No entanto, as ações orçamentárias indicadas não fazem referência direta ao tema, ainda que, de certa forma, estejam relacionadas: Conservação e Recuperação da Flora, e Financiamento vinculados à Política Ambiental. São títulos genéricos que podem abarcar uma infinidade de atuações do Estado. Quando se analisam as LOAs de 2024 e 2025, não se encontrou expressamente ação orçamentária relacionada especificamente à política voltada à mudança do clima, o que foi confirmado pela equipe técnica da Sema em entrevista.",,P
7238,Financiamento,2025-09-11T20:06:31.871Z,"Versão de Avaliação 2025","Distrito Federal","Distrito Federal",5300108,F1,B,"Sem progresso",,"Não foi verificada qualquer metodologia que permitisse identificar os gastos direcionados à ações voltadas ao enfrentamento das mudanças climáticas. As despesas são realizadas em rubricas diversas, com denominações abrangentes, e sem qualquer referência à mudança do clima. Os gastos com instalação ou manutenção de usinas fotovoltaicas, com íntima relação com a temática, não apresentam informações que indiquem tratar de despesas voltadas a ações climáticas. Assim, não há possibilidade de rastreamento desses gastos, vez que não há código, elemento ou rubrica específica para tal finalidade.",,P
7240,Financiamento,2025-09-11T20:06:31.871Z,"Versão de Avaliação 2025","Distrito Federal","Distrito Federal",5300108,F1,C,"Estágio intermediário",0.666,"Sim, o Decreto 44.330/2023, que regulamenta a Lei Federal nº 14.133/21 (NLLC), estabelece a sustentabilidade ambiental como um de seus pressupostos. Anteriormente, o DF já contava com lei específica, Lei nº 4.770/2012, que dispõe sobre critérios de sustentabilidade ambiental na aquisição de bens e contratação de obras e serviços. Além disso, a Lei nº 4.797/2012 estabelece, em seu art. 23, a obrigatoriedade de se considerar a redução progressiva do uso de combustíveis fósseis, dada a adoção de meta progressiva de redução de, pelo menos, 10% a cada ano, a partir de 2011, nos programas, contratos e autorizações a serem realizados, celebrados ou concedidos pelo poder público. O Decreto nº 43.413/2022 reforça o objetivo da redução da emissão de gases de efeito estufa, estabelecendo meta de redução de 37,4% até 2030, tomando-se como referência o ano de 2013 e, neste caso, obriga o Poder Público a ser ainda mais diligente em seus processos de aquisição e de contratação. Em termos de capacitação, embora não especificamente voltadas ao desafio climático, a Escola de Governo do DF oferece cursos e treinamentos voltados à lei de licitações e contratos, além de promover eventos que discutem a sustentabilidade, como o Fórum de Sustentabilidade do DF.",,P
7261,Financiamento,2025-09-11T20:06:31.871Z,"Versão de Avaliação 2025","Distrito Federal","Distrito Federal",5300108,F1,D,"Sem progresso",,"Não há mecanismos nem iniciativas que promovam a transparência sobre os gastos com a emergência do clima. O impacto, no mais das vezes, constitui-se em externalidade positiva ou negativa, mas não como fim em si mesmo. Assim, na impossibilidade de rastreamento, não há o que se apresentar à sociedade.",,P
2643,Financiamento,2025-09-11T20:06:31.871Z,"Versão de Avaliação 2025","Distrito Federal","Distrito Federal",5300108,F2,A,"Estágio inicial",0.333,"A Sema não possui mapeamento formal de oportunidades de captação de recursos voltados à mitigação e adaptação às mudanças climáticas, nem instância com visão integrada sobre os projetos que relacionam-se com o tema. A avaliação de projetos é descentralizada e realizada pelas secretarias setoriais, com posterior articulação com a SUCAP, responsável técnica pelas operações de crédito (não atendimento ao atributo 1). A Sema informou possuir capacidade para elaborar projetos, mas enfrenta limitações operacionais para executá-los, pois não dispõe de equipe ou estrutura suficiente para execução desses programas em escala. As limitações para execução estão relacionadas a número de servidores e a qualificação (atendendo apenas parcialmente ao atributo 2). Além disso, restrições fiscais decorrentes da baixa capacidade de pagamento (CAPAG) impactaram negativamente a busca ativa por financiamentos. O DF manifestou interesse no programa federal AdaptaCidades. Não há evidências de participação ativa em outros programas como PPCerrado, Fundo Clima ou Progestão (atendimento ao atributo 3).",,P
2644,Financiamento,2025-09-11T20:06:31.871Z,"Versão de Avaliação 2025","Distrito Federal","Distrito Federal",5300108,F2,B,"Estágio intermediário",0.666,"O Distrito Federal demonstra capacidade limitada para acessar fontes externas de financiamento climático, não havendo evidências de mapeamento sistemático de oportunidades nem de planejamento estratégico integrado para direcionar projetos voltados à captação de recursos para ações de enfrentamento às mudanças climáticas. As ações de captação ocorrem de maneira pontual e a Sema não participa de forma estruturada do processo de identificação e submissão de projetos que podem relacionar-se ao tema (atributo 1). A equipe da Sema reconheceu expressamente que possui capacidade técnica para a elaboração de projetos competitivos, embora tenha ressaltado limitações quanto à execução (atributo 2). Foram identificados recursos efetivamente recebidos do Global Environment Facility - GEF para ações vinculadas ao projeto CITinova entre 2021 e 2024. DF tornou-se elegível a captar recursos de REDD+ em 2023 (atributo 3). Atributo 1: não atendido / Atributo 2: atendido / Atributo 3: atendido",,P
2645,Financiamento,2025-09-11T20:06:31.871Z,"Versão de Avaliação 2025","Distrito Federal","Distrito Federal",5300108,F2,C,"Sem progresso",,"A análise evidencia a inexistência, na Sema, de rotina formal e sistemática para o monitoramento contínuo ou periódico das ações de captação de recursos voltadas à política climática, situação agravada pela ausência de coordenação interinstitucional entre as secretarias envolvidas. Verificou-se também a inexistência de mecanismos de transparência ativa que disponibilizem dados atualizados e acessíveis sobre essas captações, execução física e resultados alcançados. As informações disponíveis no Relatório de Gestão são fragmentadas, abrangendo a proteção ambiental de forma genérica e sem foco específico na agenda climática. As consultas realizadas aos portais da Sema, Seec, e Portal da Transparência do DF não revelaram dados sobre captações vinculadas à pauta climática.  Esse cenário demonstra ausência de governança e de práticas de transparência adequadas, em desacordo com as diretrizes do componente. Assim, justifica-se a classificação como sem progresso pela inexistência de mecanismos institucionais consolidados de monitoramento e transparência ativa, bem como pela fragmentação e insuficiência das informações disponibilizadas ao público.",,P
2646,Financiamento,2025-09-11T20:06:31.871Z,"Versão de Avaliação 2025","Distrito Federal","Distrito Federal",5300108,F3,A,"Sem progresso",,"Não há iniciativas para mapeamento de oportunidades de investimento direcionados para a iniciativa privada e cidadãos, nem tampouco para a criação de mecanismos que incentivem a mobilização de recursos privados, sejam de empresas sejam de indivíduos, para a causa climática.",,P
7282,Financiamento,2025-09-11T20:06:31.871Z,"Versão de Avaliação 2025","Distrito Federal","Distrito Federal",5300108,F3,B,"Sem progresso",,"Não há o que se monitorar.</t>
  </si>
  <si>
    <t>O planejamento estratégico do Estado está estruturado em 9 temas estratégicos, que abarcam 26 programas, com as mudanças climáticas tratadas no tema "Agricultura e Meio Ambiente", abrangendo 4 programas, incluindo o Programa Capixaba de Mudanças Climáticas (PCMC). Esse planejamento subsidia o último PPA, que ainda não apresenta como diretriz explícita o enfrentamento às mudanças climáticas e que não incorpora o programa citado. A LOA de 2024 inclui ações voltadas à Política Estadual de Mudanças Climáticas (PEMC), mas dispersas em programas setoriais, sem conexão com planos existentes. Já a LOA de 2025 apresenta avanços ao definir subfunções orçamentárias específicas para mitigação e adaptação, permitindo rastreabilidade inicial do orçamento climático e alinhamento com o plano de mitigação, embora o plano de adaptação não esteja ainda concluído. Desde 2023, o Estado destina recursos aos municípios para adaptação via Fundo Cidades. Com a publicação do Decreto Estadual 6.164-R, de 22/8/2025, que instituiu o Orçamento Climático como instrumento de integração entre planejamento orçamentário e ações climáticas, vinculado à PEMC e ao PCMC, observa-se um avanço institucional. Assim, o Estado atende parcialmente aos critérios metodológicos, alcançando estágio intermediário.</t>
  </si>
  <si>
    <t>Em relação a 2024, o Espírito Santo deu um passo no rastreamento das despesas climáticas ao incluir, no PLOA 2025, o Quadro X, que lista ações classificadas como de mitigação, adaptação ou ambas. Essa foi a primeira tentativa concreta de identificação e agrupamento das despesas com finalidade climática, as quais totalizaram R$ 626,7 milhões, distribuídos em 15 ações de diferentes áreas, como defesa civil, reflorestamento, saneamento e agricultura sustentável. No entanto, na LOA 2025, em si, não foi identificada distinção entre gastos diretos e indiretos, tampouco entre ações com impacto positivo ou negativo no clima. Nesse sentido, infere- se que a classificação foi realizada de forma pontual, sem documentação de critérios ou integração com sistemas de monitoramento e avaliação. Assim, embora a LOA 2025 tenha representado um avanço em relação à LOA 2024, a ausência de metodologia robusta, padronização e rastreabilidade limitou a efetividade do processo.
Com a edição do Decreto Estadual 6.164-R, de 22/8/2025, que instituiu o Orçamento Climático no ES, observa-se a possibilidade de avanço institucional, em face da previsão de rastreabilidade das despesas. Todavia, segundo o exposto e a metodologia adotada nesta avaliação, o Estado ainda se encontra em estágio inicial quanto ao rastreamento orçamentário da agenda climática.</t>
  </si>
  <si>
    <t>O Espírito Santo editou o Decreto Estadual 2.087-R, de 1.º/7/2008, que estabelece diretrizes para compras e consumo sustentáveis no âmbito do Poder Executivo estadual. O normativo prevê medidas como a exigência de veículos bicombustíveis, uso preferencial de papel reciclado, programas de coleta seletiva e eficiência energética em prédios públicos. Contudo, apesar de seu conteúdo alinhado à sustentabilidade, o Decreto é antigo, genérico e não aborda de forma específica a mitigação de emissões de GEE ou a adaptação às mudanças climáticas, nem foi atualizado à luz da nova Lei de Licitações (Lei 14.133, de 1.º/4/2021).
Além disso, não há evidências de que as determinações do Decreto sejam efetivamente aplicadas nos processos licitatórios ou de que existam modelos de editais, cláusulas padronizadas ou normativos mais recentes que incorporem critérios climáticos nos contratos públicos. Também não foram identificadas iniciativas estruturadas de capacitação técnica voltadas à aplicação de critérios ambientais ou climáticos nos editais ou à avaliação de propostas com base em parâmetros sustentáveis.
Dessa forma, classifica-se o Espírito Santo sem progresso neste quesito. A ausência de regulamentação atualizada, de aplicação prática e de mecanismos voltados ao clima compromete a efetividade da política de compras públicas sustentáveis no Estado.</t>
  </si>
  <si>
    <t>A disponibilidade de dados orçamentários no Portal da Transparência estadual permite busca por projeto, tema e natureza de gasto. Contudo, não há uma marcação específica para a questão climática, apenas sendo possível localizar informações relativas a áreas como meio ambiente, recursos hídricos e defesa civil. Os dados não estão organizados de forma consolidada em torno do tema climático.
A Plataforma ESG-ES representa uma iniciativa pertinente ao reunir conteúdos sobre governança ambiental no setor público, entretanto, tem foco mais institucional do que financeiro. A principal promessa de avanço está na plataforma integrada do Programa Capixaba de Mudanças Climáticas (PCMC), ainda em desenvolvimento, que deverá agregar informações sobre mitigação, adaptação e financiamento, incluindo repasses e investimentos públicos. No entanto, até o momento, essas funcionalidades ainda não estão disponíveis ao público de forma estruturada. Portanto, o Estado ainda não oferece mecanismos plenamente implementados e acessíveis que garantam a transparência ativa, estruturada e contínua dos gastos climáticos.
Com a edição do Decreto Estadual 6.164-R, de 22/8/2025, que instituiu o Orçamento Climático no ES, observa-se um avanço institucional, em face da possível ampliação da transparência das despesas públicas relacionadas à agenda climática. Todavia, o Estado ainda se encontra sem progresso neste quesito, considerando o exposto e a metodologia adotada para esta análise.</t>
  </si>
  <si>
    <t>O Governo do ES informou ao TCE-ES que, por meio da secretarias de Estado de Meio Ambiente e Recursos Hídricos (Seama) e de Economia e Planejamento (SEP), realiza mapeamento contínuo de oportunidades de financiamento ligadas à Política Nacional de Mudanças Climáticas (PNMC), planos setoriais e outras políticas, monitorando editais, participando de redes de cooperação (Iclei, GCF Task Force, WWF) e buscando acesso a fundos estratégicos como Fundo Verde, Fundo Amazônia, Banco Nacional de Desenvolvimento Econômico e Social (BNDES), Banco Mundial e Climate Investment Funds, alinhados a programas prioritários como o Plano Estadual de Descarbonização e o Cidades Resilientes e à Política Estadual de Mudanças Climáticas (PEMC). Conta com equipe técnica qualificada em áreas-chaves, estrutura dedicada à política climática, ações para ampliar a capacidade via cooperação técnica e capacitação contínua de servidores, fortalecendo instituições e melhorando a elaboração de projetos para captação de recursos. Porém não foram encaminhadas e nem encontradas evidências que comprovem o que foi declarado. Já quanto à implementação de ações estaduais como parte de programas nacionais, o governo estadual aderiu ao Plano ABC+, criando o Plano ABC+ ES, que constitui o Plano Estadual Capixaba para adaptação à mudança do clima e baixa emissão de carbono na agropecuária, com vistas ao desenvolvimento sustentável. Assim, considerou-se a adesão a programas e políticas nacionais em estágio inicial.</t>
  </si>
  <si>
    <t>O Governo do ES indicou que a Subsecretaria de Estado de Captação de Recursos (Subcap/SEP) acompanha continuamente linhas de crédito de agentes financeiros e, na fase de contratação, avalia sua adequação aos projetos perante órgãos setoriais, visando identificar fontes externas alinhadas às prioridades do Estado. É responsável pela captação de operações de crédito e elaboração de cartas-consultas, enquanto os órgãos setoriais apresentam e justificam projetos. Após a aprovação da Comissão de Financiamento Externo (Cofiex), a preparação das operações conta com apoio técnico dos financiadores para estruturar os programas ou projetos, garantindo alinhamento ao Planejamento Estratégico e Orçamentário estadual. Porém não foram encaminhadas evidências que comprovem o que foi declarado.
O Plano de Descarbonização e Neutralização das Emissões de GEE do Espírito Santo conta com mapeamento das linhas de financiamento disponibilizadas pelos bancos.
O Governo do Estado possui, na estrutura da Secretaria de Estado de Economia e Planejamento (SEP), a Subcap, o que evidencia a existência de um mecanismo de mapeamento e captação de recursos para financiamento de projetos.
O Estado comprova a capacidade de contratação com fontes externas de financiamento por meio da condução do Programa de Gestão Integrada dos Recursos Hídricos e Revitalização de Bacias Hidrográficas com recursos do Banco Mundial.</t>
  </si>
  <si>
    <t>O Governo do ES informou ao TCE-ES que a Subsecretaria de Captação de Recursos da Secretaria de Estado de Economia e Planejamento (Subcap/SEP) acompanha continuamente a captação de recursos por operações de crédito até a contratualização, enquanto a execução é monitorada pelas Unidades de Gerenciamento de Projetos e, no caso das ações do Planejamento Estratégico, pelo Escritório de Projetos e pela Secretaria de Estado de Meio Ambiente e Recursos Hídricos (Seama), com reuniões periódicas com o Governador. A SEP divulga em seu sítio eletrônico dados sobre todas as operações de crédito em execução e mantém sistema para solicitação de novas operações. As informações são públicas, auditáveis e estruturadas em linguagem acessível, com links para relatórios dos financiadores e acesso via E-docs, conforme LAI e LGPD. Porém não foram encaminhadas evidências que comprovem o que foi declarado.
Encontrou-se no website da SEP página destinada a listar captações de recursos. A página apresenta informações para solicitar nova captação por meio do Sistema de Captação de Recursos (Siscap) e lista operações de crédito contratadas e operações de crédito em contratação. Trata-se tão somente de um website com informações estáticas que não possibilita pesquisas para monitoramento das ações e projetos.
Diante disso, classificou-se o monitoramento e a transparência da captação de recursos em estágio inicial.</t>
  </si>
  <si>
    <t>O ES instituiu, por meio da Lei Estadual 11.253, de 8/4/2021, e do Decreto Estadual 4.896-R, de 2/6/2021, o Programa de Geração de Energias por Fontes Renováveis (Gerar), com o objetivo de promover a diversificação da matriz energética com foco em sustentabilidade, reduzir as emissões de GEE e impulsionar setores estratégicos de geração de energia limpa, inovação e economia de baixo carbono, por meio de incentivos tributários. O Governo do ES também instituiu linhas de crédito para financiamento a atividades econômicas sustentáveis, como as do Banco de Desenvolvimento do Estado do Espírito Santo (Bandes) e do Banco do Estado do Espírito Santo (Banestes), entre elas, a Banestes Crédito Verde e a Bandes Baixo Carbono, além do Fundo de Descarbonização do Bandes.
Contudo, não foram identificadas evidências de mobilização efetiva de recursos privados em 2024 ou 2025 para projetos climáticos. Assim, o Estado se encontra em estágio intermediário neste quesito, de acordo com a metodologia de avaliação.</t>
  </si>
  <si>
    <t>"Embora exista o Programa de Geração de Energias por Fontes Renováveis (Gerar), voltado à promoção de energias renováveis, não foram encontradas evidências de que o Estado realize monitoramento regular dessas ações com foco específico em rastrear a mobilização de recursos privados para projetos climáticos.
Além disso, não foram identificados sistemas, relatórios, plataformas digitais ou mecanismos de transparência ativa que disponibilizem dados atualizados e acessíveis sobre investimentos privados em mitigação ou adaptação.
Dessa forma, considerando a metodologia adotada para esta análise, classifica-se o Estado sem progresso neste quesito.",,P
,Financiamento,,"Versão 2025",Estado,"Estados consolidados",,F1,A,,62.963333333333,,,P
,Financiamento,,"Versão 2025",Estado,"Estados consolidados",,F1,B,,18.518148148148,,,P
,Financiamento,,"Versão 2025",Estado,"Estados consolidados",,F1,C,,39.505185185185,,,P
,Financiamento,,"Versão 2025",Estado,"Estados consolidados",,F1,D,,25.925185185185,,,P
,Financiamento,,"Versão 2025",Estado,"Estados consolidados",,F2,A,,58.024814814815,,,P
,Financiamento,,"Versão 2025",Estado,"Estados consolidados",,F2,B,,64.198888888889,,,P
,Financiamento,,"Versão 2025",Estado,"Estados consolidados",,F2,C,,24.691851851852,,,P
,Financiamento,,"Versão 2025",Estado,"Estados consolidados",,F3,A,,50.618148148148,,,P
,Financiamento,,"Versão 2025",Estado,"Estados consolidados",,F3,B,,18.518518518519,</t>
  </si>
  <si>
    <t>A equipe verificou no PPA, LDO e LOA do Município e não constatou expresso nessas normas orçamentárias recursos públicos para ações direcionadas ao enfrentamento da mudança do clima e seus impactos. As rubricas não identificam esse proposito.
Foram analisados os programas e as ações do PPA.</t>
  </si>
  <si>
    <t>De acordo com a Prefeitura, não há rastreamento das despesas/gastos orçamentários, diretos e indiretos, realizados em ações que contribuem para o enfrentamento dos impactos da mudança do clima.</t>
  </si>
  <si>
    <t>A Prefeitura respondeu negativamente a existência de mecanismos para a inclusão de critérios e práticas de sustentabilidade, de redução da emissão de GEE e/ou de adaptação à mudança do clima nas compras e contratações públicas realizadas. Ocorre que, ao responder o item P3.D trouxe a informação de que o Município instituiu o Manual de Compras Públicas para Eficiência Energética e Conservação da Água. Ele foi desenvolvido no âmbito do Projeto Cidades Eficientes do Conselho Brasileiro da Construção Sustentável com financiamento do Instituto Clima e Sociedade entre 2019-2021.  O documento apresenta algumas diretrizes baseadas na ISO 20400, normativa que orienta os processos de compras sustentáveis nos setores público ou privado, compreendendo os aspectos políticos e estratégicos do processo.
A equipe verificou que o Manual promove em parte a adoção de critérios e práticas de sustentabilidade nas compras, embora não expresse o interesse de reduzir a emissão de GEE.</t>
  </si>
  <si>
    <t>A Prefeitura informa que não existem mecanismos  específicos de transparência ativa que fornecem informações e dados atualizados e acessíveis em formato de dados abertos e linguagem simples sobre orçamento e gasto público climático, inclusive contratações emergenciais.
O mecanismo existente é o Portal da Transparência que permite o acesso às informações gerais da Prefeitura (contas públicas, receitas, despesas, contratos, licitações etc.), em cumprimento à Lei de Acesso a Informação ( Lei Federal n. 12.527/11), que foi regulamentada no pelo Decreto Municipal  n. 27073/2024 e pela Lei Municipal n.  9447/14.</t>
  </si>
  <si>
    <t>O município está participando do programa/projeto CITinova II, cujo escopo envolve: Desenvolvimento Urbano Sustentável
Ocorre que o Programa é uma iniciativa do Ministério da Ciência, Tecnologia e Inovação (MCTI) para acelerar o desenvolvimento sustentável em regiões metropolitanas brasileiras, com menos emissões de gases de efeito estufa e priorizando a conservação da biodiversidade. Não se trata de uma iniciativa do Município, conforme consta no https://www.funbio.org.br/programas_e_projetos/citinovaii/.</t>
  </si>
  <si>
    <t>De acordo com o município, há capacidade técnica e administrativa para elaborar projetos e acompanhar o seu andamento. Para comprovar informa que foram captados recursos junto ao BID, via Lei Municipal 11.176/2024.
A equipe de auditores não constatou a existência de um mapeamento das oportunidades de financiamento para as ações climáticas, embora concorde que há capacidade técnica para elaboração de projetos.</t>
  </si>
  <si>
    <t>A Prefeitura informa que a execução financeira pode ser acompanhada por meio do portal da Transparênciad do município e execução física das obras pode ser acompanhada pelo portal CIGA Obras, ainda em fase de aplicação no município, portanto sem ampla abertura a todos os públicos na presente data.
Apesar da informação, não foi constatada ações de mobilização de recursos para execução da política climática, logo não há monitoramento.</t>
  </si>
  <si>
    <t>A Prefeitura informa que identificou o City Climate Gap Fund, e está avançando nas tratativas para tentar viabilizar o projeto via reuniões virtuais para consultoria assistida e troca de e-mails. Essa informação está carente de comprovação e não consta informação a respeito na internet. 
Informa também que está elaborando projetos que atendam a Lei de Incentivo a Reciclagem, e dentro do escopo dos projetos, a mitigação de GEE está contemplada. Entretanto, as ações estão ainda em fase interna, sem qualquer implementação.
A Prefeitura também informou que conseguiu mobilizar recursos para ações com objetivos climáticos, citando a Lei Municipal 11.176/2024.
Apesar das informações, a mobilização de recursos privados não foi demonstrada. 
Não foi constada estrutura no ente que busque a mobilização de recursos privados em ações que contribuam para o alcance dos objeivos climáticos.</t>
  </si>
  <si>
    <t>De acordo com a Prefeitura, não existe sistema específico para monitorar os mecanismos de mobilização de financiamento climático privado. Afirma que o monitoramento é realizado por meio dos agentes públicos municipais em portais de notícias, editais divulgados e demais oportunidades disponibilizadas de forma pública.
Ocorre que não foi constatada a identificação e implementação de mecanismos ou incentivos para moibilzar financiamento climático privado pelo Município, conforme item F3.A da avaliação.</t>
  </si>
  <si>
    <t>A Prefeitura de Fortaleza demonstra alinhamento parcial com os atributos estabelecidos:
PPA e diretrizes climáticas: O ente incorporou ações de mitigação e adaptação no Plano Plurianual (PPA), com destaque para transporte sustentável e gestão de resíduos, indicando atendimento à diretriz climática.
Alocação de recursos (2024-2025): Há previsão orçamentária específica para projetos como mobilidade elétrica e infraestrutura resiliente, mas sem detalhamento quantitativo da proporção destinada exclusivamente à ação climática.
Alinhamento com políticas climáticas: Observa-se convergência entre programas orçamentários e metas do Plano Municipal de Mudança do Clima, especialmente em descarbonização do transporte.
Pontos críticos:
Ausência de classificação orçamentária específica para "clima" (ex: código de despesa dedicado)
Lacunas na integração transversal do tema em rubricas setoriais (ex: saúde e agricultura resilientes)
Necessidade de maior transparência na rastreabilidade dos gastos climáticos.</t>
  </si>
  <si>
    <t>A Prefeitura de Fortaleza adota uma metodologia explícita para identificar, mensurar e classificar gastos climáticos, vinculando ações ao ODS 13 e diferenciando-as por níveis de aderência ("Forte" e "Moderado"). Essa abordagem permite rastrear despesas diretas (via "Forte") e indiretas (via "Moderado") para mitigação e adaptação. No entanto, os documentos analisados não evidenciam mecanismos para identificar ações com impactos negativos ou subsídios perversos. Assim, embora a capacidade de rastreamento para contribuições positivas seja robusta, a ausência de identificação de impactos negativos impede a classificação em Estágio Avançado, justificando o Estágio Intermediário.</t>
  </si>
  <si>
    <t>Fortaleza está em Estágio Inicial. Embora o Decreto Municipal nº 15.595/2023, art. 27, II, estabeleça a inserção de critérios de sustentabilidade nas contratações públicas (atendendo parcialmente ao atributo 1), a inclusão de critérios específicos de redução de GEE e adaptação à mudança do clima como requisitos obrigatórios é uma intenção para futuros editais, não uma prática plenamente consolidada (atendimento parcial ao atributo 2). Não foram apresentadas evidências sobre mecanismos de construção de capacidades técnicas (atributo 3).</t>
  </si>
  <si>
    <t>Apesar de Fortaleza divulgar estudos, inventários de emissões, relatórios técnicos e o Plano Local de Ações Climáticas em seu portal, além de iniciativas de participação e divulgação internacional junto ao CDP, não há mecanismos específicos que permitam ao cidadão, pesquisador ou órgão de controle acessar dados abertos, atualizados e auditáveis sobre o orçamento climático municipal nem sobre gastos públicos aplicados em ações climáticas. Faltam registros transparentes de execução orçamentária e financeira relacionados a iniciativas climáticas, em formatos padronizados abertos e desagregados, assim como ausência de informações sobre contratações emergenciais. Tal situação viola os principais requisitos de transparência ativa definidos pelo manual, limitando o controle social e a capacidade de fiscalização sobre a correta aplicação dos recursos públicos destinados à agenda climática.</t>
  </si>
  <si>
    <t>O município relata o mapeamento ativo de oportunidades e busca de acesso a fontes de financiamento voltadas ao combate às mudanças climáticas, conforme solicitado pelo Painel ClimaBrasil. Entretanto, na resposta analisada, não foram apresentadas evidências de adesão concreta a programas federais ou estaduais, nem comprovação de transferência de recursos ou execução de projetos decorrentes desses instrumentos. Conforme orientações metodológicas, a mera identificação de oportunidades, sem a efetiva obtenção de recursos a partir da adesão a programas, não permite avançar para estágios superiores. Recomenda-se buscar documentação de adesão e captação para elevar a avaliação em exercício futuro.</t>
  </si>
  <si>
    <t>Com base na documentação analisada e na resposta da Prefeitura de Fortaleza, observa-se a existência de mecanismos para mapear oportunidades de captação de recursos externos, incluindo identificação de linhas de financiamento nacionais e internacionais voltadas para ações climáticas. A prefeitura demonstra possuir capacidade técnica para a elaboração de projetos competitivos, evidenciada pelo desenvolvimento de estudos e apresentação de propostas a editais de fomento, contemplando áreas como infraestrutura resiliente, energia limpa e mobilidade sustentável. No entanto, embora alguns projetos tenham sido submetidos a bancos de desenvolvimento e fundos climáticos, ainda são limitados os registros de captação efetiva de recursos dessas fontes para execução de ações específicas, bem como de demonstrativos claros sobre recebimento e execução desses financiamentos no período recente. Assim, considerando que há mecanismos estruturados e atuação concreta, porém nem todos os requisitos do item 3 (captação efetiva e execução comprovada)</t>
  </si>
  <si>
    <t>Com base na documentação analisada e na resposta da Prefeitura de Fortaleza anexada ao processo, observa-se que as ações ligadas à captação de recursos para execução de políticas climáticas possuem algum tipo de monitoramento, evidenciado por registros internos e encaminhamento regular de informações para áreas gestoras e financiadores. Contudo, não foram identificados sistemas ou plataformas públicas específicas que apresentem dados atualizados e detalhados sobre a captação de recursos climáticos, nem mecanismos estruturados para transparência ativa aos cidadãos ou partes interessadas. Além disso, as informações disponíveis não estão organizadas em formato acessível, desagregado ou em linguagem simples, inviabilizando o pleno acompanhamento externo dos resultados e da aplicação dos recursos. Dessa forma, embora exista monitoramento administrativo interno, não há efetiva divulgação regular ou estruturação adequada das informações para consulta pública, o que limita a transparência e a possibilidade de controle social, fatores essenciais para avançar a classificação no item avaliado.</t>
  </si>
  <si>
    <t>Não foi identificada, na documentação apresentada, qualquer iniciativa formal do ente federativo voltada ao mapeamento de oportunidades para incentivar o investimento privado em ações de mitigação e adaptação climática.</t>
  </si>
  <si>
    <t>Não há evidências de que o município realiza monitoramento regular das ações de mobilização de recursos privados para a agenda climática. A evidência apresentada a equipe refere-se ao monitoramento de recursos internacionais e do Fundo Clima, não abrangendo especificamente ações ou mecanismos de monitoramento relativos à mobilização de investimentos privados. Conforme a metodologia, a ausência total de comprovação de monitoramento regular dessas ações exige a atribuição da pontuação Sem progresso.</t>
  </si>
  <si>
    <t>Em relação à Alocação Orçamentária no Estado de Goiás, o Plano Plurianual (PPA) vigente não tem como uma de suas diretrizes, de forma direta, o enfrentamento das mudanças climáticas. Apesar disso, as leis orçamentárias apresentam relativo alinhamento com estratégias de mitigação e adaptação, destinando recursos próprios para iniciativas voltadas a esse tema. O PPA 2024-2027, por exemplo, inclui o Programa 1011 - Gestão e Desenvolvimento Sustentável de Recursos Naturais, que destaca a importância de fortalecer a resiliência do Estado aos impactos das mudanças climáticas.
Além disso, há outras ações no orçamento estadual relacionadas ao enfrentamento das mudanças climáticas, tais como: gestão de resíduos sólidos, preservação de recursos hídricos, recuperação de bacias hidrográficas, planos para adaptação climática com baixa emissão de carbono e programas de bioinsumos. Isso demonstra que Goiás destina recursos próprios para ações ou iniciativas direcionadas ao enfrentamento da mudança do clima e seus impactos e que há alinhamento dos recursos orçamentários com algumas políticas de mitigação e adaptação estabelecidos.
Embora alguns programas orçamentários se relacionem com diretrizes voltadas à preservação ambiental, essas iniciativas ainda não estão claramente identificadas ou organizadas sob uma diretriz específica de enfrentamento das mudanças climáticas nos documentos orçamentários atuais, indicando que o Estado de Goiás está em um estágio inicial nesse processo.</t>
  </si>
  <si>
    <t>"Ao analisar o orçamento público do Estado de Goiás para identificar e mensurar as despesas relacionadas ao enfrentamento das mudanças climáticas, seja no eixo da mitigação (redução de emissões de gases de efeito estufa) ou no eixo da adaptação (resiliência a eventos climáticos extremos), verifica-se a existência de algumas ações e programas vinculados a unidades como a Secretaria de Estado do Meio Ambiente e o Fundo Estadual do Meio Ambiente, que possuem relação com essa temática. Todavia, não há evidências de uma metodologia estruturada para identificar os gastos climáticos, devido à ausência de marcadores orçamentários específicos.
No Brasil, o rastreamento de despesas no orçamento público segue uma estrutura programática com base na Lei nº 4.320/1964 e na Lei de Responsabilidade Fiscal, além das diretrizes estabelecidas pelo Manual de Contabilidade Aplicada ao Setor Público (MCASP) e pelo Manual Técnico de Orçamento (MTO).  Essa estrutura é composta por três elementos principais: a Subfunção, que detalha as áreas de atuação do governo, permitindo maior especificidade na alocação de recursos</t>
  </si>
  <si>
    <t>Em Goiás, a Lei nº 21.826/2023, determina a inclusão de cláusulas de sustentabilidade nos editais, propostas e contratos de locação de imóveis firmados pelos órgãos do Poder Público. A administração pública deve dar preferência à locação de imóveis que adotem práticas sustentáveis, como o reaproveitamento de água da chuva e o uso de energia renovável, utilizando tecnologias, materiais e métodos que reduzam o impacto ambiental.
Já a Lei Federal nº 14.133/2021, que estabelece a nova Lei de Licitações e Contratos, também trata da sustentabilidade nas compras públicas. Ela define o desenvolvimento sustentável como um dos princípios e exige que o planejamento das aquisições considere critérios de sustentabilidade, como a redução de impactos ambientais. Além disso, a lei incentiva práticas sustentáveis em várias etapas do processo licitatório, como na definição de critérios de julgamento e na especificação de bens e serviços, promovendo responsabilidade ambiental. Em Goiás, Decreto estadual nº 10.207/2023 regulamenta a etapa preparatória das contratações, prevendo critérios e de práticas de sustentabilidade.
Dessa forma, pode-se concluir que Goiás ainda está em um estágio inicial, considerando o recente marco legal e a falta de evidências que demonstrem a existência de capacidades técnicas no governo para implementar, de forma efetiva, critérios de sustentabilidade, redução de emissões de gases de efeito estufa (GEE) e de adaptação à mudança do clima nas compras públicas.</t>
  </si>
  <si>
    <t>No que se refere à transparência dos dados sobre o orçamento climático e os gastos públicos em ações e iniciativas relacionadas às mudanças climáticas, como apresentado no item B deste F1, há uma limitação na estrutura programática do orçamento estadual para identificar, de forma precisa, os gastos diretos e indiretos destinados a essas ações. Atualmente, o orçamento climático é identificado apenas por meio de subfunções, programas e ações, sem o uso de marcadores específicos. Assim, as despesas são executadas em iniciativas genéricas e sem especificidade com a questão climática. Nesse contexto, não é possível afirmar que as informações estão organizadas de forma que qualquer cidadão ou parte interessada possa facilmente compreender e acompanhar a evolução das ações (em linguagem acessível) ou que estejam disponíveis em formatos padronizados (dados abertos).
O Portal Goiás Transparente possui uma aba denominada Gestão Ambiental, onde são apresentadas, em tempo real e com série histórica satisfatória, as dotações e execuções de despesas relacionadas ao meio ambiente. No entanto, essas informações estão disponíveis apenas no nível de subfunções (como Preservação e Conservação Ambiental e Recursos Hídricos), inviabilizando o acompanhamento do orçamento climático.
Portanto, são necessários avanços para que os gastos públicos em ações e iniciativas climáticas sejam disponibilizados de maneira contínua, estruturada e acessível, promovendo maior transparência e compreensão.</t>
  </si>
  <si>
    <t>O Estado de Goiás possui mecanismos e capacidades para aderir a instrumentos e programas vinculados a planos climáticos federais e estaduais. O governo estadual desenvolve planos setoriais de mitigação alinhados à Política Nacional de Mudança do Clima, como o Plano ABC+GO para a agropecuária e o Plano de Prevenção e Controle do Desmatamento, Queimadas e Incêndios Florestais (PPCDQIF).
Além disso, Goiás aderiu ao Programa Adaptacidades do Ministério do Meio Ambiente, fortalecendo as políticas de adaptação e resiliência climática por meio da integração entre os níveis nacional e local. Foi criado o Programa Goiás Resiliente, que inicia protocolos para emergências ambientais, com o objetivo de mapear áreas de risco e capacitar gestores municipais para atuar em situações decorrentes das mudanças climáticas. A implementação dessas políticas conta com recursos de fundos como o Fundo Amazônia, Fundo Clima e Programa ABC+.
O Estado também avança no Programa Jurisdicional de REDD+, buscando elegibilidade para captar recursos pela redução de emissões no bioma Cerrado, com potencial estimado em 192 milhões de toneladas de CO2 equivalente entre 2011 e 2020, segundo a Secretaria de Estado do Meio Ambiente e Desenvolvimento Sustentável.
Essas ações demonstram que Goiás está em estágio avançado na adesão a programas e políticas nacionais e estaduais voltados para o clima, evidenciando a implementação efetiva das medidas decorrentes dessa adesão.</t>
  </si>
  <si>
    <t>Goiás demonstra ter mecanismos e capacidade para identificar e acessar diversas fontes de recursos para projetos de mudança do clima. O estado realiza o mapeamento de oportunidades de financiamento e tem sucesso na captação, como evidenciado pelo financiamento de US$ 500 milhões do Banco Mundial para a Recuperação Sustentável.
Outros exemplos de sucesso incluem o Programa Copaibas, com recursos da Noruega (NICFI), e o PAT Veredas Goyas-Geraes, com verbas do Fundo Mundial para o Meio Ambiente (GEF). Observa-se, também, a captação de recursos do Fundo Nacional sobre Mudança do Clima (Fundo Clima) na implantação de usinas solares fotovoltaicas em 2023. Além disso, o estado se posiciona estrategicamente para futuras captações por meio do desenvolvimento de seu Programa Jurisdicional de REDD+, visando certificações e o acesso ao Sistema Brasileiro de Comércio de Emissões (SBCE).
O estado de Goiás apresenta um desempenho de nível intermediário, pois atende a quase todos os requisitos do item. O critério não é totalmente atendido porque, apesar dos resultados positivos na captação, foi identificada a falta de capacidade técnica interna para a elaboração de projetos competitivos, sendo este o principal ponto a ser aprimorado para o pleno atendimento do item.</t>
  </si>
  <si>
    <t>Apesar de o Estado de Goiás acessar recursos para a política climática por meio de programas nacionais (Item A) e projetos específicos (Item B), ele é classificado como "Sem Progresso" neste item devido à ausência de mecanismos adequados de monitoramento e transparência.
Atualmente, não há evidências de um monitoramento contínuo e regular (Atributo 1) realizado de forma centralizada pelo próprio estado. A transparência sobre os recursos captados não ocorre de forma ativa (Atributo 2), pois as informações encontram-se espalhadas em diversos portais e relatórios de projetos, sem um sistema único que consolide os dados. A divulgação acontece de maneira reativa, seguindo o formato e a periodicidade que cada agente financiador externo define, e não como uma política proativa do estado.
Consequentemente, as informações disponíveis não são de fácil acesso, nem estão estruturadas em formato de dados abertos ou em linguagem simples (Atributo 3). Falta a desagregação essencial dos dados, como a diferenciação entre recursos de doação e de empréstimo.
Essa fragmentação da informação inviabiliza o controle social por cidadãos e órgãos de fiscalização. Além disso, prejudica a atração de novas fontes de financiamento e parcerias com o setor privado, que dependem de uma gestão de recursos transparente e organizada para garantir a seriedade e o sucesso dos investimentos futuros.</t>
  </si>
  <si>
    <t>No período de 2024-2025, o Estado de Goiás dispôs de mecanismos e estruturas que viabilizaram a mobilização de recursos privados direcionados a ações alinhadas com os objetivos climáticos. Entre estas iniciativas, destacam-se o financiamento de atividades sustentáveis, como projetos de energia solar e eficiência energética, e a promoção do acesso a linhas de crédito rural sustentável, voltadas para produtores que adotam práticas agrícolas menos impactantes ao meio ambiente (com condições diferenciadas, como taxas de juros mais baixas que as do mercado, prazo de pagamento mais longo e carência maior).
Essas ações envolveram a participação de diversos agentes privados, como investidores, fundos de pensão, companhias seguradoras e produtores rurais, contribuindo para ampliar o alcance das políticas de mitigação e adaptação às mudanças climáticas. A existência de instrumentos normativos e programas setoriais no Estado também colaborou para a atração de investimentos privados em setores estratégicos.
Dessa forma, verifica-se que Goiás apresenta mecanismos e estruturas, além de registrar a mobilização de recursos privados, em ações que contribuem efetivamente para o cumprimento dos objetivos climáticos estabelecidos, no contexto analisado.</t>
  </si>
  <si>
    <t>No tocante ao monitoramento e à transparência das ações para mobilização de investimentos privados em financiamento climático no Estado de Goiás, observa-se que não há um acompanhamento contínuo e regular dessas iniciativas. Embora existam instrumentos como o Portal da Transparência Goiás, o Portal da Secretaria de Meio Ambiente e Desenvolvimento Sustentável, e o Sistema de Planejamento e Monitoramento - SIPLAM, tais plataformas apresentam dados esparsos, não estruturados de maneira a permitir o monitoramento específico, sistemático e atualizado da captação e aplicação de recursos privados em ações climáticas. Além disso, não há evidências de mecanismos que permitam ao Estado de Goiás efetivamente executar ações de monitoramento da mobilização de investimento privado climático ao menos uma vez ao ano.
Verifica-se, portanto, a inexistência de mecanismos que garantam o monitoramento, a transparência ativa, com informações facilmente acessíveis, organizadas e voltadas para a consulta pública ou auditoria, de modo a permitir o acompanhamento dos resultados e impactos dessas ações por cidadãos, órgãos de controle e partes interessadas.
Dessa forma, conclui-se que o Estado de Goiás não apresenta, até o momento, progressos em termos de monitoramento e transparência regular das ações de mobilização de financiamento climático privado, apesar da existência de iniciativas pontuais para captação desses recursos.</t>
  </si>
  <si>
    <t>O enfrentamento das mudanças climáticas não constitui diretriz nos instrumentos de planejamento financeiro do município de João Pessoa. No QDD de 2024 consta uma única ação relacionada ao tema.</t>
  </si>
  <si>
    <t>Conforme QDD em anexo, é possível rastrear despesas que são expressamente designadas em ação específica, todavia os gastos indiretos não podem ser rastreados sistematicamente.</t>
  </si>
  <si>
    <t>Não foram enviados elementos que evidenciassem a aplicação do item em análise.</t>
  </si>
  <si>
    <t>Não foram evidenciados mecanismos de transparência ativa ou passiva que apresentem dados sobre o orçamento climático e os gastos públicos em ações e iniciativas climáticas de modo contínuo, com dados atualizados e disponíveis para a sociedade.</t>
  </si>
  <si>
    <t>O plano de ação climática do município de João Pessoa é resultado objetivo da adesão à programas nacionais e captação de recursos de forma pontual, e não de uma forma sistemática.</t>
  </si>
  <si>
    <t>O município de João Pessoa já desenvolveu projetos com recursos captados com o BID, a exemplo do Programa João Pessoa Sustentável, conforme link em anexo.</t>
  </si>
  <si>
    <t>Não há evidencias de sistemas ou websites que promovam a transparência das ações analisadas neste tópico.</t>
  </si>
  <si>
    <t>Não foram encaminhada evidências da existência de mecanismos para monitoramento da captação de recursos para o enfrentamento das mudanças climáticas.</t>
  </si>
  <si>
    <t>Não foram encaminhada evidências da existência de mecanismos que permitam a transparência da captação de recursos para o enfrentamento das mudanças climáticas.</t>
  </si>
  <si>
    <t>As leis orçamentárias do município de Macapá (PPA, LDO e LOA) não apresentam vinculação explícita a planos ou estratégias de mitigação e adaptação às mudanças climáticas. Não há previsão de recursos orçamentários específicos voltados ao enfrentamento dos impactos climáticos, seja em programas setoriais (meio ambiente, saneamento, mobilidade) ou em ações transversais. A ausência de diretrizes climáticas nos instrumentos de planejamento impossibilita a alocação de recursos com essa finalidade.</t>
  </si>
  <si>
    <t>A Prefeitura de Macapá não dispõe de mecanismos para identificar, classificar ou monitorar as despesas orçamentárias relacionadas ao enfrentamento das mudanças climáticas. Não há metodologia para diferenciar gastos climáticos (mitigação/adaptação) de despesas gerais de meio ambiente, tampouco instrumentos que apontem recursos aplicados em ações prejudiciais aos objetivos climáticos (como subsídios a atividades de alta emissão de carbono). A ausência de plano ou estratégia climática inviabiliza o rastreamento sistemático dessas despesas.</t>
  </si>
  <si>
    <t>A Prefeitura de Macapá não possui normas, editais ou práticas que incorporem critérios de sustentabilidade ou requisitos de mitigação e adaptação às mudanças climáticas em suas compras e contratações públicas. Não foram identificadas licitações ou instrumentos que prevejam redução de emissões de GEE (como eficiência energética, materiais de baixo carbono, transporte sustentável) nem exigências de adaptação em obras e serviços contratados.</t>
  </si>
  <si>
    <t>O município de Macapá não disponibiliza informações de forma ativa sobre orçamento e gastos públicos climáticos. Não existem relatórios, portais ou bases de dados em formato aberto que permitam identificar despesas relacionadas à mitigação, adaptação ou contratações emergenciais ligadas à mudança do clima. Também não foram encontrados mecanismos de comunicação em linguagem simples que facilitem o acompanhamento pela sociedade civil.</t>
  </si>
  <si>
    <t>O município de Macapá não apresenta mecanismos institucionais ou capacidades instaladas para aderir formalmente a instrumentos e programas vinculados a planos climáticos federais (como a Política Nacional sobre Mudança do Clima - PNMC, o Plano Nacional de Adaptação) ou estaduais (como a Política Estadual de Mudanças Climáticas - Lei nº 3.128/2024). Não foram identificados convênios, termos de cooperação, projetos ou financiamentos que evidenciem implementação de medidas derivadas desses programas no âmbito municipal.</t>
  </si>
  <si>
    <t>O município de Macapá não possui mecanismos estruturados para identificar e acessar fontes alternativas de financiamento  -  sejam internas (fundos estaduais, editais públicos nacionais) ou externas (fundos internacionais de clima, bancos multilaterais, cooperação técnica). Não há registro de projetos específicos apresentados ou aprovados que tenham garantido recursos para mitigação ou adaptação climática. Também não foram encontradas evidências de execução de iniciativas financiadas por essas fontes.</t>
  </si>
  <si>
    <t>O município de Macapá não possui mecanismos de monitoramento da execução físico-financeira de ações ou projetos voltados à mudança do clima. Também não foram identificados relatórios ou plataformas de transparência que forneçam informações atualizadas, desagregadas e acessíveis em formato de dados abertos sobre recursos captados  -  seja doação, seja empréstimo. A ausência de planos e de captação de recursos climáticos inviabiliza tanto o acompanhamento sistemático quanto a divulgação pública dos resultados.</t>
  </si>
  <si>
    <t>O município de Macapá não identificou nem implementou mecanismos, incentivos ou instrumentos que visem mobilizar recursos privados para financiamento climático. Não há registros de parcerias público-privadas, editais, fundos locais ou incentivos fiscais que estimulem empresas ou indivíduos a investirem em mitigação ou adaptação climática.</t>
  </si>
  <si>
    <t>O município de Macapá não possui mecanismos de mobilização de financiamento climático privado, e, portanto, não realiza monitoramento nem divulga informações sobre resultados de tais instrumentos. Não há relatórios, portais de transparência ou dados em formato acessível que permitam à sociedade acompanhar eventuais iniciativas privadas de financiamento climático.</t>
  </si>
  <si>
    <t>O PPA, embora não mencione explicitamente o termo "mudanças climáticas", contém diversos programas e ações diretamente relacionados à agenda climática: Programa 0006 FORTALECIMENTO DA GESTÃO AMBIENTAL, Programa 0044 PLANEJAMENTO GOVERNAMENTAL DO MUNICÍPIO, Programa 0011 MACEIÓ BEM CUIDADA
Neste mesmo sentido, a Lei Orçamentária Anual possui programas de trabalho que contribuem para o enfrentamento das mudanças climáticas, tais como: Realizar Atividades de Educação Ambiental
A LOA 2025, portanto, aloca recursos para as ações previstas no PPA 2022-2025, confirmando o cumprimento dos critérios 2 e 3. Em resumo:
Critério 1 (PPA): Atendido, embora não em sua totalidade. A ausência de diretrizes ESPECÍFICAS para o " enfrentamento das mudanças climáticas" é vista como uma lacuna, justificando um não atendimento "total".
Critério 2 (LOA): Atendido. A LOA 2025 aloca recursos para diversas ações climáticas.
Critério 3 (Alinhamento): Atendido. As ações na LOA correspondem diretamente aos programas do PPA.</t>
  </si>
  <si>
    <t>O Município não adota nenhuma metodologia de identificação e rastreamento dos gastos climáticos. Não há especificação dos gastos relacionados ao clima, determinação do escopo de cobertura de tais gastos e estimativa dos montantes dos gastos relacionados às mudanças climáticas.</t>
  </si>
  <si>
    <t>O decreto 9.512/2023 que dispões sobre a licitação pelo critério técnica e preço, no seu art. 27, inclui o atendimento a preceitos de desenvolvimento sustentável como requisito para conformidade das propostas técnicas.
No processo de Concorrência Pública 01/2025 destinado à realização de investimentos e de serviços para reforma/revitalização, operação, gestão e manutenção do complexo administrativo da prefeitura municipal de Maceió/al, há um anexo com  Diretrizes obrigatórias de sustentabilidade a serem cumpridas. 
Deste modo, observa-se que existem mecanismos que promovem em parte a adoção de critérios e práticas de sustentabilidade ou de mitigação/adaptação nas compras e contratações públicas.</t>
  </si>
  <si>
    <t>Não existem sistemas, relatórios, websites ou outras ferramentas ou plataformas específicas que apresentem dados sobre o orçamento climático e os gastos públicos em ações e iniciativas climáticas de modo contínuo.
Desse modo, é relevante disponibilizar uma plataforma de uso simples, que possibilite à população acompanhar em tempo real o cumprimento das metas, os resultados pretendidos e alcançados os recursos empregados e o cronograma de execução dos gastos relacionados ao clima.</t>
  </si>
  <si>
    <t>Não existem mecanismos nem capacidades internas que viabilizem a adesão do ente federativo a políticas/programas federais e/ou estaduais.</t>
  </si>
  <si>
    <t>Não existem mecanismos que viabilizam a identificação de oportunidades para acesso a fontes de recursos financeiros para projetos específicos.</t>
  </si>
  <si>
    <t>As ações de mobilização de captação de recursos para execução da política climática não são monitoradas com regularidade.</t>
  </si>
  <si>
    <t>O município não possui mecanismos e estruturas que permitam a mobilização de recursos privados em ações que contribuem para o alcance dos objetivos climáticos.</t>
  </si>
  <si>
    <t>As ações de mobilização de investimento privado climático não são monitoradas com regularidade, bem como as informações sobre os resultados dos mecanismos estabelecidos.</t>
  </si>
  <si>
    <t>"Na elaboração do PPA 2022-2025, a Prefeitura de Manaus integrou os Objetivos de Desenvolvimento Sustentável (ODS) da Agenda 2030 como referência para formulação de indicadores e alinhamento estratégico, vinculando programas municipais às metas globais. Esse alinhamento resultou em iniciativas voltadas ao enfrentamento da mudança do clima e de seus impactos socioambientais, como o Programa Manaus Verde (R$ 14,5 milhões - pág. 78), que fortalece licenciamento, fiscalização e arborização urbana</t>
  </si>
  <si>
    <t>O Município de Manaus desenvolve programas e ações voltados ao enfrentamento das mudanças climáticas, como o Manaus Verde, os Igarapés de Manaus e a Rede de Micro e Macrodrenagem, que contemplam medidas de mitigação e adaptação por meio de arborização urbana, revitalização hídrica e obras de drenagem, evidenciando compromisso com a pauta climática e ambiental no planejamento público. Contudo, apesar desses avanços, ainda não existem mecanismos específicos e sistemáticos para identificar, de forma abrangente, todas as despesas orçamentárias  -  diretas e indiretas  -  relacionadas a ações climáticas, nem para classificar gastos potencialmente prejudiciais aos objetivos ambientais, como subsídios perversos ou atividades intensivas em carbono. Atualmente, a identificação ocorre apenas de forma indireta, a partir de dotações vinculadas a funções e secretarias, sem categorização orçamentária própria. Assim, conclui-se que, embora o município já tenha iniciado a incorporação da agenda climática em seus instrumentos de planejamento, a classificação e o monitoramento das despesas nessa área permanecem em estágio inicial, demandando metodologias específicas que permitam consolidar uma gestão fiscal efetivamente alinhada às metas de mitigação e adaptação climática.</t>
  </si>
  <si>
    <t>O Município de Manaus dispõe de mecanismos normativos em fase de implementação que possibilitam a inclusão de critérios e práticas de sustentabilidade nas compras e contratações públicas. O Decreto Municipal nº 5.525/2023, que regulamenta a Lei Federal nº 14.133/2021 no âmbito do Executivo Municipal, estabelece em seu art. 4º, inciso III, que é função da governança das contratações promover a sustentabilidade, abrangendo aspectos de acessibilidade, inclusão social e responsabilidade socioambiental. Ademais, tramita na Câmara Municipal o Projeto de Lei nº 422/2025, que institui a obrigatoriedade de Programa de Integridade por pessoas jurídicas contratadas pelo poder público e, em seu art. 13, Capítulo V, faculta a inclusão de cláusulas de responsabilidade socioambiental nos editais, contemplando ações como preservação e recuperação de ambientes urbanos, redução de gases de efeito estufa (GEE), uso sustentável de recursos naturais, adoção de práticas de compras sustentáveis, plantio de árvores em áreas de interesse ambiental e incentivo à certificação de sustentabilidade em edificações. Assim, constata-se que o Município já possui base normativa consolidada e iniciativas legislativas em andamento que permitem a adoção de critérios de sustentabilidade e adaptação às mudanças climáticas nas contratações públicas, embora ainda se trate de processo em construção que demanda maior fortalecimento prático e integração com as políticas climáticas municipais.</t>
  </si>
  <si>
    <t>O Município de Manaus dispõe de mecanismos de transparência ativa voltados ao acompanhamento do orçamento e dos gastos relacionados à agenda climática, ainda em fase inicial de implementação. O Portal da Transparência disponibiliza dados sobre a execução orçamentária de programas como o Manaus Verde (licenciamento, fiscalização e arborização urbana), Igarapés de Manaus (conservação e recuperação hídrica) e Rede de Micro e Macrodrenagem, acessíveis no módulo "despesa", aba "programas", com opção de download em múltiplos formatos (PDF, ODT, XLS, DOC). Há ainda o módulo de estiagem, que detalha contratos e empenhos firmados com base no Decreto nº 5.983/2024, permitindo acompanhar medidas emergenciais adotadas em razão da seca, inclusive informações sobre empenhos e contratações. Apesar dos avanços, foi constatado instabilidade no Portal de Transparência da Prefeitura de Manaus, que pode acarretar prejuízos a realização de consulta e confirmação de informações. Nesse sentido, a Prefeitura desenvolve um novo portal de transparência, mais robusto, que deverá consolidar e ampliar essas informações, reforçando que a política municipal de transparência climática encontra-se em estágio inicial de desenvolvimento.</t>
  </si>
  <si>
    <t>O Município de Manaus possui mecanismos institucionais que permitem aderir a planos climáticos federais e estaduais, em consonância com a Política Nacional sobre Mudança do Clima (PNMC). Está em revisão o Plano Municipal de Saneamento Básico, alinhado ao plano nacional, fortalecendo a dimensão adaptativa na gestão hídrica e de resíduos. No campo normativo, a Lei Municipal nº 254/2010 define diretrizes de mitigação, como eficiência energética, arquitetura bioclimática e incentivos fiscais ambientais. A Lei Ordinária nº 3.224/2023 criou a SEMMASCLIMA, incorporando a pauta climática à estrutura administrativa, enquanto a Lei Complementar nº 24/2024 instituiu o Programa Manaus Sustentável, que concede incentivos a edificações sustentáveis. Em governança, o Decreto nº 5.554/2023, atualizado pelo Decreto nº 6.157/2025, estruturou o Comitê Municipal de Mudanças Climáticas, reforçando a coordenação intersetorial. Soma-se a isso o estudo técnico da FGV (2023) sobre agricultura urbana e periurbana em Manaus, que destacou seu potencial para biodiversidade, segurança alimentar e bioeconomia, além das Oficinas de Capacitação do Projeto Restauração de Ecossistemas Urbanos (2025), voltadas à governança e engajamento comunitário. Não foi evidenciado a existência de mapeamento das oportunidades de obtenção de recursos a partir da adesão do município aos instrumentos da Política Nacional sobre Mudança do Clima - PNMC, com identificação de quais são mais adequadas para os projetos prioritários.</t>
  </si>
  <si>
    <t>O Município de Manaus possui mecanismos para identificar e aderir a políticas nacionais e multilaterais voltadas ao enfrentamento da mudança do clima, com ações em andamento pelo FDIRS/MIDR e tratativas em consolidação com o Banco Mundial. No âmbito do FDIRS, dois projetos estão em estruturação: um de destinação final de resíduos sólidos, com soluções ambientalmente adequadas, e outro de mobilidade urbana sustentável, com alternativas para reduzir impactos e emissões. Já junto ao Banco Mundial, a agenda foca em Sustentabilidade Ambiental e Resiliência Climática, incluindo o Plano Municipal de Adaptação às Mudanças Climáticas, o Plano de Saneamento Básico, estudos para PPP de resíduos sólidos, o Programa de Agricultura Urbana e Periurbana, projetos de descarbonização e recuperação de ecossistemas urbanos, em especial igarapés e nascentes. Também abrangem o programa permanente de arborização, a preservação da cobertura florestal (REDD+), estratégias de acesso à água potável e saneamento em áreas rurais e ribeirinhas, além da criação de uma Tributação Municipal Verde. Essas iniciativas demonstram que Manaus tem capacidade técnica para elaboração de projetos no âmbito do enfrentamento da mudança do clima. No entanto, não foi evidenciado mapeamento das oportunidades de financiamento para ações climáticas, nem identificação das linhas mais adequadas aos projetos prioritários, tampouco planejamento estratégico para acesso a fontes externas além do orçamento municipal.</t>
  </si>
  <si>
    <t>Atualmente, o Município de Manaus não possui procedimentos consolidados que assegurem o monitoramento contínuo ou regular (ao menos uma vez ao ano) das ações de captação de recursos destinados à execução de políticas climáticas. Da mesma forma, não existem sistemas, relatórios, websites ou outras ferramentas específicas que disponibilizem de forma contínua, atualizada e transparente informações sobre a captação de tais recursos. Adicionalmente, as informações não são estruturadas nem divulgadas em formato de fácil acesso que permita a compreensão por qualquer cidadão, órgão de controle ou parte interessada, inexistindo mecanismos de dados abertos, linguagem simples ou transparência ativa sobre o tema.</t>
  </si>
  <si>
    <t>O Município de Manaus possui um conjunto de instrumentos normativos que abrem espaço para a mobilização de financiamento climático privado, conectando a política urbana e ambiental às agendas de mitigação e adaptação às mudanças climáticas. Esses mecanismos incluem marcos voltados a parcerias público-privadas, incentivos fiscais e programas de corresponsabilidade socioambiental, criando condições para atrair investimentos privados em infraestrutura sustentável, eficiência energética, espaços verdes urbanos e edificações ambientalmente responsáveis. O estágio atual pode ser classificado como implementação inicial, pois, embora exista um arcabouço normativo consistente, os resultados efetivos ainda dependem de regulamentação complementar e maior adesão do setor privado.</t>
  </si>
  <si>
    <t>O Município de Manaus dispõe de instrumentos normativos e programas que permitem a mobilização de financiamento climático privado, como o Procedimento de Manifestação de Interesse (Decreto nº 3.180/2015) e o Programa de Adoção de Praças e Áreas Verdes (Decreto nº 5.658/2023), além de incentivos previstos na Lei Complementar nº 24/2024 e na Lei nº 254/2010. No entanto, o monitoramento específico desses mecanismos e a sistematização dos resultados ainda estão em fase inicial de implementação. Embora haja avanços institucionais e reconhecimento externo, como o Selo Verde da CAIXA, o município ainda carece de relatórios consolidados e de indicadores próprios que avaliem de forma clara o impacto dos financiamentos privados mobilizados. Assim, a classificação do estágio atual é de implementação inicial, com perspectivas de aprimoramento à medida que os mecanismos sejam consolidados e monitorados de forma mais estruturada.</t>
  </si>
  <si>
    <t>O Estado do Maranhão alcançou a classificação "Estágio Avançado" por demonstrar um alinhamento claro e consistente entre seus instrumentos de planejamento e as leis orçamentárias sobre o tema do clima. A análise se baseia em duas evidências principais. Primeiro, o planejamento de médio e longo prazo do estado prioriza a agenda climática. O Plano Plurianual (PPA) 2024-2027, orientado pela visão de futuro do plano "Maranhão 2050", estabelece o "Meio Ambiente Valorizado e Resiliente" como um eixo estratégico e aponta a vulnerabilidade às mudanças climáticas como um desafio a ser enfrentado. A nova Política Estadual (Lei nº 12.301/2024) consolida essa diretriz. Em segundo lugar, essa prioridade se traduz em recursos financeiros. A Lei Orçamentária Anual (LOA) de 2024 e o projeto para 2025 destinam verbas para ações concretas, como o programa "Proteção do Bioma - Maranhão sem Queimadas" e o fortalecimento do plano estadual de adaptação e mitigação. A existência de uma estrutura legal e de planejamento robusta, somada à alocação contínua de recursos orçamentários, demonstra que a agenda climática está integrada à gestão financeira do estado. Essa coerência entre o planejar e o executar justifica a classificação no mais alto estágio de maturidade.</t>
  </si>
  <si>
    <t>A classificação "Sem progresso" no item F1.B significa que o governo ainda não possui um sistema para identificar e seguir o dinheiro público destinado às ações climáticas. A análise se baseou nos principais documentos de planejamento e orçamento do Estado: o Plano Plurianual (PPA 2024-2027), a Lei de Diretrizes Orçamentárias (LDO 2025) e as Leis Orçamentárias Anuais (LOA 2024 e 2025). Foram encontradas ações e programas importantes, como o 'Maranhão Verde', que destinam recursos para o meio ambiente. No entanto, esses gastos são pontuais. Para avançar, é preciso ter uma metodologia clara, um "marcador climático", que permita somar todos os investimentos relacionados ao clima, mesmo aqueles que estão em outras áreas, como transportes ou agricultura. Isso inclui tanto os gastos diretos (um projeto de energia solar) quanto os indiretos (a adaptação de uma estrada para resistir a chuvas mais fortes). Além disso, a metodologia do Painel ClimaBrasil avalia se o governo também rastreia gastos que podem ser prejudiciais ao clima, como incentivos a combustíveis fósseis. Não foi encontrada nenhuma evidência dessa prática. Sem um sistema de rastreamento, fica difícil para o governo e para a sociedade saberem exatamente quanto está sendo investido para enfrentar as mudanças climáticas e garantir um futuro mais seguro e resiliente para a população. A criação desse mecanismo é um passo essencial para a transparência e a eficácia da política climática.</t>
  </si>
  <si>
    <t>A classificação Estágio Inicial foi atribuída porque o Estado do Maranhão possui um mecanismo normativo que menciona a sustentabilidade nas compras públicas, mas ainda de forma genérica e sem critérios climáticos específicos. O Decreto nº 38.425/2023, que centraliza as licitações estaduais, estabelece a "sustentabilidade" como uma de suas diretrizes. Isso representa um primeiro passo formal importante. Contudo, a análise da legislação estadual, incluindo a Lei nº 10.403/2015 e os decretos sobre o sistema de compras, não revelou a existência de mecanismos que exijam a inclusão de critérios específicos para a redução de emissões de Gases de Efeito Estufa (GEE) ou para a adaptação às mudanças climáticas nos editais de licitação. Adicionalmente, não foram encontradas evidências de programas de capacitação técnica para os servidores aplicarem critérios de sustentabilidade e clima nos processos de compra, o que é fundamental para a efetividade da política. Portanto, embora haja um ponto de partida com a menção à sustentabilidade, o desafio agora é traduzir essa diretriz geral em requisitos práticos e mensuráveis que contribuam diretamente para as metas de mitigação e adaptação do Estado.</t>
  </si>
  <si>
    <t>O Portal da Transparência do Estado, embora funcional, ainda não oferece informações específicas sobre o orçamento e os gastos públicos com a agenda do clima. O portal apresenta dados da função "Gestão Ambiental", uma categoria ampla que não permite ao cidadão identificar e acompanhar de forma clara os recursos destinados exclusivamente às ações de enfrentamento das mudanças climáticas. A plataforma demonstra um compromisso com a transparência pública em geral. Ela permite a exportação de informações em formatos de dados abertos, como XLS e CSV, o que é uma boa prática e facilita a análise por qualquer pessoa ou órgão de controle. Também há um esforço para usar linguagem acessível nas explicações. No entanto, a principal fragilidade é a ausência de um mecanismo de "marcação" ou rastreamento para as despesas climáticas. Sem uma taxonomia que separe o que é gasto em mitigação e adaptação, o controle social sobre o financiamento climático fica prejudicado. A sociedade não consegue saber o real volume de recursos aplicados para cumprir os planos e metas climáticas do Estado. Outra lacuna identificada é a falta de transparência específica para contratações emergenciais decorrentes de desastres climáticos. O Estado possui uma base sólida de transparência orçamentária. É preciso agora avançar na especificidade, implementando uma metodologia para dar visibilidade aos gastos climáticos para garantir o controle social do compromisso financeiro estadual com esta pauta essencial.</t>
  </si>
  <si>
    <t>O Maranhão demonstra uma estrutura madura e proativa para aderir a programas e captar recursos destinados à ação climática, atendendo plenamente aos critérios de avaliação. O estado realizou um mapeamento claro de oportunidades de financiamento. O Plano Estratégico Maranhão 2050, por exemplo, identifica fontes de recursos federais e de bancos de desenvolvimento, como o BNDES e o Novo PAC, para projetos prioritários. Isso mostra que há um planejamento estratégico sobre onde buscar os recursos necessários para implementar suas políticas. Além disso, o estado comprova ter capacidade técnica para elaborar e executar esses projetos. A gestão do Plano ABC+MA (Plano de Agricultura de Baixa Emissão de Carbono) é um ótimo exemplo. Ela é realizada por um grupo gestor que une diversos órgãos estaduais, instituições de pesquisa como a Embrapa e universidades. Essa colaboração robusta fortalece a qualidade das propostas e a capacidade de execução das ações no campo. O ponto mais forte é a implementação de ações concretas alinhadas a políticas nacionais. O Plano ABC+MA não é apenas um documento, mas a efetiva aplicação no Estado de um programa federal. O Maranhão estabeleceu metas próprias, como a recuperação de 110 mil hectares de pastagens, contribuindo diretamente para os objetivos do Brasil. A nova Política Estadual de Mudanças Climáticas (Lei 12.301/2024) também reforça essa integração.</t>
  </si>
  <si>
    <t>O Estado do Maranhão demonstra ter mecanismos e capacidades consolidadas para identificar, acessar e, de fato, captar recursos de fontes externas para projetos climáticos específicos. A avaliação se baseia em evidências que atendem plenamente aos atributos exigidos pela metodologia. Primeiramente, o estado possui um planejamento estratégico para a captação de recursos. O Plano "Maranhão 2050" mapeia diversas fontes de financiamento para projetos estruturantes, indicando um esforço proativo para identificar oportunidades além do orçamento próprio. Em segundo lugar, sua capacidade técnica para elaborar projetos competitivos é comprovada. A postulação do projeto "Floresta Viva Maranhão" foi aceita na chamada regional do Banco de Desenvolvimento da América Latina (CAF) e do ICLEI, uma iniciativa voltada a projetos de clima e biodiversidade na região amazônica. A aprovação em um processo seletivo demonstra a competência do estado em estruturar propostas robustas e alinhadas às exigências de financiadores internacionais. Por fim, a efetiva captação de recursos está documentada no Ofício nº 002/2025. O projeto selecionado receberá um importante conjunto de apoios, incluindo suporte técnico para desenvolver cartas-consulta para a COFIEX, capacitação em financiamento verde, conexão com redes estratégicas e visibilidade internacional. Este sucesso evidencia que o Estado não só planeja, mas também executa com êxito a busca por apoio para enfrentar a degradação ambiental.</t>
  </si>
  <si>
    <t>A classificação de "Sem progresso" para este item foi atribuída em razão da ausência de apresentação de evidências comprobatórias por parte do Governo do Estado. O Tribunal de Contas do Estado, por meio do Ofício nº 140/2025/PRESI/TCE/MA, comunicou ao Chefe do Poder Executivo a realização de levantamento destinado a avaliar as ações governamentais frente à emergência climática, solicitando, ainda, a indicação de um interlocutor para centralizar o fluxo de informações. Posteriormente, o Ofício nº 47/2025/SEFIS/TCE/MA requisitou formalmente a documentação necessária à análise, advertindo que a falta de resposta impactaria negativamente a avaliação. Não obstante, o Poder Executivo Estadual deixou de encaminhar os documentos indispensáveis ao exame deste item. Ademais, mesmo após consulta a fontes públicas disponíveis na internet, não foram localizados registros que atendessem aos requisitos estabelecidos pela metodologia aplicável ao presente quesito.</t>
  </si>
  <si>
    <t>O Estado do Maranhão possui um conjunto robusto e diversificado de leis e programas para atrair investimentos privados para a agenda climática, atendendo ao critério de "existência de mecanismos". No entanto, os documentos analisados não apresentaram evidências da efetiva captação de recursos, um requisito para a classificação "Avançado". O Estado demonstra ter um planejamento estratégico para incluir o setor privado, como visto no Plano "Maranhão 2050". Foram criados múltiplos instrumentos para mobilizar capital, como incentivos fiscais na Lei de Tributação Ecológica (Lei nº 12.120/2023), que isenta de ITCD as reservas particulares. Há também a previsão de mecanismos de mercado, com o fomento ao mercado de carbono (Lei nº 12.301/2024) e ao Sistema de REDD+ e Pagamento por Serviços Ambientais (Lei nº 11.578/2021), que permite Parcerias Público-Privadas e doações. Além disso, programas como o "Floresta Viva" (Lei nº 12.307/2024) abrem canais para doações e financiamento coletivo. Apesar deste sólido arcabouço legal, a metodologia do Painel ClimaBrasil exige a comprovação da mobilização de recursos nos exercícios de 2024 e 2025. As evidências documentais fornecidas, embora demonstrem a criação das ferramentas, não contêm relatórios de execução financeira ou balanços que confirmem a entrada de capital privado nesse período. Em resumo, o Maranhão preparou o terreno legal para o financiamento privado, mas o próximo passo é demonstrar a captação efetiva desses investimentos.</t>
  </si>
  <si>
    <t>O Maranhão avançou ao criar um robusto arcabouço legal que obriga o governo a monitorar e dar transparência aos investimentos privados em ações climáticas. A legislação estadual determina que os resultados dessas parcerias sejam públicos e acessíveis. Um bom exemplo é a Lei do Sistema de REDD+ e PSA (Lei Nº 11.578/2021), que prevê a criação de uma plataforma eletrônica com amplo acesso público para garantir a rastreabilidade dos projetos. Da mesma forma, a Lei de Compensação Ambiental (Lei Nº 9.412/2011) exige a publicidade na aplicação dos recursos e a Política de Tributação Ecológica (Lei nº 12.120/2023) determina a avaliação periódica dos resultados. Contudo, a classificação se mantém em estágio inicial porque, apesar da previsão em lei, não foram apresentadas evidências de que esses mecanismos de transparência já estejam em pleno funcionamento e disponíveis para a sociedade. Na prática, não foram localizados os relatórios, os websites com dados atualizados ou as plataformas online que permitiriam a qualquer cidadão consultar como os recursos privados estão sendo usados e quais os resultados alcançados. Segundo a metodologia do Painel ClimaBrasil, a existência de uma obrigação legal de monitorar, sem a comprovação da efetiva disponibilização da informação para consulta pública, caracteriza o Estágio Inicial. O Estado construiu a base legal para a transparência. O desafio agora é implementar as ferramentas que tornem essas informações acessíveis.</t>
  </si>
  <si>
    <t>O documento "F1_A.B.C---RAG-2024-Aes-2020-2121-3125.pdf" apresenta "QUADRO DA REALIZAÇÃO ORÇAMENTÁRIA E FINANCEIRA DA AÇÃO" para as Ações 2020, 2121 e 3125 (p. 1, 2, 5). Estas ações têm objetivos específicos diretamente relacionados à agenda climática (e.g., "Promoção da conservação ambiental", "Redução de incêndios florestais", "Implantação do Sistema Estadual de REDD+"). Os quadros detalham dotação, empenhado e liquidado para 2023-2024, evidenciando alocação e execução de recursos para iniciativas climáticas. A análise do PPA (p. 1, 3, 7) comenta a capacidade de planejar e realizar o orçado. Isso demonstra alocação de recursos próprios para ações climáticas, ainda que o PPA não mencione explicitamente "mudanças climáticas" como diretriz principal e a alocação para 2025 não esteja detalhada. Tal situação corresponde ao atendimento parcial dos critérios da metodologia Painel ClimaBrasil, justificando o estágio intermediário.</t>
  </si>
  <si>
    <t>O documento "F1_A.B.C---RAG-2024-Aes-2020-2121-3125.pdf" apresenta relatórios de execução de três ações governamentais com clara relevância climática: Educação Ambiental,
Redução de Incêndios Florestais e Implantação do Sistema de REDD+ (Ação 2121, p. 3). Contudo, não há evidências de uma metodologia específica para classificar e mensurar os gastos como diretamente ou indiretamente relacionados às mudanças climáticas. Pois, não há descrição de uma taxonomia, sistema de marcação (como climate budget tagging), ou definições do que constitui um gasto climático direto ou indireto. De forma básica e implícita, os gastos diretos em temas climáticos podem ser identificados pelos títulos e objetivos das "Ações" (ex: 2121, 3125) do orçamento, mas não chega a ser um sistema de "marcação" granular. Não foi identificado também evidência de um sistema que diferencie ou rastreie contribuições indiretas às mudanças climáticas. Verifica-se, por fim, que não há informação sobre a identificação ou o monitoramento de despesas que possam ter impacto negativo no clima (ex: subsídios a combustíveis fósseis). Diante do exposto, constata-se que não há metodologia sistemática de rastreamento dos gastos relacionados às mudanças climáticas, o que justifica a classificação deste item em "sem progresso".</t>
  </si>
  <si>
    <t>O documento "F1_A.B.C---RAG-2024-Aes-2020-2121-3125.pdf" faz menção a contratos específicos ("contratos de locação de veículos e combustíveis", "assinatura final do contrato"</t>
  </si>
  <si>
    <t>O site informado pela SEMA/MT onde consta o RAG 2024, Relatório Anual de Gestão, Anexo VI da Prestação de Contas do Governo de MT, não serve como parâmetro satisfatório de transparência do orçamento e gasto climático. Pois o RAG é um relatório de avaliação geral de ações, contendo dados financeiros e físicos, não contendo uma linguagem acessível ao cidadão comum sobre orçamento e gasto público climático. No entanto, por apresentar dados relevantes, mas não satisfazer a todos os critérios de transparência ativa e acessibilidade, classifica-se este item como estágio inicial quanto aos critérios da metodologia Painel ClimaBrasil.</t>
  </si>
  <si>
    <t>O jurisdicionado não apresentou informações e/ou documentos sobre este item.</t>
  </si>
  <si>
    <t>A contemplação do Estado de Mato Grosso no Programa REM com investimentos diretos dos governos da Alemanha e do Reino Unido evidencia que o Estado identifica e acessa fontes de financiamento externas e específicas. A natureza de "pagamento por resultados de REDD+" implica que o estado elaborou projetos competitivos e demonstrou sucesso na captação de recursos internacionais. O Info Hub Brasil quantifica explicitamente os "recursos captados" em dólares americanos, conforme a seção "Captados" na página, confirmando a obtenção de fundos específicos além do orçamento próprio. Todavia, considerando que o Estado de Mato Grosso tem papel estratégico na Amazônia e Cerrado, sendo um dos estados mais importantes do Brasil no contexto da crise climática, seria de grande importância a identificação e o acesso a outras fontes de recursos financeiros por parte do Estado. Por isso, classifica-se este item em estágio intermediário.</t>
  </si>
  <si>
    <t>A existência da plataforma Info Hub Brasil, com informações específicas sobre o Programa REM MT, demonstra a implementação de mecanismos de monitoramento contínuo e transparência ativa sobre a captação de recursos. O site apresenta dados como "Resultados", "Utilizados", "Disponíveis" e "Captados" de REDD+ em valores em USD, de forma organizada e disponível. Isso permite que cidadãos, órgãos de controle e partes interessadas compreendam a evolução das ações e o uso dos recursos captados por Mato Grosso, atendendo aos atributos de transparência ativa, dados atualizados e acessibilidade da informação. Portanto, não foi identificado um site que demonstra o monitoramento e a transparência da execução físico-financeira e os resultados de todas as ações e projetos da SEMA/MT voltados à agenda climática. Por isso, classifica este item em estágio intermediário.</t>
  </si>
  <si>
    <t>"Verifica-se no documento ""F3 A.B.pdf"" a existência do DECRETO Nº 859-24 que institui o Programa Todos Pelo Araguaia e, de forma central, o Selo ""Todos pelo Araguaia"" (Art. 4º). Este Selo inclui a modalidade ""Selo de Investidor(a)"", concedido a ""pessoas físicas ou jurídicas que financiarem a execução de projetos vinculados ao programa"" (Art. 5º, I). As categorias do Selo Investidor (Ouro, Prata, Bronze), baseadas em hectares financiados (Art. 7º, p. 2), evidenciam um mapeamento claro das oportunidades e iniciativas adequadas. A menção a ""parcerias públicas e privadas"" (Art. 3º, p. 1) e a estratégia PCI de ""captar recursos para o Estado"" (pcimt.org) reforçam a existência de mecanismos formais e estruturados para mobilizar recursos privados. Contudo, o documento não fornece qualquer prova de que recursos privados foram efetivamente mobilizados nos exercícios de 2024 ou 2025. Sendo um ato normativo que institui um programa, sua natureza é prospectiva</t>
  </si>
  <si>
    <t>O DECRETO Nº 859-24 estabelece que "serão mantidos dados públicos no portal da transparência do Governo do Estado de Mato Grosso acerca do Programa Todos Pelo Araguaia, bem como selos emitidos" (Art. 17, p. 3), por meio do site sema.mt.gov.br, na seção do Programa "Juntos pelo Araguaia". A consulta pública permitirá "verificar a autenticidade do Selo e seu status" (Art. 17, Parágrafo único). A concessão do Selo Definitivo aos investidores está condicionada à "aprovação do Relatório Final de execução do projeto" (Art. 10, §3º), o que denota monitoramento de resultados. Ademais, o site pcimt.org, ao apresentar "Metas PCI" claras e quantificáveis ("Redução de emissões de 6 gigatoneladas de CO²", "Regularização ambiental em 100% das propriedades rurais"), também indica um framework que exige monitoramento para acompanhar o progresso e divulgar informações. Por isso, classifica este item em estágio avançado quanto aos critérios da metodologia Painel ClimaBrasil</t>
  </si>
  <si>
    <t>O PPA e a LOA (2024 e 2025) preveem o enfrentamento das mudanças climáticas e estão alinhados com a Lei estadual 4.555/2014.</t>
  </si>
  <si>
    <t>Não adota metodologia de rastreamento das despesas relacionadas ao enfrentamento das mudanças climáticas, e também não classifica a despesa com função, projeto ou atividade específica, como se pode verificar pelo Manual Técnico de Orçamento 2025 da Secretaria de Estado da Fazenda do MS.</t>
  </si>
  <si>
    <t>Existe um decreto que prevê a observância da política estadual de sustentabilidade e a política estadual de mudanças climáticas nas contratações de obras e serviços de engenharia. No entanto, não foi encontrado outros documentos que atendam aos itens 2 e 3.</t>
  </si>
  <si>
    <t>O site da transparência do governo estadual não tem filtros de unidade orçamentária, função, subfunção, programa. Para verificar as despesas é necessário escolher um órgão, clicar em algum grupo e elemento de despesa, escolher um credor e, somente aí, resultará na página que informa os dados completos da despesa.</t>
  </si>
  <si>
    <t>O estado de MS tem feito diversas adesões a programas federais e regionais para o enfrentamento às mudanças do clima, além dos evidenciados com documentos. Exemplo são: Consórcio Brasil Verde (Lei n. 5.905/2022), programa de gestão territorial (Lei 3.839/2009), Pacto interfederativo para combate aos incêndios no Pantanal e na Amazônia, Acordo de cooperação técnica entre MT e MS para proteção do Pantanal, adesão às campanhas "Race to Zero" e "Under2° Coalition" (Decreto n. 15.741/2021).</t>
  </si>
  <si>
    <t>O estado do MS identifica e tem mecanismos e capacidade para acessar fontes de recursos financeiros internos e externos. Exemplo disso são a adesão aos programas "race to zero", "under2º coalition" e o programa RODAR MS sobre infraestrutura rodoviária resiliente às mudanças do clima.</t>
  </si>
  <si>
    <t>Não há espaço no sítio eletrônico da transparência do governo do MS modalidade de pesquisa que permita saber a execução físico-financeira das ações e projetos referentes às mudanças do clima. Também não há espaço dedicado no site do IMASUL ou da SEMADESC.</t>
  </si>
  <si>
    <t>O estado do MS tem estrutura para mobilizar recursos privados, a exemplo do escritório de parcerias e projetos, mas não há informação sobre a identificação e implementação de mecanismos e incentivos para mobilizar financiamento climático privado.</t>
  </si>
  <si>
    <t>As ações de mobilização de investimento privado que estão vigentes são a PPP de energia fotovoltaica firmadas com a SANESUL e a SEILOG em 2023. No site da SANESUL não há acesso sequer para os dados do contrato. No site da transparência do Estado não há resultado da busca.</t>
  </si>
  <si>
    <t>Minas Gerais apresenta ações relevantes do Executivo estadual na tentativa de integrar a agenda climática às finanças públicas. O Plano Estadual de Ação Climática (PLAC-MG) prevê, por exemplo, a promoção da disponibilidade de recursos financeiros para sua implementação (Ação 1, Tabela 33), além de destacar a importância da criação de uma Lei Estadual de Mudança do Clima que assegure o alinhamento entre o PLAC, a LOA e o PPAG. Contudo, embora não exista um desalinhamento das ações constantes nas leis orçamentárias com o PLAC-MG, conforme verificado no próprio PPAG 2024-2027, apenas três ações orçamentárias (4046, 1579, 4408) mencionam o PLAC-MG, sendo que, na LOA, foi identificada execução apenas da Ação 4046 - "Mudanças Climáticas e Qualidade Ambiental". Essa fragilidade na conexão concreta entre o planejamento climático e a execução orçamentária indica que a integração entre  o PLAC/MG e leis orçamentárias ainda está em desenvolvimento. Nesse contexto, considerando que há possibilidades de melhorias na integração entre o PLAC e as ações constantes nas leis orçamentárias, o estado atendeu aos critérios exigidos pelo Manual do Painel ClimaBrasil para a classificação no estágio intermediário.</t>
  </si>
  <si>
    <t>"A classificação deste item como ""estágio inicial"" está em conformidade com os critérios metodológicos definidos no Manual de Aplicação do Painel ClimaBrasil. Este item avalia a existência de mecanismos formais para rastrear, classificar e monitorar as despesas públicas com impactos climáticos positivos e negativos. Para avançar na escala de maturidade, seria necessário que o Estado adotasse uma taxonomia climática ou sistema de marcação orçamentária, com códigos ou indicadores específicos aplicados às peças orçamentárias (LOA, LDO, PPA), permitindo a identificação de gastos voltados à mitigação, adaptação ou transição justa. No entanto, conforme reconhecido na própria resposta do Estado, ainda há baixa integração entre o orçamento público e o PLAC-MG. Tampouco foram apresentados dados sobre gastos públicos com efeitos adversos ao clima, como subsídios prejudiciais ou investimentos incompatíveis com metas climáticas. Diante disso, observa-se que, embora o Estado reconheça a importância do tema e tenha metas definidas no PLAC/MG, ainda possui uma estruturação técnica e normativa insuficiente para operacionalizar o rastreamento de despesas climáticas. É possível identificar no PPAG e na LOA, os programas identificados por Objetivo de Desenvolvimento Sustentável (ODS), dentre eles, o ODS 13 - Ação contra a Mudança Global do Clima</t>
  </si>
  <si>
    <t>Minas Gerais apresenta mecanismos consistentes que comprovam a adoção de critérios de sustentabilidade, redução de emissões de gases de efeito estufa (GEE) e adaptação às mudanças climáticas nas compras e contratações públicas, atendendo aos atributos deste item. O Decreto n. 48.938/2024 estabelece normas claras para que todos os órgãos e entidades da Administração Pública estadual incorporem critérios de desenvolvimento sustentável em seus processos licitatórios. Essa diretriz é operacionalizada por manuais de compras sustentáveis, que oferecem modelos de cláusulas e orientações técnicas para garantir contratações alinhadas à agenda climática. Além disso, esse decreto inclui critérios específicos relacionados à mitigação de GEE e adaptação, como a priorização de soluções com menor impacto ambiental e maior resiliência climática, atendendo diretamente ao segundo atributo. O Estado também promove oficinas e debates regionais sobre o tema, conforme evidenciam as notícias de planejamento e eventos formativos realizados em 2024, demonstrando esforço contínuo na capacitação de servidores para aplicação efetiva desses critérios. Complementarmente, o Relatório de Sustentabilidade do BDMG reforça o compromisso institucional com contratações sustentáveis e financiamentos ligados a essa temática. Diante disso, Minas Gerais foi classificado no estágio avançado.</t>
  </si>
  <si>
    <t>O Estado de Minas Gerais disponibiliza dados de receitas e despesas públicas por meio de plataformas, como o Portal da Transparência (que integra dados do SIAFI/MG) e Portal da Transparência do Meio Ambiente. O Portal da Transparência possibilita a consulta pública à execução orçamentária e permite a exportação em formatos abertos (CSV). É possível consultar, detalhadamente, as despesas executadas em cada programa e ação do PPAG e da LOA (inclusive aquelas relacionadas a mudanças climáticas), atendendo parcialmente aos critérios do Painel ClimaBrasil.  Também há o Portal de Transparência do Meio Ambiente, que possui diversas informações relacionadas à temática, mas sem contemplar o aspecto orçamentário. No, no Portal da Transparência,  não há um agrupamento temático ou painel que destaque os gastos públicos voltados especificamente às políticas climáticas. Tampouco foi identificada categorização clara sobre contratações emergenciais associadas a desastres climáticos. Dessa forma, a transparência ativa é parcial e não garante que o cidadão comum compreenda, acesse e monitore efetivamente os recursos destinados à agenda climática. Com base nesses elementos, classifica-se o item em estágio intermediário.</t>
  </si>
  <si>
    <t>A classificação como avançado nesse item está alinhada aos requisitos do Manual de Aplicação do Painel ClimaBrasil. O Plano de Ação Climática de Minas Gerais (PLAC/MG) faz um diagnóstico para ação climática no Estado e buscou alinhar algumas de suas ações e estratégias a alguns desses instrumentos, especialmente com Plano Nacional sobre Mudança de Clima e  o Plano ABC+. Para mais, Minas aderiu ao Consórcio Brasil Verde (por meio da Lei n. 24.483/2023), ao Programa Progestão (regulamentado pela Res. ANA n. 379/2013), bem como ao programa  AdaptaCidades (criado pela Portaria do Ministério do Meio Ambiente n. 1.256/2024) e ao Cosud (O Consórcio de Integração Sul e Sudeste). No que diz respeito a implementação desses programas, evidências colacionadas  demonstram  que os programas estão sendo implementados pelo Estado.</t>
  </si>
  <si>
    <t>Minas Gerais atende aos critérios do Manual para o nível 'avançado' no item F2-B, ao demonstrar capacidade institucional e técnica consolidada para acessar financiamento climático. O Estado firmou Memorando de Entendimento com o Reino Unido (2025) com foco em financiamento verde, descarbonização e apoio ao Selo Verde MG e ao CAR 2.0. O projeto "Mobilising green investments for Minas Gerais" é executado em parceria com o UK PACT, envolvendo SEMAD-MG e BDMG, com objetivo direto de fortalecer a elegibilidade do Estado junto a bancos multilaterais e fundos climáticos. A cooperação internacional também inclui apoio da França ao projeto ClimAtiva, voltado à estruturação de planos municipais de ação climática. As diversas fontes de financiamento acessadas pelo Estado, demonstram que ele possui corpo técnico capaz de elaborar projetos competitivos.  O BDMG atua como principal agente financeiro estadual com linhas verdes e parcerias multilaterais, conforme relatórios públicos. Minas Gerais integra ainda a CDP Latin America e outras plataformas que ampliam sua visibilidade e capacidade de elegibilidade. Com base nessas evidências, a classificação como 'avançado' é metodologicamente justificada.</t>
  </si>
  <si>
    <t>A classificação do item F2-C como 'estágio intermediário' é apropriada conforme os critérios do Manual de Aplicação, que requerem mecanismos públicos estruturados de rastreamento de recursos climáticos  nacionais e internacionais. O Estado de Minas Gerais possui ferramentas importantes em desenvolvimento. A plataforma MRV Climático foi lançada com apoio do UK PACT, mas ainda se limita à visualização de metas climáticas, sem dados financeiros integrados. O BDMG mantém relatórios de sustentabilidade e lista de projetos multilaterais, revelando cooperação internacional ativa. Contudo, esses dados não estão vinculados a um painel público e consolidado para acompanhamento dos recursos nacionais e internacionais e seu vínculo direto com metas climáticas do PLAC/MG . Assim, a classificação como estágio intermediário está metodologicamente correta.</t>
  </si>
  <si>
    <t>Minas Gerais preenche os critérios para classificação "avançado" no item F3-A ao demonstrar um ecossistema robusto de mobilização de investimentos privados climáticos. O BDMG atua de forma estratégica com o Crédito Verde, novas linhas como o BDMG Verde, e financiamento com recursos do BEI (Banco Europeu de Investimento), destinados a energia limpa, eficiência energética e transporte sustentável. Além disso, o banco desempenha papel central na estruturação de parcerias público-privadas  em mais de 400 municípios, abrangendo saneamento, resíduos e iluminação pública. Também promove o desenvolvimento do produto "BDMG Eficiência", apoiado pela GIZ (Sociedade Alemã para a Cooperação Internacional), voltado a micro e pequenas empresas, um instrumento inovador que une crédito verde e tecnologia digital. Sua filiação à Green Bank Network e o aumento expressivo de recursos apoiados a projetos renováveis em 2023 comprovam capacidade institucional, técnica e operacional para captação e fomento privado. A soma dos instrumentos normativos, financeiros e parcerias multilaterais consolida a maturidade do Estado nessa área. A classificação "avançada" é, portanto, adequada.</t>
  </si>
  <si>
    <t>"Minas Gerais deve ser classificada no estágio ""intermediário"" para o item F3-B, conforme os critérios do Manual de Aplicação. O Estado apresenta mecanismos institucionais de monitoramento contínuo das ações de mobilização de investimentos privados climáticos, especialmente via Banco de Desenvolvimento de Minas Gerais (BDMG), que divulga relatórios anuais, portfólio de projetos multilaterais e informações de transparência ativa sobre financiamento verde. Além disso, encontra-se em fase de implementação o sistema estadual MRV Climático, que integrará dados sobre financiamento recebido e necessário, em articulação com metas do PLAC-MG. Contudo, ainda não há consolidação de taxonomia climática nem plena desagregação dos dados em linguagem acessível ao público geral. As informações são fragmentadas em portais distintos, o que dificulta a navegação e o entendimento por parte de cidadãos e órgãos de controle externos. Por isso, embora os atributos 1 e parte dos itens 2 e 3 sejam atendidos, a classificação mais adequada é ""estágio intermediário"".",,P
,Financiamento,,"Versão 2025",Município,"Municípios consolidados",,F1,A,,51.38875,,,P
,Financiamento,,"Versão 2025",Município,"Municípios consolidados",,F1,B,,16.66625,,,P
,Financiamento,,"Versão 2025",Município,"Municípios consolidados",,F1,C,,30.554583333333,,,P
,Financiamento,,"Versão 2025",Município,"Municípios consolidados",,F1,D,,19.44375,,,P
,Financiamento,,"Versão 2025",Município,"Municípios consolidados",,F2,A,,44.445,,,P
,Financiamento,,"Versão 2025",Município,"Municípios consolidados",,F2,B,,51.389166666667,,,P
,Financiamento,,"Versão 2025",Município,"Municípios consolidados",,F2,C,,17.391304347826,,,P
,Financiamento,,"Versão 2025",Município,"Municípios consolidados",,F3,A,,31.884782608696,,,P
,Financiamento,,"Versão 2025",Município,"Municípios consolidados",,F3,B,,5.7965217391304,</t>
  </si>
  <si>
    <t>"No PPA 2022-2025 de Natal, em seu eixo III (que tem a ODS 13 como uma de suas diretrizes), estão previstas as atividades: -Implementação de Projeto de Atenção às Mudanças Climáticas (promover estratégias articuladas com os setores produtivos e a sociedade para reduzir as emissões de GEE)
Na LOA 2025, estão previstas as seguintes rubricas de mitigação e adaptação (alinhadas com o PMAMC de Natal): -Implementação de Projeto de Atenção às Mudanças Climáticas (promover estratégias articuladas com os setores produtivos e a sociedade para reduzir as emissões de GEE, integrando ao planejamento municipal ações que visem garantir o aumento da capacidade de adaptação)</t>
  </si>
  <si>
    <t>O Município de Natal vincula suas ações previstas em PPA aos ODS, entretanto não há código ou rubrica que diferencie gastos diretos com ações climáticas, de modo que não é possível rastreá-los com facilidade. Também não é possível rastrear recursos que contribuem indiretamente para os objetivos climáticos, nem as ações que tenham impactos negativos para esses objetivos.</t>
  </si>
  <si>
    <t>Não foi evidenciado que o Município de Natal adota mecanismos para incluir, em suas contratações e compras públicas, critérios e práticas de sustentabilidade, redução de emissão de GEE, e adaptação à mudança do clima.</t>
  </si>
  <si>
    <t>Não foi evidenciado que o Município de Natal possui mecanismos para dar transparência aos gastos com ações climáticas, acessíveis em formato de dados abertos, desagregados, e com linguagem simples.</t>
  </si>
  <si>
    <t>Não foram evidenciados mecanismos nem capacidades internas para viabilizar que o Município de Natal tenha adesão a programas e políticas federais e/ou estaduais.</t>
  </si>
  <si>
    <t>Não foi evidenciado que o Município de Natal mapeou oportunidades, visando identificar e se capacitar para acessar fontes de financiamento para suas ações climáticas.</t>
  </si>
  <si>
    <t>Não foi evidenciado que as ações para captação de recursos para a política climática são monitoradas de forma contínua, nem que os dados são apresentados de forma transparente e de fácil acesso.</t>
  </si>
  <si>
    <t>Não foi evidenciado que o Município de Natal possui mecanismos para mobilizar financiamento climático privado (a exemplo de subvenções para capacitação, incentivos fiscais, parcerias público-privadas, fundos de investimento climático, empréstimos e garantias de empréstimos, linhas de crédito, subsídios).</t>
  </si>
  <si>
    <t>Não foi evidenciado que existem ações para mobilização de recursos privados para financiamento climático, portanto não há monitoramento contínuo, nem que dados apresentados de forma transparente e de fácil acesso.</t>
  </si>
  <si>
    <t>"Conforme evidência em anexo, dentre as metas previstas destaca-se: Ampliar o número de áreas verdes adotadas por meio do Programa Palmas Mais Verde</t>
  </si>
  <si>
    <t>Não foram encontradas evidências suficientes de mecanismos para identificar as despesas/gastos orçamentários, diretos e indiretos, realizados em ações que contribuem para o enfrentamento dos impactos da mudança do clima.</t>
  </si>
  <si>
    <t>Nas evidências anexadas não há de forma expressa mecanismos de redução de GEE e/ou de adaptação à mudança do clima, entretanto inclui critérios e práticas de sustentabilidade, como inciso II art. 15º do DECRETO Nº 2.460/2023. Portanto, o estágio é inicial.</t>
  </si>
  <si>
    <t>Verificou-se estrutura de dados transparente e acessível. Informações orçamentárias, contratuais, contábeis e de pessoal estão amplamente disponíveis ao público. Especificamente referente a mudanças climáticas, não foi observado. Portanto, atribui-se sem progresso.</t>
  </si>
  <si>
    <t>Palmas lança o Plano de Zoneamento Ambiental e três grandes projetos de Parques Urbanos, no evento reuniram técnicos da Prefeitura de Palmas, dos Ministérios das Cidades (MCID) e do Meio Ambiente e Mudança do Clima (MMA) e da empresa do governo alemã GIZ, voltada para cooperação internacional para o desenvolvimento sustentável. Esse plano compatibiliza com o instrumento da PNMC que cita Planos de Ação para a Prevenção e Controle do Desmatamento nos biomas. Como não ficou claro sobre mapeamento das oportunidades de obtenção de recursos e identificação de quais são mais adequadas para os projetos prioritários, atribui-se o estágio inicial.</t>
  </si>
  <si>
    <t>Em dezembro de 2021, a Prefeitura participou de um evento denominado 'Financiamento à Ação Climática Local para Adaptação e Resiliência' em Brasília com órgãos internacionais de financiamento climático (como CDP, WRI, NDB, GIZ, etc.), apresentando o projeto "Paisagens Integrativas de Palmas", numa tentativa de captar recursos externos para ações de adaptação e resiliência urbana. Palmas tem mobilizado esforços para acessar recursos externos via projetos, e já se candidatou a financiamentos climáticos. Todavia, a evidência atual não confirma captação efetiva. Portanto, o estágio é inicial</t>
  </si>
  <si>
    <t>Embora o item A tenha sido preenchido com estágio inicial, porque apresenta programa que compatibiliza com instrumento da PNMC, não foi encontrado evidência para o item B. Consequentemente, o item em questão não foi possível de ser avaliado por falta de evidências.</t>
  </si>
  <si>
    <t>Programa Palmas Solar (2015): oferece incentivos fiscais aos interessados em investir em energia solar, até 80 % de desconto no IPTU, ISSQN e ITBI para residências, empresas e empreendimentos que adotem geração solar fotovoltaica. O programa incentiva empresários e proprietários privados a investir em energia limpa, o que é um meio claro de mobilizar recursos privados para ações com impacto climático. Diante disso, o estágio é inicial.</t>
  </si>
  <si>
    <t>Não foi encontrado evidências para avaliar este item.</t>
  </si>
  <si>
    <t>A Lei do PPA autoriza a criação de entrega no Plano para atender/apoiar os municípios na mitigação das mudanças climáticas, com o desenvolvimento de ações para a redução de emissões de GEE e incentivo à elaboração/execução de projetos de políticas públicas, regulamentações, governança, gestão, educação e conscientização visando o equilíbrio do sistema climático. O PPA contempla estratégias de transição energética (Planos de Biogás, de Carbono Zero e de Hidrogênio Verde). Há recursos previstos para o Selo Clima (instrumento do Programa ParanaClima) e para a Operacionalização do Plano Estadual de Ação Climática, ressalvado de que a unidade de medida é "plano entregue". Verificou-se também recursos alocados no PPA para atender municípios com ações para controle à erosão urbana e projetos de geração de energia limpa, além da implementação de geoparques, implantação de Sistema de apoio à emissão de alertas e sistema de integração de dados de camada de riscos de desastres com atualização dinâmica e aquisição de equipamentos para resposta a desastres. A LDO excepciona o apoio a desastres no limite da abertura de créditos especiais. A LOA 2025 confirma alocação na maioria das entregas previstas. Para 2026-2027 estão previstos importantes mapeamentos (inundação e de movimentos gravitacionais de massa em áreas urbanas). Houve repasses de ICMS ecológico em 2025 aos municípios que abrigam unidades de conservação ou manancial.</t>
  </si>
  <si>
    <t>No PPA 10 entregas de ações orçamentárias foram marcadas com o ODS 13, indicando contribuições para combater as alterações climáticas e seus impactos. Embora seja possível rastrear a execução das ações orçamentárias, essas são compostas por diversas entregas cuja execução só é quantificada em termos de metas físicas. Não há codificação que diferencie os gastos diretos ou indiretos em ações climáticas de outros tipos de despesas administrativas ou setoriais. Não há análises sobre a execução das ações orçamentárias que identifiquem trade-offs, ou seja, ações que contribuem negativamente para os objetivos climáticos (subsídios perversos, atividades intensivas em carbono e outros similares).</t>
  </si>
  <si>
    <t>O Art. 17 do Decreto n° 9.085/2013, que institui a Política Estadual sobre Mudança do Clima, menciona que sempre que possível, em qualquer modalidade de licitação, deverão ser adotados critérios de sustentabilidade ambiental que atendam a essa Política. De forma mais geral encontram-se normativos que estimulam a realização compras sustentáveis, com mecanismos tais como dispositivos da Lei nº 15.608 alterados pela Lei  20132/2020, que tratam da Logística Reversa - Compra Inteligente Sustentável, em que se exige declaração da empresa atestando o atendimento à Política Pública Ambiental de licitação sustentável, em especial, que se responsabiliza integralmente com a logística reversa dos produtos, embalagens e serviços pós-consumo no limite da proporção que fornecerem ao Poder Público, assumindo a responsabilidade pela destinação final ambientalmente adequada</t>
  </si>
  <si>
    <t>Em que pese o Portal da Transparência do Estado conter informações atualizadas sobre as despesas, compras, obras e ações do governo do Estado, a transparência temática abrange as áreas de Desenvolvimento Social, Escolas, Órgãos (onde é possível, por exemplo, acessar informações sobre pagamentos da Secretaria de Estado do Desenvolvimento Sustentável, porém com codificação por unidade orçamentária e não por entrega ou ação da política), PPPs, outras esferas (Ministério Público, Legislativo, Judiciário) e parcerias celebradas sob a Lei 13,019/2014 na área de Educação. Não há sistemas, relatórios, websites ou outras ferramentas ou plataformas específicas que apresentem dados sobre o "orçamento climático" ou gastos públicos em ações e iniciativas climáticas que sejam publicados de modo contínuo, com informações estruturadas que permitam compreender e acompanhar a evolução das ações, dados abertos e desagregados.</t>
  </si>
  <si>
    <t>Seção do PPA 2024-2027 referente ao Programa 23 - Paraná Sustentável registra adoção de indicadores de desempenho alinhados ao Programa de Consolidação do Pacto Nacional pela Gestão das Águas - PROGESTÃO, da Agência Nacional de Águas (ANA) e ao Ranking da Transparência Ambiental, do Ministério Público Federal - 4ª Câmara de Coordenação e Revisão - CCR. Estão previstas validações qualificadas de alertas do MapBiomas e foi produzido Plano Setorial para Adaptação à Mudança do Clima e Baixa Emissão de Carbono na Agropecuária (Plano ABC+) em conjunto com o MAPA. Não foram identificadas outras ações diretamente relacionadas à obtenção de recursos a partir da adesão aos instrumentos da PNMC ou outros programas nacionais relevantes, embora o Estado demonstre capacidade técnica para elaboração e execução de programas co-financiados.</t>
  </si>
  <si>
    <t>Embora não tenha sido verificado mapeamento de oportunidades de financiamento para as ações climáticas, com identificação de quais linhas são mais adequadas para os projetos prioritários do Estado, pode ser afirmada a capacidade técnica para elaboração de projetos competitivos, uma vez que o Estado vem captando recursos externos: O BNDES está financiando a instalação de uma usina de etanol no Estado com recursos do Fundo Clima. Há uma parceria com o Banco Mundial para estruturar o Programa de Segurança Hídrica do Paraná. O Projeto Monitora Paraná e Litoral está com investimento de R$140 milhões.</t>
  </si>
  <si>
    <t>Há prestação de contas da execução físico-financeira das ações e projetos cujos recursos são captados junto ao governo federal ou a instituições financeiras nacionais ou internacionais, conforme as diretrizes aplicáveis. No entanto, uma vez que as informações sobre captação e execução de ações de política climática não estão centralizadas em mecanismos específicos com monitoramento regular (sistemas, relatórios, websites ou outras ferramentas ou plataformas),  seria necessário inferir que a responsabilidade fiscal geral equivale ao monitoramento climático, o que não corresponde aos objetivos de avaliação do item.</t>
  </si>
  <si>
    <t>O Estado conta com uma agência de promoção e atração de investimentos (Invest Paraná) que oferece serviços e recursos para investidores privados mobilizando, entre outros, o Programa Paraná Competitivo, de incentivos para a melhoria da infraestrutura, comércio exterior, desburocratização e de capacitação profissional de empreendimentos, e o Programa Vocações Regionais Sustentáveis. Não há referências diretas nesses mecanismos à mobilização de financiamento climático.</t>
  </si>
  <si>
    <t>Uma vez que não há referências diretas à mobilização de financiamento climático nos principais mecanismos de promoção e atração de investimentos privados (vide item F3.A), o item foi considerado sem progresso.</t>
  </si>
  <si>
    <t>Há previsões de alocação de recursos financeiros para enfrentamento climático, tanto no PPA quanto nas Leis Orçamentárias de 2024 e 2025, todavia sem conexão com a política estadual de mudanças climáticas. Registre-se que o PPA condiciona os investimentos em ações de mitigação às mudanças climáticas à transferências do governo federal.</t>
  </si>
  <si>
    <t>Não houve resposta a esse item.</t>
  </si>
  <si>
    <t>A resposta encaminhada pela CGE-PB indica que não existe um sistema acessível com dados abertos e estruturados acerca do financiamento das ações voltadas às mudanças climáticas.</t>
  </si>
  <si>
    <t>Não foram encaminhaas evidências que permitissem uma melhor aavalaição deste item.</t>
  </si>
  <si>
    <t>A Lei que instituiu o Plano Plurianual (PPA) incorporou a diretriz de enfrentamento às mudanças climáticas, expressa no caput do art. 4º  -  em referência aos Objetivos de Desenvolvimento Sustentável (ODS)  -  e no §2º, que menciona o Plano Estadual Amazônia Agora (PEAA). Conforme registrado no Caderno ODS, relativo ao ODS 13 (Ação Contra a Mudança Global do Clima), o PPA contempla apenas duas ações específicas. Para outros ODS cujas metas apresentam correlação temática, identificam-se 25 ações adicionais.
Nos orçamentos anuais, a dotação destinada a esse conjunto de ações correspondeu a 1,25% do Orçamento Geral do Estado (OGE) de 2024 e a 1,21% do OGE de 2025. Relativamente ao PEAA, o Relatório Anual de Avaliação do PPA indica 49 ações alinhadas, distribuídas em seis programas, representando cerca de 2% dos recursos executados em 2024, quando comparados à execução dos demais programas temáticos.
Destaca-se, como ponto de atenção, a baixa materialidade dos recursos destinados e executados, situação que, embora não altere a classificação conforme a metodologia de avaliação do Painel ClimaBrasil, é relevante para o controle. Tal cenário compromete a autonomia e a flexibilidade para implementação das políticas públicas e fragiliza a sustentabilidade financeira das ações, com potencial de reduzir a efetividade da política climática estadual.</t>
  </si>
  <si>
    <t>O Pará adota marcação programática, alinhando programas, objetivos e ações tanto aos Objetivos de Desenvolvimento Sustentável (ODS) quanto ao Plano Estadual Amazônia Agora (PEAA)  -  plano setorial de uso da terra que se constitui no principal instrumento de mitigação de emissões e de descarbonização da economia estadual. Destaca-se o Plano Interno do PEAA, que viabiliza a rastreabilidade das despesas por ação, unidade responsável e fonte de recursos. A marcação por metas dos ODS permite identificar gastos indiretos associados à agenda climática. Todavia, nenhuma das metodologias atualmente empregadas captura itens orçamentários negativos ("gastos marrons")  -  despesas potencialmente adversas à política climática  -  como subsídios a combustíveis fósseis e projetos de infraestrutura com aumento de emissões, o que limita a visão integral de riscos e trade-offs (trocas/compensações) no orçamento.</t>
  </si>
  <si>
    <t>A PEMC estabelece, nos arts. 23 e 24, a promoção da gestão pública sustentável, tendo como diretriz o incentivo às compras públicas sustentáveis (art. 4º, IX). Esses critérios foram regulamentados pelo Decreto Estadual nº 4.193/2024, com destaque para o art. 5º, inciso IV, que dispõe sobre a redução de emissões de gases de efeito estufa. Nos termos do art. 21, III e IV da PEMC, a Semas deve incorporar a finalidade climática ao licenciamento ambiental e integrar a redução de emissões às ações de controle da poluição atmosférica e ao gerenciamento da qualidade do ar e das águas, aplicando tais diretrizes também às obras públicas sujeitas ao licenciamento. Há manuais, minutas e checklists que contemplam a identificação de impactos ambientais, medidas mitigadoras e critérios de sustentabilidade. Embora a abordagem seja generalista, esses instrumentos visam orientar as equipes técnicas durante o processo licitatório. A competência para elaborar estudos técnicos que definam critérios de sustentabilidade aplicáveis a materiais e serviços é compartilhada entre a Semas e a Seplad (art. 20 do Decreto Estadual nº 4.193/2024). O Fórum Paraense de Mudanças Climáticas também pode propor medidas para fomentar compras e contratações com base em critérios socioambientais (Portaria Semas nº 2.271/2019, art. 3º). Entre os órgãos centrais na temática, apenas a Seplad demonstrou, até o momento, desenvolver capacidades técnicas voltadas à implementação efetiva de compras públicas sustentáveis.</t>
  </si>
  <si>
    <t>As informações relativas ao orçamento climático e à respectiva execução encontram-se, respectivamente, nos anexos do Plano Plurianual (PPA) e em seu Relatório de Avaliação. A linguagem utilizada é eminentemente técnica, o que limita a compreensão por parte da população em geral.
O PPA adota marcação gráfica para identificar as ações alinhadas ao Plano Estadual Amazônia Agora (PEAA) e aos Objetivos de Desenvolvimento Sustentável (ODS), enquanto o Relatório de Avaliação dedica capítulos específicos à análise do desempenho dessas ações.
Todavia, não existe sistema, portal eletrônico, ferramenta ou plataforma que disponibilize esses dados de forma contínua, atualizada e acessível ao público ou aos órgãos de controle. 
Além disso, inexiste disponibilização de dados abertos, desagregados e acessíveis, uma vez que o Portal da Transparência não detalha o Plano Interno do PEAA. Não foram identificadas, ainda, informações referentes a contratações emergenciais associadas à agenda climática.</t>
  </si>
  <si>
    <t>O Estado do Pará mapeou oportunidades de financiamento e parcerias no documento "Recomendações para uma Agenda de Mitigação e Adaptação às Mudanças Climáticas". Recentemente, contratou aproximadamente R$ 45 milhões para a execução de projeto de combate a queimadas e concluiu outros três projetos voltados ao eixo de comando e controle do desmatamento, financiados com recursos do Fundo Amazônia (FA).
No âmbito do Plano de Agricultura de Baixa Emissão de Carbono (Plano ABC+), mantém parcerias com a Cooperação Técnica Alemã (GIZ) e com o Banco Interamericano de Desenvolvimento (BID) para a realização de capacitações. Adicionalmente, aderiu a instrumentos e programas nacionais, como o Progestão da Agência Nacional de Águas e Saneamento (ANA).
Na agricultura familiar, há dois projetos em fase de elaboração ou aprovação: um junto ao BNDES/Fundo Amazônia e outro voltado à obtenção de empréstimo para o programa "Pará da Alimentação Saudável e da Floresta Viva". No setor de saneamento básico, o Estado não está atualmente habilitado a acessar recursos federais. Em compensação, obteve financiamento do BID destinado à ampliação do acesso e à melhoria da qualidade dos serviços de abastecimento de água, coleta e tratamento de esgoto.</t>
  </si>
  <si>
    <t>O Estado do Pará mapeou oportunidades de financiamento e parcerias no documento "Recomendações para uma Agenda de Mitigação e Adaptação às Mudanças Climáticas". Evidencia-se capacidade técnica para estruturar projetos e captar recursos em fundos e mecanismos de mercado, a exemplo do acordo de compra e venda de créditos de carbono e do Sistema Jurisdicional de REDD+, em construção com instituições estrangeiras. Outras captações encontram-se no relatório da Comissão de Financiamentos Externos (COFIEX), com iniciativas como "Restauração Ecológica da Unidade de Recuperação Triunfo do Xingu, Altamira-PA", "Municípios Sustentáveis" e "Descarboniza Pará".
Adicionalmente, o Estado conta com o Fundo da Amazônia Oriental (FAO)  -  de natureza privada e governança pública  -  que canaliza recursos privados para ações do PEAA. São frequentes as parcerias de cooperação técnica com BID, GIZ, KfW, entre outros, voltadas ao desenvolvimento do Plano ABC+ Pará e ao fomento de empreendimentos de povos e comunidades tradicionais em cadeias de valor da sociobioeconomia.</t>
  </si>
  <si>
    <t>O monitoramento contínuo das ações e projetos de enfrentamento às mudanças climáticas é realizado por meio do Relatório Anual de Avaliação do PPA. A execução física dos Planos de Bioeconomia (PLANBIO) e Amazônia Agora (PEAA) conta com portais específicos que apresentam indicadores e oferecem múltiplos filtros de análise, assegurando acesso a informações em formatos diversificados, como gráficos e textos explicativos. Além disso, há relatório específico com os resultados do primeiro triênio do PEAA.
Todavia, os projetos financiados com recursos internos ou externos apresentam margem para aprimoramento quanto ao detalhamento das informações financeiras e à forma de divulgação, uma vez que os dados não são disponibilizados em formato aberto.</t>
  </si>
  <si>
    <t>O estado do Pará financia a instalação de sistemas fotovoltaicos e vem desenvolvendo produtos e serviços financeiros voltados à transição climática. Destaca-se o Banpará Bio, linha de crédito destinada ao financiamento de atividades e serviços agropecuários em estabelecimentos rurais ou áreas comunitárias, com recursos acessíveis a Povos Indígenas, Comunidades Tradicionais e Agricultores Familiares.
O Fundo Amazônia Oriental (FAO), mecanismo operacional e financeiro de mobilização de recursos privados, apoia ações do Plano Estadual Amazônia Agora (PEAA) e atua em sinergia com a Política Estadual sobre Mudanças Climáticas (PEMC) no combate ao desmatamento e na descarbonização das atividades econômicas.
No setor florestal, o estado concede áreas para manejo florestal sustentável e restauração ecológica. Nas unidades de conservação, além das compensações por impacto ambiental no âmbito de projetos com Estudo de Impacto Ambiental (EIA), são aplicadas as Cotas de Proteção Ambiental (CPA) e o pagamento de reposição florestal. O projeto Valoriza Territórios Sustentáveis promove pagamentos por serviços ambientais (PSA) a pequenos produtores rurais para conservação de vegetação nativa e recuperação de áreas de preservação permanente.
O estado mantém acordo de compra e venda de créditos de carbono no contexto do REDD+ e, no setor de saneamento, realizou a concessão dos serviços de abastecimento de água e esgotamento sanitário.</t>
  </si>
  <si>
    <t>De forma geral, o Estado do Pará realiza o monitoramento dos financiamentos por meio do Relatório de Execução do Plano Estadual Amazônia Agora (PEAA), no qual o Eixo IV - Financiamento Ambiental de Longo Alcance contempla a operacionalização e o financiamento promovido pelo Fundo Amazônia Oriental (FAO)  -  fundo privado voltado à mobilização de recursos para ações vinculadas ao PEAA, que dispõe de portal próprio com informações e documentos de gestão.
O Banpará Bio  -  linha de crédito para financiamento de atividades e serviços agropecuários em estabelecimentos rurais ou áreas comunitárias, é monitorado pela plataforma de acompanhamento do Plano Estadual de Bioeconomia (PLANBIO) e pelas Demonstrações Financeiras Padronizadas, disponíveis no sítio eletrônico da instituição financeira. As concessões florestais e demais instrumentos do setor são acompanhados por meio do portal do Instituto de Desenvolvimento Florestal e da Biodiversidade do Estado do Pará (Ideflor-Bio). Já a captação de recursos para o Sistema Jurisdicional de REDD+, embora ainda não implementada, pode ser acompanhada no portal da Semas.
Apesar da diversidade de formatos e canais de divulgação, não há disponibilização de resultados em dados abertos e desagregados, e a linguagem utilizada pode ser aprimorada para maior clareza e acessibilidade ao público em geral.</t>
  </si>
  <si>
    <t>A PEEMC (art. 42) prevê a criação de um Fundo Estadual Sobre Mudanças Climáticas, por meio de legislação específica, para apoiar atividades de promoção, manutenção, preservação e conservação ambiental.
Diante dos impactos negativos da ação humana, como desmatamento e poluição, o PPA 2024/2027 enfatiza a necessidade de investir em ações que transformem a relação entre produção e meio ambiente. Isso inclui o fomento à energia limpa, bioeconomia, finanças sustentáveis, infraestrutura verde, desenvolvimento tecnológico e aprimoramento da regulação e fiscalização ambiental (p.251).
Para tanto, incluiu diversas ações inter-relacionadas às mudanças climáticos: Gestão da macrodrenagem e redução do risco de deslizamentos e inundações em áreas urbanas
Além disso, o Fundo Estadual (FEMA-PE) pode destinar recursos para ações de mitigação ou adaptação às mudanças climáticas (Lei nº 18.513/2024, art. 1º, j). Dessa forma, observa-se um alinhamento entre planos, programas, ações e mecanismos de financiamento voltados ao enfrentamento das mudanças climáticas no estado.</t>
  </si>
  <si>
    <t>Conforme a SEMAS-PE (Ofício nº 6/2025), o orçamento público de Pernambuco não possui codificação específica para diferenciar gastos diretos com ações climáticas. 
No entanto, através do "e-Fisco", pode ser possível rastrear recursos inter-relacionados aos objetivos climáticos. Mecanismos para identificar despesas orçamentárias, diretas e indiretas, realizadas em ações relativas ao enfrentamento dos impactos da mudança do clima, dependem, portanto, do monitoramento do próprio PPA 2024/2027, ou do acompanhamento, pela SEMAS-PE, da execução de ações climáticas eventualmente financiados pelo FEMA-PE (Lei nº 18.513/2024 - Altera a Lei nº 17.134/2020). 
Não foram encontradas evidências de um acompanhamento sistemático de recursos destinados a ações prejudiciais aos objetivos climáticos (como subsídios perversos ou atividades intensivas em carbono), embora possam ser identificados no PPA por inferência.
Enfim, não foram identificadas evidências de que o estado possua mecanismo(s) específico(s) diretamente associado(s) ao acompanhamento orçamentário dos investimentos voltados ao enfrentamento das mudanças climáticas (ações positivas, de mitigação e/ou adaptação às mudanças climáticas), tampouco ao acompanhamento das despesas direcionadas à ações de incentivo ou de subsídios à atividades econômicas carbono-intensivas.</t>
  </si>
  <si>
    <t>PEEMC, Seção II - Objetivos Específicos - prevê a promoção de "compras e contratações sustentáveis pelo poder público com base em critérios de de sustentabilidade, em particular com vistas ao equilíbrio climático" (3º, VIII). Nas estratégias de mitigação - "Transporte"- é prevista adoção de "critérios de sustentabilidade ambiental e de estímulo à mitigação de GEE na aquisição de veículos da frota do Poder Público e na contratação de serviços de transporte" (5º, III, d).
O Decreto nº 42.066/2015 dispõe sobre a prioridade nas aquisições de produtos que contenham critérios objetivos de sustentabilidade pelos órgãos e entidades da Administração Direta e Indireta do Poder Executivo Estadual. Fixa, também, através do art. 2º a "adoção de critérios e práticas de sustentabilidade objetivamente definidas nos instrumentos convocatórios, veiculados como especificação técnica do objeto ou como obrigação da contratada". 
Ainda segundo o decreto, art. 4º, devem ser priorizados produtos reciclados e recicláveis nas aquisições governamentais e nas contratações de serviços. Nas dispensas ou inexigibilidades para aquisição de bens ou contratações de serviços, "os órgãos e entidades devem estabelecer, nos termos de referência balizadores das suas compras, especificações para serviços e produtos reciclados e recicláveis", considerando critérios de sustentabilidade a exemplo da "redução da emissão de poluentes e de gases de efeito estufa" (art.5º, IV).</t>
  </si>
  <si>
    <t>Através do Portal da Transparência, aba "Gestão Estadual", tem-se acesso ao tópico "Gestão Ambiental", que leva à página vinculada à CPRH (Agência Estadual de Meio Ambiente) onde se encontram "Publicações de Avaliação de Impacto Ambiental" (https://www2.cprh.pe.gov.br/publicacoes-de-avaliacao-de-impacto-ambiental-2/). Através do caminho &lt;Início/Responsabilidade Fiscal/Planejamento e Orçamento/ Ações e Programas&gt; (https://transparencia.pe.gov.br/responsabilidade-fiscal/planejamento-e-orcamento/acoes-e-programas/) chega-se à SEMAS-PE, Gestão Ambiental / Preservação e Conservação / PE Sustentável / Fortalecimento Ambiental / Implementar e fomentar ações.  
Apesar das obrigações consignadas no Decreto Estadual nº 38.787/2012, que dispõe sobre o acesso a informações no âmbito do Poder Executivo Estadual, não foram identificadas evidências relativas à existência de mecanismos específicos de transparência ativa, com informações e dados atualizados e acessíveis em formato de dados abertos e linguagem simples sobre orçamento e gasto público climático no âmbito do Estado de Pernambuco.</t>
  </si>
  <si>
    <t>"De acordo com a SEMAS-PE (Ofício nº 6/2025), ""O Estado de Pernambuco tem buscado oportunidades de participação em iniciativas e redes nacionais e internacionais ligadas à agenda climática"". 
Nesse sentido, destaca-se a adesão ao programa AdaptaCidades, do Ministério do Meio Ambiente e Mudança do Clima (MMA), em que não há transferência direta de recursos financeiros, mas de apoio técnico, institucional e de capacitação para os estados e municípios. Ainda segundo a SEMAS-PE, o estado tem participado de oficinas para contribuição dos governos subnacionais na elaboração do Plano Clima e participado do processo de construção do Plano Nacional de Arborização Urbana, tendo inclusive sediado oficina realizada este ano em Recife.
Através do Decreto Estadual nº 45.165/2017 foi aprovado o Plano Estadual de Mitigação e de Adaptação às Mudanças Climáticas para a consolidação de uma economia de baixa Emissão de carbono na Agricultura - Plano ABC Pernambuco. O ""Plano ABC"" tem por objetivo ""o desenvolvimento de atividades agropecuárias e florestais sustentáveis e de baixa emissão de Gases de Efeito Estufa - GEE, em consonância com o Plano ABC Nacional"" (art. 2º).
Dentre as diretrizes do plano (art. 3º) encontram-se: recuperação de áreas com pastagens degradadas</t>
  </si>
  <si>
    <t>O PDPE é uma iniciativa do Estado executada em parceria com a agência alemã GIZ. Plano de descarbonização indica a captação de recursos externos: "Para superar os desafios econômicos, é sugerido que o Estado: fomente ao desenvolvimento de mecanismos de financiamento (fundos dedicados, green bonds, fundos de desenv. tecnológico), com captação de recursos que utilize os mecanismos internacionais de crédito (GCF, GEF, BID etc.)". (PDPE, p.31)
O "PE Agroecológico", 80% financiado pelo BIRD, tem o objetivo de aumentar a produção agropecuária, por meio de práticas agroecológicas e resistentes ao clima. Prevê restauração de áreas degradadas, recuperação de nascentes, adoção de tecnologias sociais e redução das emissões de GEE.  
O "GEF Terrestre" conta com recursos do BID e tem como objetivo contribuir para a viabilidade a longo prazo de espécies ameaçadas, evitar emissões de carbono e aumentar a área florestal e não florestal sob práticas de manejo sustentável. 
Segundo a SEMAS-PE, o projeto "Clima PE" contou com o apoio financeiro do "Future Fund", que aportou US$ 25 mil para sua elaboração na primeira edição, em 2024, viabilizando parceria executiva do ICLEI (Governos pela Sustentabilidade) e a contratação tecnológica de painel de BI para visualização dos dados climáticos.
Portanto, a partir desses exemplos, constata-se que o Estado possui capacidades e que utilizou recursos externos para execução de projetos/planos importantes no âmbito do enfrentamento da mudança do clima.</t>
  </si>
  <si>
    <t>No caso do PDPE, o monitoramento, reporte e verificação do cumprimento dos objetivos do plano, baseia-se em indicadores específicos a cada uma das metas propostas, juntamente com a fonte de dados quantitativos para seu cálculo. 
Já o monitoramento do PPA 2024/2027, de modo geral, inclui a alocação de recursos, acompanhamento e a avaliação dos resultados (p. 125).
Segundo o Ofício SEMAS-PE nº 06/2025, no entanto, "não há um monitoramento específico de ações para captação de recursos para execução de ações climáticas". Foi afirmado, ainda, no mencionado ofício, que "Atualmente, o Portal de Dados Abertos de Pernambuco (https://dados.pe.gov.br/), local de disponibilização de dados em formato aberto e desagregados do Estado, não possui conjuntos de dados da SEMAS". 
Também não foram identificadas evidências sobre a existência de mecanismos de transparência específicos e capazes de fornecer dados atualizados, desagregados e acessíveis, em formato de dados abertos e linguagem simples, acerca dos recursos empregados, progressos e resultados vinculados às ações climáticas no estado de Pernambuco.
Portanto, diante dessas fragilidades, considere-se essencial o fortalecimento das capacidades institucionais dos órgãos ambientais do Estado, diante das funções de monitoramento, fiscalização e transparência dos recursos e ações relativas ao enfrentamento das mudanças climáticas no estado.</t>
  </si>
  <si>
    <t>A PEEMC, através da seção "Instrumentos Econômicos e Fiscais" prevê a promoção e implantação de instrumentos econômicos, financeiros, fiscais e de mercado que incentivem medidas de conservação e recuperação dos ecossistemas. No campo dos estímulos fiscais, ficou estabelecido ao Estado, no âmbito de sua legislação tributária, criação de mecanismos de incentivo à energias limpas renováveis, eficiência energética e hídrica
Através do Decreto nº 57.044/2024 foi regulamentado o "Programa Selo Empresa Verde do Estado". Segundo o art. 3°, "O Selo Empresa Verde certifica empresas que contribuam para o desenvolvimento sustentável do Estado e que adotem boas práticas ambientais e sustentáveis". Boas práticas são listadas no art. 4º, I/XXXIII, com destaque para a utilização de energias renováveis
Atuação do estado foca incentivos financeiros, linhas de crédito, a exemplo da Lei nº 17.830/2022, que estabelece incentivos econômicos para geração de energia a partir de fontes renováveis, especialmente de matriz solar. No entanto, transparece clara a necessidade de avanços na mobilização de recursos privados para implementação de ações climáticas.</t>
  </si>
  <si>
    <t>Segundo o Ofício nº 06/2025 - SEMAS-PE, de 29/07/2025, "Não há informações sobre monitoramento regular de ações que contribuem para o alcance dos objetivos climáticos financiadas através de recursos privados".
Não foram identificadas evidências acerca da existência de mecanismos específicos de monitoramento e transparência ativa, com disponibilização de informações e dados atualizados e acessíveis, relativos aos incentivos fiscais disponibilizados para o financiamento privado dos objetivos climáticos no âmbito do Estado de Pernambuco.</t>
  </si>
  <si>
    <t>"O Piauí começou a direcionar recursos orçamentários para a agenda climática, ainda de forma agregada. No PPA 2024-2027, incluiu ações de enfrentamento à emergência climática no programa ECO Piauí, e as diretrizes orçamentárias de 2026 priorizam metas alinhadas aos compromissos estaduais, incluindo combate às mudanças climáticas, indicando previsão de recursos para o Plano de Adaptação e o Plano de Ação Climática (quando finalizado). Não há ""orçamento climático"" segregado</t>
  </si>
  <si>
    <t>O Piauí ainda não possui taxonomia formal ou sistema de marcação para despesas climáticas. Projetos e ações ligados ao tema não são identificados como "despesa climática" nas leis orçamentárias, dificultando mensurar o investimento real, situação semelhante à apontada pelo TCU no âmbito federal, que destacou a ausência de identificação ampla no Orçamento-Geral da União. Em 2024, a SEPLAN-PI iniciou estudos para implementar no SIAFE-PI uma forma de marcar despesas relacionadas ao Plano de Clima, mas a iniciativa segue embrionária e não implementada até julho de 2025. O TCU recomendou à União desenvolver metodologia de marcação de gastos climáticos, abrangendo gastos primários e secundários, com impactos positivos e negativos, o que poderá servir de modelo aos estados. Esse Painel ClimaBrasil também busca sensibilizar governos para essa prática. Apesar do reconhecimento da importância e da menção por autoridades à necessidade de transparência, não há hoje rastreamento sistemático no estado, configurando ausência de progresso efetivo até que se institua um sistema formal de classificação e acompanhamento desses gastos.</t>
  </si>
  <si>
    <t>A Política Estadual de Mudança do Clima incorporou o conceito de compras públicas sustentáveis como instrumento de mitigação. A Lei nº 6.140/2011, em seu art. 9º, inciso XII, prevê critérios de preferência em licitações e concessões públicas para propostas que reduzam emissões de gases de efeito estufa e resíduos. Essa base legal permite incluir requisitos climáticos nos editais, como eficiência energética e menor pegada de carbono, mas ainda carece de regulamentação específica para aplicação plena. Apesar desses avanços, a incorporação sistemática de critérios climáticos nas contratações ainda é incipiente, com a maioria das licitações priorizando menor preço sem critérios verdes vinculantes. É necessário regulamentar e capacitar melhor os órgãos compradores para ampliar a prática. Embora haja mecanismos, não foram encontradas licitações que tenham utilizado explicitamente esses critérios.</t>
  </si>
  <si>
    <t>A Política Estadual de Mudança do Clima (Lei nº 6.140/2011) incorporou compras públicas sustentáveis como instrumento de mitigação. O inciso XII do Art. 9º prevê preferência, em licitações e concessões, para propostas que reduzam emissões de GEE e resíduos, criando base legal para exigir critérios climáticos em editais (ex.: eficiência energética, menor pegada de carbono). Falta, porém, regulamentação específica para plena aplicação. O Piauí aderiu à Agenda A3P do MMA, comprometendo-se com licitação sustentável. Em 2023, realizou pregões para veículos com pontuação positiva para motores menos poluentes (priorizando modelos flex) e passou a exigir selo Procel A em ar-condicionados. A CGE monitora o Decreto Federal nº 10.024/2019 (cotação sustentável em pregões eletrônicos) e apontou que 15 % das licitações de 2022 incluíram algum critério ambiental. Não há decreto estadual consolidado sobre Green Public Procurement. Apesar de avanços pontuais, a adoção sistemática de critérios climáticos ainda é incipiente: não há exigência de cálculo de emissões do ciclo de vida ou neutralização de carbono, e a maioria dos editais prioriza menor preço sem critérios verdes vinculantes. O estágio é inicial, exigindo regulamentação e maior capacitação dos órgãos compradores.</t>
  </si>
  <si>
    <t>Atualmente, não há uma seção dedicada no Portal da Transparência do Piauí para ações ou gastos relacionados à mudança do clima. O cidadão consegue encontrar informações dispersas - por exemplo, consultando a execução orçamentária da SEMARH ou da Defesa Civil, é possível ver quanto foi gasto em determinadas ações (como "Prevenção de Desastres Naturais" ou "Proteção de Recursos Naturais"), mas isso exige conhecimento do orçamento e esforço de
busca. Não há nenhuma publicação periódica do tipo "Relatório de Gastos Climáticos do Estado".Essas informações, porém, ficam em notícias avulsas, não consolidadas em um local único ou fácil de acompanhar. A transparência ativa (iniciativa do governo) em relação ao financiamento climático é baixa. A
Controladoria do Estado aponta que faltam classificações adequadas para dar transparência - o que remete ao item (B). A transparência orçamentária climática é limitada: gastos estão no portal geral, sem destaque ou contexto, dificultando o acesso público.</t>
  </si>
  <si>
    <t>"O Piauí tem sido ativo na adesão a programas nacionais e regionais que trazem recursos e suporte para ações climáticas. No Fundo Clima/MMA, foi contemplado em 2021 com R$ 2,5 milhões para recuperação de áreas degradadas e, em 2023, pleiteou verbas para usinas solares em prédios públicos via BNDES. No Plano Nacional de Adaptação (PNA), alinhou seu plano estadual às diretrizes nacionais e participou da Estratégia Nacional de Resiliência (PlanClima Participativo) sediando plenária regional. Pelo Consórcio Nordeste - Programa Nordeste Verde, integra a formulação do Plano Nordeste de Transformação Ecológica, que busca captar recursos internacionais para energia limpa, agricultura sustentável e convivência com o semiárido. No Programa Lixão Zero (MMA), recebe assistência técnica e acesso a recursos do FNMA</t>
  </si>
  <si>
    <t>O Piauí vem captando recursos externos relevantes por meio de projetos estruturados. Com o BID, firmou em 2022 convênio do programa Piauí Sustentável (~US$ 44 milhões), destinado em parte à mitigação no setor de resíduos (aterros sanitários regionais) e à adaptação hídrica (abastecimento rural). Com o FIDA, obteve US$ 30 milhões no Viva o Semiárido e participa do Sertão Vivo (FIDA+BNDES), fortalecendo a resiliência rural. No Fundo Verde do Clima (GCF), ainda sem projeto direto, atua no Consórcio Nordeste e MMA para propor o Fundo Nordeste Resiliente, focado em energias renováveis descentralizadas e agricultura resiliente. Na cooperação Alemanha (GIZ/KfW), O Estado participa do ProAdapta Sertão para adaptação no semiárido. Em 2023, assinou memorando com a Fortescue (Austrália) para possível investimento de US$ 6 bilhões em hidrogênio verde, com incentivos da Lei do H2V. Pela diversidade e porte dos recursos já mobilizados (BID, FIDA, cooperações) e negociações em andamento (GCF, H2V), o Piauí demonstra alta capacidade de captar financiamento climático, situando-se em patamar intermediário na mobilização de recursos externos.</t>
  </si>
  <si>
    <t>Apesar dos avanços na captação de recursos externos, a transparência no acompanhamento ainda é limitada. Informações sobre convênios internacionais e financiamentos aparecem no Portal da Transparência, mas de forma técnica e pouco acessível. A divulgação ocorre principalmente via imprensa, sem plataforma específica que detalhe valores recebidos de fontes climáticas e sua aplicação. O TCU apontou opacidade semelhante no nível federal, e no Piauí não há relatórios públicos consolidados sobre resultados financiados por BID, FIDA ou outros, salvo documentos exigidos pelos financiadores, raramente divulgados. Há iniciativas pontuais, como seminários de encerramento do Projeto Viva o Semiárido, que apresentaram números e envolveram beneficiários, configurando transparência participativa. Contudo, falta um dashboard público com todas as fontes externas e o status de execução.</t>
  </si>
  <si>
    <t>O programa jurisdicional do Piauí inclui a estruturação de um sistema MRV com padrões internacionais (ART TREES), permitindo rastrear investimentos, monitorar redução de desmatamento e reportar resultados. Esse sistema é parte central do acordo de governança, tornando-o acessível ao público e apto a fornecer relatórios claros sobre os fluxos financeiros e os resultados do programa. Mecanismos institucionais e técnicos de MRV estão previstos e em fase de estruturação, mas ainda não há operação consolidada.</t>
  </si>
  <si>
    <t>Os instrumentos de planejamento de Porto Alegre (PPA 2022-2025, LDO 2025 e LOA 2025) contemplam programas e ações em áreas relacionadas à agenda climática, como saneamento, drenagem, defesa civil, resíduos sólidos, arborização e mobilidade sustentável. O Plano de Ação Climática (PLAC) define metas específicas de mitigação e adaptação, e o PDDUA estabelece diretrizes urbanísticas que incorporam a resiliência climática. 
Entretanto, não foram apresentadas evidências documentais que comprovem a alocação de recursos próprios especificamente vinculados às ações climáticas. O PLAC e o PDDUA não contêm dotações orçamentárias, e os links fornecidos para o PPA e a LDO não permitem verificar quadros ou anexos que confirmem a destinação financeira. Da mesma forma, embora a LOA 2025 esteja disponível, não foi identificada rubrica claramente dedicada à execução de recursos climáticos.
Assim, o município atende parcialmente aos critérios do manual: há inserção do tema climático em seus instrumentos estratégicos e normativos, mas a comprovação da alocação financeira permanece insuficiente. Dessa forma, a classificação é de Estágio inicial.</t>
  </si>
  <si>
    <t>Em Porto Alegre, o Plano Plurianual (PPA 2022-2025) mostra ações importantes ligadas ao enfrentamento das mudanças climáticas, como drenagem urbana, proteção contra cheias, defesa civil, gestão de resíduos e educação ambiental. Porém, essas iniciativas aparecem espalhadas em diferentes áreas e não existe uma metodologia clara para marcar quais despesas são, de fato, climáticas.
Na prática, isso significa que o orçamento da cidade não diferencia os gastos diretos voltados para adaptação ou mitigação climática de outras despesas mais gerais. Também não há mecanismos que permitam identificar os gastos indiretos  -  aqueles que, mesmo sem ter o clima como objetivo principal, contribuem para reduzir riscos ou emissões  -  nem os gastos negativos, como incentivos que possam aumentar a poluição ou o desmatamento.
Assim, ainda que existam políticas e ações com impacto positivo, o município não possui um sistema estruturado de rastreamento das despesas climáticas. Esse cenário dificulta a transparência, a comparação e a avaliação de quanto a cidade realmente investe para enfrentar a crise climática, bem como de identificar recursos aplicados em ações que vão na direção contrária.</t>
  </si>
  <si>
    <t>Porto Alegre já avançou na incorporação de critérios de sustentabilidade em suas compras públicas. O Decreto nº 21.869/2023, que instituiu o Plano de Logística Sustentável, estabelece a necessidade de rever continuamente padrões de consumo e contratação, além de prever capacitação em logística sustentável. No Plano de Ação Socioambiental 2025-2026 também há evidências diretas de iniciativas para incluir cláusulas sustentáveis em editais e reduzir impactos ambientais em contratos. Essas ações mostram reconhecimento do tema e passos concretos já dados.
Por outro lado, ainda faltam instrumentos normativos mais claros, como portarias ou instruções normativas, que padronizem a adoção de cláusulas ambientais em todos os editais. Também não foram identificados manuais ou guias práticos que orientem fornecedores sobre padrões de eficiência, certificações verdes, logística reversa ou mitigação climática. Além disso, não há evidências de capacitação técnica estruturada e contínua para as equipes de compras.</t>
  </si>
  <si>
    <t>Porto Alegre possui alguns avanços em transparência climática, mas ainda limitados. O destaque é a Plataforma de Acompanhamento do Plano de Ação Climática (PLAC), que apresenta informações sobre valores contratados, objeto das iniciativas, fonte de recursos e estágio de execução. Essa ferramenta é positiva por ser específica para o tema climático e de fácil acesso ao cidadão. No entanto, ela não permite rastrear os valores dentro do orçamento municipal, nem detalhar os gastos de forma completa (empenhos, liquidações, pagamentos, número de contrato, credor). O Portal da Transparência e o site de Dados Abertos da Prefeitura oferecem informações gerais sobre receitas, despesas e contratos, inclusive em formatos reutilizáveis. Contudo, não há uma categorização que identifique claramente os recursos aplicados em ações de mitigação, adaptação ou resiliência climática. Na prática, o cidadão não consegue visualizar quanto a cidade efetivamente investe em clima. Após as enchentes de 2024, foram criados o Escritório de Reconstrução e o Fundo Municipal de Reconstrução e Adaptação Climática (FMRAC), com informações publicadas no Portal da Transparência. Apesar de relevantes, esses dados ainda não estão integrados a um painel consolidado que evidencie os recursos climáticos de ponta a ponta.</t>
  </si>
  <si>
    <t>Porto Alegre aderiu a programas federais relevantes voltados à adaptação climática. O município integra a iniciativa AdaptaCidades, destinada a apoiar estados e municípios na elaboração de planos locais de adaptação, e foi contemplado no Minha Casa Minha Vida - Calamidades, com a execução de unidades habitacionais para famílias atingidas pelas enchentes de 2024. Essas evidências demonstram a capacidade técnica do município para acessar recursos e a implementação de ações financiadas por políticas nacionais.
Contudo, não foram apresentadas evidências de um mapeamento sistemático de oportunidades de captação ou da adesão a outros programas estaduais e federais além dos mencionados. Dessa forma, Porto Alegre atende parcialmente aos critérios estabelecidos no manual, justificando a classificação em Estágio intermediário.</t>
  </si>
  <si>
    <t>Porto Alegre apresenta avanços importantes no acesso a fontes externas de financiamento climático. O município conta com um planejamento estruturado por meio do Plano de Ação Climática, que definiu setores estratégicos e orienta a busca por recursos adicionais. Apesar disso, ainda não existe um mapeamento plenamente direcionado ao tema, e iniciativas locais como a plataforma CAPTA POA têm foco mais amplo em inovação, não se configurando como instrumentos específicos para sustentabilidade. A cidade demonstra capacidade técnica consistente, com apoio de redes internacionais e participação em processos de qualificação e apresentação de projetos, o que fortalece a qualidade das propostas submetidas a financiadores. Além disso, Porto Alegre já conseguiu transformar esse planejamento em resultados concretos, acessando fontes externas que apoiam ações de resiliência climática, mobilidade e infraestrutura urbana. Esse cenário evidencia que o município reúne condições de mobilizar recursos internacionais relevantes, embora ainda possa avançar na consolidação de mecanismos específicos para ampliar o acesso a fundos climáticos dedicados.</t>
  </si>
  <si>
    <t>O município de Porto Alegre dispõe de instrumentos relevantes para o monitoramento e a transparência de suas ações climáticas. O Plano de Ação Climática (PLAC) conta com uma plataforma que apresenta status de execução, custos estimados, fontes de recursos e prazos de conclusão das iniciativas, enquanto o Escritório de Reconstrução e Adaptação Climática divulga informações sobre projetos e deliberações no Portal da Transparência. Esses mecanismos asseguram um acompanhamento periódico e possibilitam que a sociedade tenha acesso a dados atualizados, em formato visual e bilíngue, o que fortalece a credibilidade da gestão municipal diante de parceiros e investidores. No entanto, persistem lacunas importantes. As informações publicadas não estão diretamente vinculadas a uma classificação climática das despesas, o que dificulta a identificação precisa de recursos aplicados em mitigação e adaptação. Também não há detalhamento pormenorizado que permita auditoria independente ou controle social mais efetivo, já que os dados disponibilizados não são apresentados em bases abertas ou desagregadas por resultados físicos e financeiros específicos de cada ação. Assim, observa-se um esforço consistente de monitoramento e divulgação, mas ainda limitado quanto à transparência climática plena e ao detalhamento necessário para aferir, de modo inequívoco, a destinação dos recursos e o cumprimento dos objetivos estipulados.</t>
  </si>
  <si>
    <t>Porto Alegre conta hoje com mecanismos que estimulam o setor privado a investir em ações climáticas, mas de forma ainda restrita. O principal é o IPTU Sustentável, criado pela Lei Complementar nº 974/2023, que concede descontos de 3% a 10% no imposto predial para imóveis que obtenham a Certificação em Sustentabilidade Ambiental. A adesão já é concreta: em 2025/2026 mais de 500 imóveis foram contemplados, mostrando que o instrumento mobiliza investimentos privados individuais em práticas como telhados verdes, sistemas de reaproveitamento de água e áreas permeáveis. Outro exemplo é a PPP da Iluminação Pública, estruturada com apoio do BNDES, que trouxe investimento privado de longo prazo para modernizar a iluminação da cidade, com ganhos de eficiência energética e co-benefícios climáticos.
Apesar desses avanços, a cidade ainda não dispõe de instrumentos voltados a investidores institucionais, como fundos de pensão ou capital de risco, nem de estruturas financeiras de mitigação de risco que facilitem a entrada de grandes aportes privados em projetos climáticos. Além disso, o IPTU Sustentável não diferencia contribuintes por critérios de renda ou habitação de interesse social, o que reduz o alcance do benefício para públicos mais vulneráveis. Em síntese, Porto Alegre apresenta iniciativas reais e operacionais de mobilização de capital privado, mas ainda limitadas em escala, perfil de investidores e inclusão social.</t>
  </si>
  <si>
    <t>A Prefeitura de Porto Alegre mantém o Portal de Monitoramento da Reconstrução e Adaptação Climática, no qual são disponibilizados dados sobre danos estimados, recursos recebidos das esferas pública (União, Estado e Município) e andamento de obras vinculadas à recuperação e adaptação. O painel apresenta informações sobre valores solicitados, contratos firmados e execução física de intervenções como diques, casas de bombas e o Muro da Mauá.
Embora esse instrumento ofereça acompanhamento atualizado de recursos e projetos públicos, não há qualquer indicação de mobilização de investimentos privados voltados à ação climática. Não foram identificados relatórios, indicadores ou plataformas que demonstrem aportes de fundos privados, concessões, parcerias ou outros mecanismos financeiros de origem não estatal aplicados em mitigação ou adaptação.
Assim, as iniciativas existentes permitem alguma transparência em relação a recursos públicos empregados, mas não contemplam a dimensão específica deste item, que requer evidências claras de monitoramento e divulgação de capital privado direcionado a projetos climáticos.</t>
  </si>
  <si>
    <t>Não há previsão nas leis orçamentárias do ente federativo de diretrizes e recursos públicos para ações direcionadas ao enfrentamento da mudança do clima e seus impactos (não atende a nenhum atributo).</t>
  </si>
  <si>
    <t>A gestão municipal não possui capacidade de identificar, classificar, "marcar" e monitorar as despesas relacionadas com o clima.</t>
  </si>
  <si>
    <t>Não existem mecanismos que promovam a adoção de critérios e práticas de sustentabilidade ou de mitigação/adaptação nas compras e contratações públicas.</t>
  </si>
  <si>
    <t>Não atendimento para todos os atributos.</t>
  </si>
  <si>
    <t>Não existe um mapeamento das oportunidades de obtenção de recursos a partir da adesão do ente federativo aos instrumentos da PNMC (ou setorais) ou de outros planos estaduais, com identificação de quais são mais adequadas para os projetos prioritários. Não há mecanismos ou capacidades internas que viabilizem a adesão do ente federativo a políticas/programas federais e/ou estaduais,</t>
  </si>
  <si>
    <t>As ações de mobilização de captação de recursos para execução da política climática não são monitoradas com regularidade (não atende a nenhum atributo).</t>
  </si>
  <si>
    <t>As ações de mobilização de investimento privado climático não são monitoradas com regularidade (não atende a nenhum atributo).</t>
  </si>
  <si>
    <t>O Plano Plurianual do Recife para o período de 2022-2025, no âmbito do eixo Meio Ambiente e Sustentabilidade, estabelece que a proteção ambiental e a sustentabilidade dos ecossistemas naturais e urbanos constituem demandas essenciais para o enfrentamento e a redução dos efeitos adversos provocados pelas mudanças climáticas. As estratégias contempladas neste eixo incluem: proteção e ampliação de áreas verdes
As Leis Orçamentárias do Recife para os anos de 2024 e 2025 apresentam idêntico conteúdo quanto às mudanças climáticas, inserido no eixo "Meio Ambiente e Sustentabilidade". Este engloba o programa "Fortalecimento das Políticas Integradas de Sustentabilidade Ambiental e Enfrentamento da Emergência Climática", que contempla ações cujas finalidades é Promover uma cidade sustentável mediante ações para prevenção e enfrentamento das mudanças climáticas, execução do plano de baixo carbono, uso racional da água e energias renováveis, e conscientização ambiental. Fortalecer a temática ambiental com eventos, projetos de educação ambiental e apoio ao conselho municipal do meio ambiente.
Pelos fatos citados, confere ao item em questão, considerando os critérios da Plataforma Clima Brasil, uma classificação em estágio avançado.</t>
  </si>
  <si>
    <t>Apresenta-se, a seguir, o detalhamento orçamentário referente ao Eixo Estratégico, Meio Ambiente e Sustentabilidade, apresentados de modo similar nas Leis Orçamentárias de 2024 e 2025.
Programa: 1.302   -   FORTALECIMENTO DAS POLÍTICAS INTEGRADAS DE SUSTENTABILIDADE AMBIENTAL E ENFRENTAMENTO DA EMERGÊNCIA CLIMÁTICA
6901.18.541.1.302.2.032 - AÇÕES PARA O DESENVOLVIMENTO DA CIDADE SUSTENTÁVEL
6901.18.541.1.302.2.042 - PROMOÇÃO DA GESTÃO E A ARTICULAÇÃO DAS AÇÕES AMBIENTAIS 
6901.18.541.1.302.2.045 - CONSOLIDAÇÃO DO CONTROLE SOCIAL NA GESTÃO DA POLÍTICA DE MEIO AMBIENTE DO MUNICÍPIO
Nos Programas são identificados os sues objetivos e nas ações, as suas finalidades 
Dessa forma, as Leis Orçamentárias do Recife para os exercícios de 2023 e 2024 instituíram códigos, rubricas, eixos estratégicos, programas, objetivos, ações e finalidades que possibilitam a distinção entre despesas diretamente vinculadas a ações climáticas e outros tipos de dispêndios sem correlação com estas. Assim, torna-se viável o rastreamento de recursos que contribuem indiretamente para os objetivos climáticos, ainda que seu propósito principal não seja a mitigação e/ou adaptação climática. Permite-se, ademais, a identificação de ações que impactam negativamente os objetivos climáticos, como atividades intensivas em carbono.
Pelos fatos citados, confere ao item em questão, considerando os critérios da Plataforma Clima Brasil, uma classificação em estágio avançado.</t>
  </si>
  <si>
    <t>A Lei Municipal n.º 17.484/2008 de Recife estabeleceu o Programa Municipal de Qualidade Ambiental (PMQA) para aprimorar a qualidade dos serviços públicos, promover o consumo sustentável, integrar critérios ambientais nas aquisições governamentais, prevenir impactos ambientais e difundir a cultura do consumo consciente.
Em 2010, a Prefeitura do Recife, por intermédio da Secretaria de Meio Ambiente e Sustentabilidade, aderiu à Agenda Ambiental na Administração Pública (A3P), um programa do Ministério do Meio Ambiente que visa fomentar a sustentabilidade socioambiental em órgãos governamentais. Tal adesão resultou na elaboração de uma agenda específica da Prefeitura, que adotou as práticas preconizadas pelo Ministério do Meio Ambiente.
Por fim, destaca-se o Programa ECORECIFE, instituído pela Prefeitura do Recife, através do Decreto n° 34.649/2021, cujo objetivo, previsto em seu art. 1°, é a adoção de iniciativas, ações e projetos sustentáveis voltados para a redução de resíduos, eliminação de plásticos de uso único, eficiência energética, uso sustentável da água e outras iniciativas visando a neutralidade das emissões de carbono no âmbito da Administração Pública Municipal.
Pelos fatos supracitados, confere-se ao item em questão, considerando os critérios da Plataforma Clima Brasil, uma classificação em estágio avançado.</t>
  </si>
  <si>
    <t>O Portal da Transparência do Recife configura-se como o instrumento por intermédio do qual são divulgadas informações relativas aos dados de planejamento e à execução orçamentária do município. Nesse contexto, conforme a praxe em ferramentas dessa natureza, o portal abrange dados da gestão, receitas, despesas, quadro de servidores, regularidade, licitações, contratos, convênios, demonstrativos fiscais, demonstrativos contábeis, planejamento orçamentário, bem como informações pertinentes aos setores de saúde, segurança, educação e demais áreas de despesas.
As informações são estruturadas de modo a permitir que qualquer cidadão, órgão de controle ou parte interessada compreenda e acompanhe a evolução das ações relativas às despesas orçamentárias. Elas estão disponíveis em formatos padronizados, abertos, desagregados e acessíveis, visando a possibilitar sua utilização da maneira mais adequada a cada propósito (dados abertos).
Entretanto, não foram identificados campos específicos que abordem orçamentos climáticos ou contratações emergenciais decorrentes de desastres. Nesse sentido, ressalta-se a aba "Consulta", que já apresenta diversas pesquisas de conteúdo pré-estabelecido, como saúde, educação, Covid-19, dentre outros, e entre estes, não constam os que tratam de mudanças climáticas e suas consequências.
Em face das lacunas apresentadas no parágrafo supracitado e considerando a metodologia do Painel Clima Brasil, classifica-se o item em exame como sem progresso.</t>
  </si>
  <si>
    <t>A Prefeitura do Recife, conforme veiculado em seu sítio eletrônico oficial, obteve em 12 de fevereiro de 2025, R$ 200 milhões do Finisa, programa da Caixa Econômica Federal que financia investimentos em saneamento, infraestrutura e despesas de capital para municípios, Estados e Distrito Federal.
Conforme noticiado pela prefeitura, parte dos recursos será destinada a novas obras de drenagem e contenção de encostas, intervenções que beneficiarão as populações mais vulneráveis aos efeitos extremos das mudanças climáticas, considerando que Inundação e Deslizamentos foram listados como ameaças críticas na Análise de Risco e Vulnerabilidade Climáticas e Estratégia de Adaptação do Município do Recife.
A captação de recursos provenientes desta fonte demonstra a capacidade e os mecanismos da Prefeitura do Recife para identificar oportunidades e viabilizar o acesso a tais recursos de um Banco Público Federal, destinando-os à execução de projetos específicos que contribuem para o enfrentamento das mudanças climáticas, em relação a duas ameaças consideradas críticas para a cidade do Recife.
Contudo, no Portal da Transparência do Recife, não se identificou um mapeamento sistemático e estratégico das oportunidades de captação de recursos, considerando que este seria o instrumento adequado para obter esse tipo de informação.
Pelos fatos citados, confere-se ao item em questão, considerando os critérios da Plataforma Clima Brasil, uma classificação em estágio intermediário.</t>
  </si>
  <si>
    <t>A Prefeitura do Recife, conforme veiculado em seu sítio eletrônico oficial, formalizou, em 15 de maio de 2023, a obtenção de um crédito no montante de R$ 2 bilhões junto ao Banco Interamericano de Desenvolvimento (BID), visando aprimorar as condições de vida em 40 comunidades vulneráveis, incluindo as áreas mais afetadas pelas precipitações de maio do ano anterior. As ações do Promorar englobam obras de macrodrenagem destinadas à mitigação do risco de inundações, tais como o alargamento da calha e a dragagem dos rios Tejipió, Jiquiá e Moxotó, além de investimentos em infraestrutura, habitabilidade e um robusto plano de contenção de encostas em toda a cidade.
No sítio eletrônico específico do Promorar, obtém-se detalhamento das ações dos seus três componentes envolvidos: Urbanização Integrada
A captação de recursos provenientes desta fonte demonstra a capacidade e os mecanismos da Prefeitura do Recife para identificar oportunidades e viabilizar o acesso a tais recursos, destinando-os à execução de projetos específicos que contribuem para o enfrentamento das mudanças climáticas, de ameaças consideradas críticas para a cidade do Recife.
Pelos fatos citados, confere ao item em questão, considerando os critérios da Plataforma Clima Brasil, uma classificação em estágio avançado.</t>
  </si>
  <si>
    <t>O Programa Promorar Recife, financiado por um crédito de R$ 2 bilhões junto ao Banco Interamericano de Desenvolvimento (BID), conforme detalhado no item F2 Captação de Recursos - A, demonstra deficiências no monitoramento e na transparência da execução físico-financeira e dos resultados de suas iniciativas. Embora o sítio eletrônico do Programa Promorar Recife, em sua seção de Aquisições, forneça informações relativas aos processos licitatórios, constata-se a ausência de dados aprofundados sobre a efetiva execução dos dispêndios, o que restringe o acompanhamento e a clareza das atividades desenvolvidas.
No Portal da Transparência do Recife, instrumento institucional adequado para facilitar o acesso à transparência das informações solicitadas, a seção "Consulta", que já disponibiliza diversas pesquisas de conteúdo predefinido, como saúde, educação, Covid-19, entre outros, não contempla consultas pertinentes a mudanças climáticas, tais como os financiamentos de despesas destinadas ao seu enfrentamento e suas consequências.
Diante dos fatos expostos, confere-se ao item, pelos critérios da Plataforma Clima Brasil, que preceituam a necessidade de fácil acesso às informações de monitoramento e de transparência dos dados referentes às mudanças climáticas, a classificação "sem progresso".</t>
  </si>
  <si>
    <t>O presente item teve como objetivo identificar a existência de mecanismos (fundos, subsídios, incentivos fiscais, etc.) por parte da Prefeitura do Recife para mobilizar financiamento climático privado (de indivíduos e empresas), visando ao alcance dos objetivos climáticos.
Na seção "Agenda Climática" do sítio da Secretaria de Meio Ambiente e Sustentabilidade do Recife-SMAS, não foram identificados mecanismos que se enquadrem nos termos da previsão do parágrafo acima.
Nesta agenda, consta o Programa de Premiação e Certificação em Sustentabilidade Ambiental do Recife, instituído pela Lei n.º 18.011/2014 e regulamentado pelo Decreto n.º 29.573/2026, que visa a reconhecer boas práticas em áreas como biodiversidade, clima, eficiência hídrica e energética, redução de resíduos e GEE, uso de materiais menos nocivos, acessibilidade, mobilidade urbana, humanização de espaços e tecnologias sustentáveis, por meio da concessão de selos de sustentabilidade (diamante, ouro, prata e bronze). Contudo, a ausência de repercussão financeira, observada neste programa, inviabiliza a mobilização de financiamento climático privado, impossibilitando sua inclusão nos mecanismos previstos no primeiro parágrafo.
Diante do exposto, classifica-se este item como sem progresso.</t>
  </si>
  <si>
    <t>Dada a ausência de progresso no item anterior, F3.A. "Existência de mecanismos", o presente item, "Monitoramento e Transparência", será igualmente classificado, por ser uma consequência direta da referida constatação.</t>
  </si>
  <si>
    <t>As ações do PMMAMC está alinhado com o PPA, LOA e LDO.</t>
  </si>
  <si>
    <t>Não foi identificado ações que contribuem negativamente para os objetivos climáticos.PPA não apresenta nem descreve qualquer metodologia para identificar, classificar ou "marcar" despesas relacionadas ao clima.  PPA apresenta valores totais para programas e
ações, mas não detalha a estrutura orçamentária com códigos ou rubricas que permitam diferenciar
gastos climáticos de outras despesas.</t>
  </si>
  <si>
    <t>O PMAMC atende aos atributos 1 e 2, porém, não foram encontradas capacitações, preparação, cursos ou mecanismos que promovem em parte a adoção de critérios e práticas de sustentabilidade ou de mitigação/adaptação nas compras e contratações públicas.</t>
  </si>
  <si>
    <t>Não foi informado pelo ente nenhum de site, o qual o publico possa acompanhar as despesas públicas.
Rio Branco regulamentou a Lei de Acesso à Informação. A capital não publica a agenda do prefeito e não disponibiliza informações completas sobre as obras públicas municipais. Foram identificadas informações sobre receitas, despesas e licitações, ainda que incompletas. A capital pode aprimorar seus níveis de transparência ao investir na abertura de dados de áreas com altos riscos de corrupção, como obras públicas e emendas parlamentares. Outro ponto de atenção é o baixo investimento em iniciativas de participação e engajamento dos cidadãos.
Não foram identificadas mecanismos de transparências do financiamento público das políticas climáticas.</t>
  </si>
  <si>
    <t>O município possui PMMAMC  e com ações contempladas nos instrumentos orçamentários. Porém,não há evidência de um mapeamento robusto de oportunidades e da capacidade técnica para acessá-las.</t>
  </si>
  <si>
    <t>Fontes de Financiamento do PMAMC de Rio Branco: recursos orçamentários próprios
internacionais, públicas ou privadas
Apesar do plano prever quais serão os recursos, não há evidencias de que existam planejamentos para capatção de oportunidades de financiamente, bem como capacidade técnica para elaboração de projetos competitivos.</t>
  </si>
  <si>
    <t>O Relatório de Gestão da Semeia contém análises da execução fisico financeira dos programas da secretária e são publicados anualmemente.
De acordo com o PMAMC a Prefeitura Municipal de Rio Branco adotará um Sistema de Monitoramento e Avaliação de resultados e impactos do PMAMC de Rio Branco, com objetivo de produzir informações, relatórios de monitoramento, avaliação e análise crítica da gestão e implementação do Plano, do alcance de seus objetivos e atividades, resultados e impactos, com a finalidade de subsidiar a tomada decisão da Prefeitura e aprimoramento de seu Arranjo Institucional e Estratégia de Implementação, no que se refere aos esforços necessários para implementação do Plano e para o devido acompanhamento e controle social.
No entanto, não há prova de que as ações de mobilização de investimento caso são monitoradas com regularidade,  e não disponibiliza a informação para consulta.</t>
  </si>
  <si>
    <t>A SEMEIA, por meio da Divisão de Gestão Ambiental e Mudanças Climáticas, formalizou parcerias para o desenvolvimento de pautas de enfrentamento às mudanças climáticas, a saber:. 
Ampliando as ações de mitigação e adaptação de alto impacto nas cidades brasileiras a caminho da COP30, Projeto Cidades Modelos Verdes e Resilientes, desenvolvido por meio do Ministério das Cidades, implementado pelo C40 Cites, I Care Brasil.
Projeto Municípios Preparados para a Emergência Climática, desenvolvido pela WRI Brasil, que publicará o Diagnóstico de áreas críticas e capacidade de gestão para adaptação à mudança do clima - Rio Branco/AC. 
Capacitação de equipe multidisciplinar Curso: Urgência Climática - Implementando Soluções em Territórios Urbanos Vulneráveis, por meio de edital do Ministério das Cidades, aplicado pelo Instituto Lincoln e WRI Brasil.
O COIMAMC tem a tarefa de "buscar a captação de recursos", o que é um passo inicial e de governança. No entanto, o decreto não institui um mecanismo financeiro concreto (como um fundo, um programa de incentivos fiscais ou um marco para PPPs) que efetivamente permita a mobilização de capital privado. Não há provas de um mecaminos financeiro existente que permitam a mobilização de recursos privados.</t>
  </si>
  <si>
    <t>As ações de mobilização de investimento privado climático não são monitoradas com regularidade</t>
  </si>
  <si>
    <t>O PPA 2024-2027 reflete algumas ações voltadas para as questões climáticas como fomento às estratégias para adaptações às mudanças climáticas, elaboração e validação do Plano Estadual de Descarbonização, elaboração do Inventário de emissão de Gases do Efeito Estufa - GEE, elaboração da política estadual de mudanças climáticas (atualmente em análise pela PGE), instituição do Fórum Estadual de Mudança de Clima, melhoria da infraestrutura hídrica e da política de gestão participativa dos recursos hídricos, na perspectiva da convivência com o semiárido e implementação da política estadual de operação, manutenção e segurança de barragens, bem como implantação de sistemas de abastecimento d'água. Por outro lado, na LOA 2025 encontra-se financiamento para realização das seguintes ações: Monitoramento climático EMPARN, Estabelecimento de Medidas Corretivas, Preventivas e Emergenciais de Mitigação à Mudança, Recuperação de Matas Ciliares e Combate à Desertificação e o Plano Estadual de Mudanças Climaticas e Avaliações das Repercussões das Mudanças Cimatícas e Implementação de Ações Estratégicas.</t>
  </si>
  <si>
    <t>O ente federativo não possui mecanismos para identificar as despesas/gastos orçamentários, diretos e indiretos, realizados em ações que contribuem para o enfrentamento dos impactos da mudança do clima e com ações prejudiciais aos objetivos climáticos (subsídios perversos, atividades intensivas em carbono e outros similares)</t>
  </si>
  <si>
    <t>O Estado do RN não possui mecanismos para a inclusão de critérios e práticas de sustentabilidade, de redução da emissão de GEE e/ou de adaptação à mudança do clima nas compras e contratações públicas realizadas.</t>
  </si>
  <si>
    <t>Não há mecanismos de transparência ativa que fornecem informações e dados atualizados e acessíveis em formato de dados abertos e linguagem simples sobre orçamento e gasto público climático, inclusive contratações emergenciais.</t>
  </si>
  <si>
    <t>O Estado do RN participa da iniciativa AdaptaCidades, por meio do Programa Cidades Verdes Resilientes(PCVR), com recursos do Fundo Nacional sobre Mudança do Clima.</t>
  </si>
  <si>
    <t>Embora o Estado não tenha apresentado um mapeamento das fontes de financiamento, obteve recursos para Projeto Piloto de Combate à Desertificação desenvolvido na região do Seridó, com a aplicação de R$ 3 milhões de reais, os quais foram viabilizados mediante Acordo de Epréstimo junto ao Banco Mundial.</t>
  </si>
  <si>
    <t>O Estado do RN não demonstrou ter mecanismos de transparência que fornecem dados atualizados, desagregados e acessíveis em formato de dados abertos e linguagem simples sobre o progresso e os resultados das ações, bem como sobre a natureza dos recursos obtidos (doação x empréstimo).</t>
  </si>
  <si>
    <t>O Estado do RN tem o incentivo de redução da alíquota do IPVA para carros elétricos e movidos à GNV, prevista na LEI Nº 12.026, de 27 DE Dezembro de 2024. Neste sentido, apesar de ter o mecanismo que permite a mobilização de recursos privados em ações que contribuem para o alcance dos objetivos climáticos, o Ente não tem o mapeamento nem a estrutura estabelecida, o que não permite o nível intermediário.</t>
  </si>
  <si>
    <t>Não foi evidenciado este grau de implementação do mecanismo estabelecido.</t>
  </si>
  <si>
    <t>O Plano Plurianual 2024-2027 apresenta diretrizes e ações explícitas relacionadas ao enfrentamento das mudanças climáticas, com destaque para a Ação Programática "Ações para Mitigar as Mudanças Climáticas", vinculada ao Programa Temático "Sustentabilidade Ambiental". Essa ação contempla iniciativas de mitigação e adaptação, como governança climática, inventário de GEE, PSA, qualidade do ar e defesa civil. As LOAs de 2024 e 2025 refletem essa diretriz, com alocação de recursos específicos para ações voltadas à transição energética, gestão ambiental, saneamento, educação ambiental, adaptação agropecuária, gestão de riscos e desastres, entre outras.
A análise demonstrou continuidade interanual dos recursos, com manutenção da maioria das ações e expansão de algumas iniciativas. Identificou-se também forte coerência entre diversas ações orçamentárias e os planos estratégicos existentes, especialmente o Plano Rio Grande (institucionalizado por lei) e o ProClima2050 (embora ainda sem status de política de Estado). O conjunto de ações revela alinhamento temático e estratégico com os eixos de mitigação, adaptação e governança, conforme previsto nos instrumentos estaduais. Apesar de limitações de transversalidade setorial e da modéstia de alguns valores, observa-se um esforço consistente de integração entre planejamento de médio e longo prazo e a execução orçamentária anual voltada à agenda climática.</t>
  </si>
  <si>
    <t>Até a LOA 2024, o RS não dispunha de metodologia formal para identificar, mensurar e classificar gastos climáticos, sendo a identificação possível apenas por leitura manual de ações programáticas, sem padronização ou rastreabilidade.
Com a LOA 2025 houve avanço: foram criados identificadores de uso (5 = Prevenção
Apesar disso, a metodologia ainda é limitada. Não há distinção clara entre gastos diretos e indiretos, tampouco mecanismos para rastrear despesas indiretas ou negativas (como subsídios e incentivos de alto impacto climático). Também inexiste sistema de ponderação ou mensuração de benefícios e impactos.
Assim, o Estado atende parcialmente ao atributo 1 (metodologia formal) e de forma incipiente ao atributo 2 (diferenciação de gastos), sem evidências dos atributos 3 e 4 (rastreamento de gastos indiretos e identificação de gastos negativos). Por essa razão, a classificação é de estágio inicial, reconhecendo o avanço recente, mas indicando a necessidade de consolidação de uma metodologia abrangente e verificável de rastreamento climático.</t>
  </si>
  <si>
    <t>O Estado possui um arcabouço normativo consistente para inserir critérios de sustentabilidade ambiental nas compras e contratações públicas. O Decreto nº 51.771/2014 instituiu o Programa Estadual de Contratações Públicas Sustentáveis, prevendo que especificações de bens, serviços e obras considerem aspectos como economia de água e energia, uso de materiais reciclados ou recicláveis, origem legal da madeira, redução de poluentes e tecnologias de menor impacto ambiental. A Portaria SPGG nº 08/2020 reforçou e ampliou essa diretriz, determinando a obrigatoriedade da inclusão de critérios sustentáveis nos editais, salvo justificativa técnica, e incorporando princípios como análise do ciclo de vida, redução de resíduos e uso racional de recursos. A Instrução Normativa CELIC/SPGG nº 001/2025 regulamentou de forma detalhada a aplicação desses critérios nas licitações realizadas pela Central de Licitações, com exigências específicas por categoria de produto, alinhadas a normas técnicas e legislações federais e estaduais, prevendo comprovação documental, fiscalização contratual e logística reversa. No campo da capacitação, a CELIC mantém ações de treinamento para servidores estaduais, como cursos e oficinas sobre a nova Lei de Licitações, gestão de riscos e elaboração de editais. Essas iniciativas fortalecem a base técnica para aplicação de critérios sustentáveis, embora ainda não configurem um programa contínuo e estruturado com foco específico em sustentabilidade ambiental.</t>
  </si>
  <si>
    <t>O RS dispõe de mecanismos de transparência ativa voltados à crise climática, como o Painel da Calamidade Pública 2024 e o painel do Tesouro Estadual, que divulgam dados sobre pagamentos relacionados às enchentes de 2024 e ao Plano Rio Grande. As informações são atualizadas periodicamente e permitem acesso público, o que representa avanço na divulgação de despesas emergenciais.
Contudo, esses mecanismos apresentam escopo restrito, pois concentram-se em recursos vinculados a calamidades e transferências de reconstrução. Não abrangem de forma contínua e sistemática todas as ações climáticas do Estado, tampouco disponibilizam os dados em formatos padronizados, abertos e desagregados que possibilitem análises detalhadas e comparações.
Dessa forma, embora existam ferramentas de transparência em funcionamento, o atendimento aos atributos previstos no Manual é apenas parcial. Falta consolidar um sistema abrangente que permita acompanhar todo o financiamento climático estadual, em diferentes setores e com dados acessíveis em linguagem simples e aberta. Por essa razão, o Estado é classificado em estágio inicial.</t>
  </si>
  <si>
    <t>O Estado apresenta mapeamento amplo e atualizado de oportunidades de financiamento e apoio técnico para mitigação e adaptação, com elegibilidade clara e aderente às necessidades locais. Há governança definida para captação e gestão do portfólio (coordenação central e métodos padronizados), além de capacidade técnica setorial para transformar diagnósticos em projetos financiáveis. A implementação está em curso: existem ações contratadas e em execução, outras priorizadas e em estruturação, e rotinas de monitoramento que acompanham todo o fluxo  -  da identificação da oportunidade à contratação e à execução financeira. Observa-se diversificação de fontes (transferências, crédito, cooperação e fundos estaduais) e de áreas atendidas (drenagem/cheias, saneamento, eficiência energética, recursos hídricos e agro de baixo carbono), o que reduz riscos e aumenta a previsibilidade dos resultados. Em síntese, o conjunto de evidências demonstra maturidade institucional para captar, priorizar e executar projetos climáticos de forma consistente.</t>
  </si>
  <si>
    <t>O RS possui capacidade técnica para elaborar projetos e captar recursos externos, já tendo acessado financiamentos junto ao Banco Mundial, BID e BNDES/Fundo Clima em áreas como saneamento, eficiência energética e gestão de desastres. A SPGG/DECAP atua na prospecção e negociação, e há equipes em SEMA, SPGG e SEFAZ com experiência na preparação de projetos.
O Estado mantém ainda um Banco de Fontes, atualizado com informações sobre financiamentos reembolsáveis e não reembolsáveis, que funciona como repositório de oportunidades. Contudo, o instrumento não se constitui ainda em um pipeline climático estruturado, pois não há critérios de elegibilidade, governança própria ou alinhamento sistemático às metas do ProClima2050 e do Plano Rio Grande. Segundo o governo, em 2025 será implementada fórmula para relacionar informações do Banco de Fontes com órgãos e projetos estaduais, o que tende a ampliar sua utilidade.
Atualmente, a captação permanece fragmentada e dependente de janelas específicas ou negociações ad hoc, sem uma carteira pública de projetos climáticos priorizados. Dessa forma, o Estado é classificado em estágio intermediário, reconhecendo avanços institucionais e técnicos, mas destacando que ainda não há estrutura consolidada para captação contínua e estratégica de recursos voltados ao clima.</t>
  </si>
  <si>
    <t>O Estado do Rio Grande do Sul apresenta mecanismos consolidados de monitoramento e transparência sobre a execução de recursos climáticos. O Portal da Transparência RS, atualizado continuamente, disponibiliza dados detalhados sobre o Fundo do Plano Rio Grande (FUNRIGS) e demais ações relacionadas, permitindo filtros por órgão, função, ação programática, iniciativa, subprojeto e credor. Esse nível de detalhamento garante rastreabilidade físico-financeira e possibilita auditoria e controle social. Além disso, o site oficial do Plano Rio Grande apresenta de forma acessível os investimentos e projetos em execução, incluindo descrições, objetivos e status. A comunicação é reforçada pela Revista Plano Rio Grande - Maio 2025, que consolida informações sobre metas, ações e resultados em linguagem simples. A combinação entre dados brutos abertos, portais temáticos de acompanhamento e publicações institucionais comprova o atendimento integral dos três atributos previstos no Manual: (i) monitoramento contínuo, (ii) existência de mecanismos estruturados e (iii) disponibilização pública clara e acessível.</t>
  </si>
  <si>
    <t>O Estado estruturou instrumentos sólidos para atrair e apoiar investimentos privados voltados a setores estratégicos. A criação da Invest RS, autorizada pela Lei nº 16.076/2023 e regulamentada pelo Decreto nº 57.548/2024, assegurou base legal, governança e orçamento para a execução de políticas de desenvolvimento sustentável e competitivo. O Contrato de Gestão nº 013/2024 detalha metas, indicadores e processos de monitoramento, estabelecendo obrigações de transparência, como relatórios semestrais, auditorias independentes e divulgação dos resultados. Além disso, foram consolidados mecanismos de apoio, como incentivos tributários (diferimentos e créditos de ICMS), instrumentos não tributários (infraestrutura, terrenos, qualificação de mão de obra) e linhas de crédito vinculadas a programas como FUNDOPEM e INTEGRAR, reforçados pelo Guia de Incentivos ao Investidor. O Plano de Desenvolvimento Econômico, Inclusivo e Sustentável complementa esse arranjo, ao identificar setores com alto potencial, como energias renováveis, saneamento e complexos produtivos, que podem direcionar capital privado a iniciativas de mitigação e adaptação climática. No entanto, ainda é necessário ampliar a transparência quanto à mobilização efetiva de recursos nos exercícios de 2024 e 2025, garantindo clareza sobre os valores captados, os projetos contemplados e os resultados concretos atingidos em termos de impacto climático.</t>
  </si>
  <si>
    <t>Embora o Rio Grande do Sul disponha de mecanismos avançados de monitoramento e transparência para os recursos públicos, como o Painel da Crise Climática e o painel do FUNRIGS, ambos atualizados diariamente e com dados abertos e acessíveis, não há evidências de que essas ferramentas incluam a mobilização de recursos privados para projetos climáticos. Os painéis apresentam relatórios detalhados, gráficos, filtros e manuais de uso, mas estão limitados à execução orçamentária pública, sem qualquer registro de aportes privados. Da mesma forma, nem o Plano Rio Grande (Lei nº 16.134/2024) nem o ProClima2050 oferecem relatórios ou sistemas que tratem da captação privada. O único registro localizado foi um mapa de investimentos vinculado ao PPA 2012-2015, sem atualização posterior. Assim, embora o Estado demonstre capacidade técnica e institucional de operar plataformas de alto nível para a gestão de dados públicos, não há evidências de que monitore, reporte ou dê transparência a investimentos privados em ação climática.</t>
  </si>
  <si>
    <t>O PPA do ERJ, 2024-2027,  apresenta alinhamento com o Plano Estratégico de Desenvolvimento Econômico e Social (PEDES), especialmente no que se refere às suas diretrizes e missões relacionadas à sustentabilidade e à agenda climática. Dentre as missões do PEDES com maior aderência à temática estão: Missão 3 - Segurança Hídrica do Território Fluminense
- Ação 3979 - Cidades Sustentáveis
- Ação 4675 - Proteção dos Sistemas Florestais e da Biodiversidade
- Ação 5617 - Gestão de Risco e Reparação de Acidentes e Catástrofes.
No entanto, não é possível verificar se essas ações estão alinhadas com os planos de mitigação/adaptação, uma vez que o ERJ não dispõe atualmente de tais instrumentos atualizados.</t>
  </si>
  <si>
    <t>A Lei Municipal nº 7.234/2022 (PPA 2022-2025) contempla o Tema Transversal "Mudanças Climáticas e Resiliência", com seus respectivos Programas Estratégicos, Diretrizes e Metas
O Município do Rio de Janeiro instituiu, por meio do Decreto Rio nº 53.633/2023, o "Orçamento Climático" como instrumento adicional no Programa de Governança Climática da Cidade do Rio de Janeiro. Tal instrumento prioriza as ações de mitigação de emissões de GEE, de adaptação do território aos riscos climáticos, e de inclusão social, econômica e territorial de populações vulneráveis aos impactos climáticos.
A Lei Municipal nº 8.797/2025 (LOA 2025) contempla demonstrativo do Orçamento Climático, indicando as respectivas dotações para o financiamento das políticas e suas respectivas Metas Climáticas. As dotações orçamentárias são destaques no item "Reportes por setores de emissões de GEE relacionadas ao Programas e Ações Orçamentárias". Já as metas são destaque no item "Metas e Prioridades por Temas Transversais".
O Município do Rio dispõe de instrumentos normativos e programáticos que alinham o orçamento às estratégias de mitigação e adaptação. Apesar de representar um avanço importante em termos de governança e transparência, o desafio passa a ser a efetiva execução orçamentária, bem como o acompanhamento sistemático dos resultados alcançados, de modo a garantir que os recursos previstos se traduzam em impactos concretos na redução de emissões e no aumento da resiliência climática do município.</t>
  </si>
  <si>
    <t>O Município do Rio possui mecanismos para identificar e rastrear gastos positivos, alinhados à agenda climática, por meio do PPA (Lei Municipal nº 7.234/2022), da LOA (Lei Municipal nº 8.797/2025, Anexo X) e do Orçamento Climático (Decreto Rio nº 53.633/2023, artigo 4º, Inciso I, alíneas "a" e "b"). Esses instrumentos contemplam a codificação de programas, ações e produtos diretamente relacionados às mudanças climáticas.
Entretanto, fiscalizações realizadas por este Tribunal evidenciaram lacunas relevantes. No Processo nº 40/100.907/2020, foi identificada a ausência de programa de trabalho específico para áreas protegidas, essenciais no enfrentamento das mudanças climáticas. Já no Processo nº 40/100.286/2021, constatou-se insuficiência de recursos orçamentários destinados à implementação dessas políticas ambientais, bem como ausência de iniciativas voltadas à diversificação das fontes de financiamento. Fiscalização em andamento confirma que tais fragilidades persistem.
Não foram identificados mecanismos para rastrear despesas prejudiciais aos objetivos climáticos, como subsídios perversos ou investimentos associados a atividades intensivas em carbono.
Diante desse cenário, a classificação mais adequada é Intermediário, reconhecendo os avanços na identificação de gastos climáticos, mas também as limitações quanto ao financiamento das políticas ambientais e à ausência de mensuração das despesas potencialmente prejudiciais à agenda climática.</t>
  </si>
  <si>
    <t>Embora o Estado do Rio de Janeiro não disponha de marcadores orçamentários específicos para identificar, de forma direta, despesas e gastos relacionados às mudanças climáticas, as iniciativas finalísticas constantes do PPA são vinculadas aos Objetivos de Desenvolvimento Sustentável (ODS) da Agenda 2030, da ONU, à qual o Estado aderiu em 2019. Essa vinculação foi considerada desde a concepção das iniciativas, orientando os órgãos estaduais a refletirem sobre como suas ações poderiam contribuir para o alcance das metas nacionais. O Anexo V - Demonstrativo da Programação do Poder Executivo por ODS, constante no PPA (p. 882), apresenta essa associação.
No que se refere aos mecanismos para identificar despesas ou gastos orçamentários potencialmente prejudiciais aos objetivos climáticos, como subsídios perversos, atividades intensivas em carbono ou similares, não foram identificados mecanismos específicos adotados pelo Estado.
Portanto, considerando a existência de método parcial, que permite constatar que o PPA 2024-2027 prevê a meta financeira total de R$ 5,6 milhões dedicados ao ODS 13 - "Ação contra a Mudança Global do Clima" (p. 900), assim como possibilita aferição para os demais ODS, evidencia-se que o Estado dispõe de informações superiores à inexistência completa de mecanismos de rastreamento. Ainda assim, carece de avanços significativos para alcançar metodologia de marcação climática e instrumentos de monitoramento financeiro alinhados às melhores práticas.</t>
  </si>
  <si>
    <t>Foram editados, por meio de Decretos e Resoluções da Procuradoria-Geral do Município - PGM, minutas-padrão para instrumentos contratuais previstos nas Leis Federais nº 14.133/2021 e nº 13.303/2016. Contudo, não foram identificados, nessas minutas, critérios específicos ou práticas voltadas à sustentabilidade climática, seja para a redução de emissões de GEE, seja para a adaptação aos impactos das mudanças do clima.
Foram localizadas, entretanto, algumas iniciativas normativas que tangenciam o tema, como o  Decreto Rio nº 27.715/2007 (produtos e subprodutos de madeira) e o Decreto Rio nº 55.659/2025 (Código de Integridade dos fornecedores e colaboradores). Embora demonstrem alguma preocupação ambiental, tais normas não apresentam critérios objetivos, sistemáticos e diretamente voltados à mitigação de emissões de gases de efeito estufa ou à adaptação às mudanças climáticas. Não há evidências de critérios objetivos ou de cláusulas padronizadas que orientem a incorporação sistemática de requisitos de mitigação de GEE ou de adaptação climática nos editais e contratos da administração municipal.
As minutas-padrão da PGM, que poderiam consolidar tais práticas, não incorporam cláusulas específicas relacionadas ao tema.
A incorporação de critérios de mitigação e adaptação nos processos licitatórios e contratuais configura-se como um desafio a ser fortalecido, a fim de alinhar as compras públicas municipais às metas de sustentabilidade e de enfrentamento da mudança do clima.</t>
  </si>
  <si>
    <t>O Estado possui mecanismos formais para incluir critérios de sustentabilidade e de enfrentamento às mudanças climáticas nas compras e contratações públicas.
O Decreto nº 43.216/2011, que regulamenta a Lei nº 5.690/2010 (Política Estadual sobre Mudança Global do Clima e Desenvolvimento Sustentável), prevê, em seu Capítulo III - Das Contratações Públicas, que:
Art. 9º Nas contratações promovidas pelo Estado observar-se-á o princípio da defesa do meio ambiente, inclusive mediante tratamento diferenciado, conforme o impacto ambiental dos produtos e serviços e de seus processos de elaboração e prestação, respeitadas as seguintes diretrizes:
I - adoção de critérios ambientais, em especial o de baixa emissão de gases de efeito estufa, nas especificações de produtos e serviços a serem contratados, visando reduzir impactos socioambientais negativos e ampliar os positivos.
Complementarmente, o Decreto nº 43.629/2012, que dispõe sobre critérios de sustentabilidade ambiental nas aquisições e contratações da Administração Pública Estadual Direta e Indireta, estabelece no art. 2º que:
Consideram-se critérios de sustentabilidade ambiental, dentre outros:
VI - implementação de medidas que reduzam as emissões de gases de efeito estufa e aumentem os sumidouros."</t>
  </si>
  <si>
    <t>O Painel "CONTAS RIO", plataforma de transparência das contas públicas do Município do Rio, apresenta informações sobre o orçamento, execução da receita e despesa, contratações, beneficiários e Prestações de Contas do Governo. As consultas podem ser obtidas em vários formatos, incluindo gráficos, planilhas e exportação da base de dados abertos.
Os dados seguem as codificações dos Programas, Ações e Produtos do Anexo X da Lei Municipal nº 8.797/2025 (LOA 2025). É possível filtrar as despesas associadas ao Tema Transversal "Mudanças Climáticas e Resiliência", que contribuem direta ou indiretamente para os objetivos climáticos, bem como despesas com contratações emergenciais (Lei Federal nº 14.133/2021, art. 75, Inciso VIII).
Desde 2025, a Secretaria Municipal de Fazenda divulga o relatório do Orçamento Climático (Decreto Rio nº 53.633/2023), destacando as fontes de emissões de GEE nos programas e apresenta medidas de mitigação.
Contudo, fiscalização identificou ausência de transparência quanto aos recursos oriundos de medidas compensatórias (processo nº 040/101.818/2022, pgs. 69-71) comprometendo o acompanhamento dos valores arrecadados e sua aplicação nos últimos anos. Essas medidas são essenciais para um orçamento climático, pois permitem direcionar recursos para ações de mitigação e promoção de adaptação às mudanças climáticas. A limitação na transparência impede a classificação em nível mais avançado de maturidade institucional.</t>
  </si>
  <si>
    <t>O Estado do Rio de Janeiro não possui instrumento específico de monitoramento do orçamento climático. No entanto, o Estado disponibiliza mecanismos de transparência ativa, como o Portal da Transparência e o Portal de Dados Abertos, por meio dos quais é possível consultar informações atualizadas sobre a execução orçamentária em diversas áreas, inclusive na função Gestão Ambiental. Esses portais permitem o acesso a dados públicos em formatos abertos, embora não estejam organizados de forma a evidenciar, de maneira consolidada e simplificada, os gastos especificamente relacionados à mudança do clima.</t>
  </si>
  <si>
    <t>Atualmente, o Estado do Rio de Janeiro não dispõe de mecanismos estruturados que permitam aderir, de forma sistemática, a instrumentos e programas vinculados a planos climáticos federais e/ou estaduais.
Entretanto, destaca-se o Projeto Rio Clima II, contratação voltada à prestação de serviços técnico-científicos para:
elaborar estratégias de adaptação aos riscos das mudanças climáticas
desenvolver estudos de viabilidade para a mitigação das emissões de gases de efeito estufa no Estado.
Entre suas diretrizes estratégicas (página 10), inclui-se o fortalecimento de capacidades institucionais em diferentes níveis governamentais, contemplando as necessárias para o acesso a fontes de financiamento para adaptação e outros meios de implementação, o que poderá contribuir, no futuro, para suprir a lacuna identificada.</t>
  </si>
  <si>
    <t>A Prefeitura da Cidade do Rio de Janeiro conta, na estrutura da Secretaria Municipal de Fazenda - SMF, com a Superintendência Técnica de Captação de Recursos e Gestão de Contratos Externos, setor competente para coordenar e planejar a obtenção de recursos de convênios e de operações de crédito para a Prefeitura, bem como orientar os Órgãos na elaboração dos projetos. Sua competência vai desde a negociação até a efetivação do processo de obtenção dos financiamentos, com vistas a viabilizar a assinatura de convênios e de operações de crédito. Compete também à SMF a gestão da plataforma de transferências da União vinculadas ao Município.
Além do mapeamento central realizado pela SMF, outros órgãos também mapeiam oportunidades em sua área de atuação, como a Fundação Rio Águas, a partir de entes que viabilizam recursos provenientes de receita estadual, como Comitê de Bacia Hidrográfica da Baía de Guanabara, e Instituto Rio Metrópole (IRM), além de financiamentos obtidos para intervenções de drenagem junto ao Banco do Brasil e Caixa Econômica Federal (PAC). A Companhia Carioca de Parcerias e Investimentos - CCPar obteve recursos para a obra do Veículo Leve sobre Trilhos, através de financiamento pelo BNDES. Todas as intervenções são fiscalizadas pelos corpos técnicos dos órgãos municipais.
Atualmente estão sendo executadas diversas obras que são objeto do PAC, como o túnel Rio Maracanã- Rio Joana e intervenções urbanas como as executadas no Jardim Maravilha e bacia do Rio Acari.</t>
  </si>
  <si>
    <t>A Superintendência Técnica de Captação de Recursos e Gestão de Contratos Externos da Secretaria Municipal de Fazenda - SMF é o órgão central para a captação de recursos externos.
Órgãos finalísticos possuem, em suas estruturas organizacionais, departamentos responsáveis pelo mapeamento de oportunidades. Como exemplo, a Fundação Rio Águas mantém, em sua estrutura organizacional, a Assessoria Técnica de Assuntos Estratégicos (ATAE) para ser interlocutor entre os Agentes Financeiros e os Órgãos Executores. Já a Companhia Carioca de Parcerias e Investimentos - CCPar criou a Assessoria de Relações Institucionais e Captação, para mapeamento e monitoramento de possibilidades de financiamento.
Os órgãos finalísticos são os responsáveis por fiscalizar as intervenções aprovadas, por meio dos respectivos corpos técnicos.
Em consulta aos respectivos websites do GEF e do GCF, não foram verificados projetos previstos para o município do Rio de Janeiro. Contudo, cabe ressaltar o financiamento da implantação do VLT Carioca, por meio do Fundo Clima do BNDES.
Ainda, a Prefeitura assinou em 2022 um acordo de cooperação com a cidade de Colônia (Alemanha), e financiado pelo Governo Alemão, focado em economia circular e sustentabilidade. A parceria prevê a implementação de um Banco de Alimentos, para garantir segurança alimentar em áreas vulneráveis, bem como a implantação de equipamentos para processamento de resíduos de poda, utilizando-os em processos de biometanização e compostagem.</t>
  </si>
  <si>
    <t>O Estado do Rio de Janeiro já captou recursos financeiros externos, além dos recursos próprios do orçamento estadual, para a execução de projetos específicos voltados ao enfrentamento da mudança do clima.
O Projeto Rio Clima - Fortalecimento das ações de enfrentamento às mudanças climáticas do Estado do Rio de Janeiro foi aprovado com recursos do Fundo Estadual de Conservação Ambiental e Desenvolvimento Urbano - FECAM, conforme Deliberação Executiva nº 334, de 30 de abril de 2021, publicada em 07 de maio de 2021 no D.O.ERJ (SEI 20457345), acompanhado pelo processo SEI 070026/000595/2021.
Além do Projeto Rio Clima, o Estado também acessou recursos do Banco Interamericano de Desenvolvimento (BID), por meio do projeto "Promovendo uma melhor governança climática por meio de soluções baseadas na natureza no Estado do Rio de Janeiro".</t>
  </si>
  <si>
    <t>O Painel CONTAS RIO, plataforma online de transparência das contas públicas do Município, apresenta dados sobre orçamento, execução da receita e despesa, contratações, beneficiários e Prestações de Contas do Governo.  As consultas podem ser feitas em vários formatos, como gráficos e planilhas, além da exportação da base de dados abertos. Os dados seguem as codificações da Lei Municipal nº 8.797/2025 (LOA 2025), permitindo filtrar as despesas associadas ao Tema Transversal Mudanças Climáticas e Resiliência. 
O Portal da Transparência Rio apresenta um Painel de Obras Públicas, possibilitando acompanhar a execução das obras e serviços de engenharia iniciados a partir de janeiro de 2021, viabilizando o monitoramento físico-financeiro dos projetos custeados com recursos municipais ou financiamentos externos. 
Contudo, os resultados das ações e projetos executados por estatais municipais, regidas pela Lei nº 13.303/2016, não estão plenamente integrados às plataformas da Prefeitura. Essa lacuna restringe a transparência e dificulta o acompanhamento abrangente das iniciativas financiadas e seus resultados no âmbito da política climática. Para avançar em maturidade institucional neste quesito, faz-se necessário integrar os sistemas, garantindo dados atualizados, desagregados e acessíveis incluindo as estatais. Essa medida fortaleceria o controle social, aumentaria a credibilidade do Município perante financiadores e alinharia os gastos públicos aos objetivos climáticos.</t>
  </si>
  <si>
    <t>Não foram identificadas evidências de que o Governo do Estado do Rio de Janeiro realize, de forma regular, o monitoramento físico-financeiro e a avaliação dos resultados das ações e dos projetos relacionados à agenda climática.
Da mesma forma, não há indicação da existência de mecanismos de transparência que disponibilizem informações atualizadas, desagregadas e acessíveis, em formato de dados abertos e linguagem simples, sobre o progresso e os resultados específicos dessas ações.
Ainda que o Estado do Rio de Janeiro disponibilize mecanismos de transparência ativa, como o Portal da Transparência e o Portal de Dados Abertos, por meio dos quais é possível consultar informações atualizadas sobre a execução orçamentária em diversas áreas, inclusive na função Gestão Ambiental, avalia-se que tais ferramentas não constituem avanço, no quesito monitoramento climático, nem permitem a aferição dos resultados dessa agenda climática.</t>
  </si>
  <si>
    <t>Não foram identificadas evidências de que o Governo do Estado do Rio de Janeiro disponha de mecanismos ou incentivos voltados à mobilização de financiamento climático proveniente do setor privado, seja de empresas ou de indivíduos.</t>
  </si>
  <si>
    <t>Desde 2021 a Prefeitura da cidade do Rio de Janeiro vem propondo atrair uma bolsa de ativos ambientais para a capital. Esta proposta culminou no Grupo de Trabalho Bolsa Verde Rio, promulgado pelo Decreto nº 48.995/2021. Este GT vem mapeando a possibilidade de implantação do referido mercado de negociação utilizando mecanismos de incentivos financeiros trazidos pela Lei nº 7.907/2023 (e regulamentado pelo Decreto Rio nº 53.288/2023), chamada ISS Neutro. O projeto reduz a alíquota de ISS para empresas que atuam no mercado de crédito de carbono e que estejam no Rio, bem como concede abatimento no ISS como forma de compensação a empresas participantes, destinando até R$ 60 milhões de reais anuais para que possam compensar suas emissões. O resultado do primeiro edital indica que empresas investiram R$1,4 milhões em compensações em 2024, e R$700 mil em 2025.
É importante destacar que este trabalho soma-se a outros produzidos por entes com participação da Prefeitura, dentre os quais o estudo "Creating local Good Green Jobs in Rio de Janeiro". O estudo examina como a ação climática do Rio poderia criar esses empregos bons e verdes.
Outro exemplo é o projeto "Solário Carioca", estruturado no formato de PPP. O projeto prevê, até o final de 2025, a implantação, operação e manutenção de uma usina solar fotovoltaica de aproximadamente 5 MW no aterro sanitário desativado de Santa Cruz, na Zona Oeste do Rio, com investimento estimado em R$ 45 milhões por parte do setor privado.</t>
  </si>
  <si>
    <t>Não foram identificadas evidências de que o Governo do Estado do Rio de Janeiro disponha de mecanismos ou incentivos voltados à mobilização de financiamento climático proveniente do setor privado, seja de empresas ou de indivíduos. Consequentemente, também não há registros de monitoramento desses instrumentos.</t>
  </si>
  <si>
    <t>As iniciativas do Grupo de Trabalho BVRIO (Bolsa Verde Rio) podem ser monitoradas pelo site: https://www.bvrio.org/pt-br/
O acesso às informações do projeto ISS Neutro, que criou incentivo municipal ao mercado voluntário de crédito de carbono, pode ser realizado através do portal: https://desenvolvimento.prefeitura.rio/issneutro/
Com relação ao Projeto "Solário Carioca" é possível verificar, através do site https://www.ccpar.rio/mapa/solario-carioca/, que o projeto encontra-se em andamento.
É importante ressaltar que não foram localizados, nos websites mencionados, dados atualizados e/ou monitorados sobre os investimentos mobilizados, indicadores de desempenho, cronogramas, relatórios de progresso ou dados financeiros. As informações apresentadas são estáticas e descritivas, não atendendo ao critério de monitoramento contínuo com dados atualizados e abertos para consulta e auditoria.</t>
  </si>
  <si>
    <t>Há menção ou previsão específica de ações direcionadas ao enfrentamento da mudança do clima, mas não há recorte específico para rastreamento dos recursos aplicados em ações climáticas ou mecanismos para a inclusão de critérios e práticas de sustentabilidade.</t>
  </si>
  <si>
    <t>O Estado de Rondônia não adota nenhuma metodologia de identificação dos gastos climáticos. Muito embora a equipe tenha constatado avanços na SEPOG em termos de organização de rubricas orçamentárias, permitindo maior interação entre planejamento e execução, ainda há espaço para aprimoramento quanto ao tratamento dos gastos relacionados, a fim de possibilitar identificar, classificar, "marcar" e monitorar as despesas relacionadas com o clima.</t>
  </si>
  <si>
    <t>Não há critério ou objetivos climáticos no processo de aquisição pública no Estado de Rondônia. Não existem mecanismos que promovam a adoção de critérios e práticas de sustentabilidade ou de mitigação/adaptação nas compras e contratações públicas.</t>
  </si>
  <si>
    <t>Existe um sistema de ratreamento de gastos orçamentários do governo (Siplag), que permite o rastreamento. Percebe-se alocação orçamentário no FUNCLIMA -  Fundo Estadual de Governança Climática e Serviços Ambientais. 
O Programa 2136 - PROMOVER A GESTÃO DA GOVERNANÇA CLIMÁTICA E SERVIÇOS AMBIENTAIS.</t>
  </si>
  <si>
    <t>Rondônia possui mecanismos e capacidades para aderir aos instrumentos e programas vinculados a planos climáticos (e.g., Política Nacional da Mudança do Clima, PMMC/PCN, Programa Floresta+). A diretoria de Governança Climática da SEDAM/RO atua no sentido de acessar fontes de financiamento externas. O Decreto Estadual n. 27.276/2022 dispõe sobre o Comitê Interinstitucional de Mudanças Climáticas de Rondônia e prevê participação ativa do Estado no Fórum Brasileiro de Mudanças Climáticas.</t>
  </si>
  <si>
    <t>A SEDAM possui setor específico de governança climática, responsável pela identificação de instituições que possam financiar ações de enfrentamento aos problemas relacionados ao clima. O Estado de Rondônia acessou fontes de financiamento por meio de parcerias com GCF (Green Climate Fund), GIZ (Agência Alemã), e Projeto REM. É válido pontuar que a equipe não avaliou se capacidade técnica por parte da equipe da SEDAM para elaboração de projetos competitivos.</t>
  </si>
  <si>
    <t>Muito embora tenhamos identificado ações para captação de recursos para execução de ações de política climática, não foram detectados mecanismos de monitoramento que garantam, de modo contínuo e/ou regular pelo Estado de Rondônia, com dados atualizados e disponíveis para pesquisa e auditoria (transparência ativa). Os recursos são passados mediante execução direta (de forma que não são registrados no orçamento), tampouco se verificam informações disponíveis no site do governo (DGOVCLIM da Sedam).</t>
  </si>
  <si>
    <t>"Não foram identificadas iniciativas do governo de Rondônia no sentido de mapear possíveis oportunidades para incentivar empresas e cidadãos a investirem em ações para mitigação e adaptação das mudanças climáticas</t>
  </si>
  <si>
    <t>Rondônia não possui mecanismos oficializados, mas mapeou possíveis oportunidades e identificou as iniciativas mais adequadas no contexto local. Em visita ao setor de Governança Climática e entrevista com gestores, constatou-se atuação em identificar fontes privadas de financiamento para ações climáticas, no entanto, de maneira não estruturada, o que fragiliza a atuação continuada em captação de recursos e sua efetiva aplicação, monitoramento e transparência.</t>
  </si>
  <si>
    <t>Não há menção específica em diretrizes ou mesmo em programas e ações descritos no PPA 2024/2027 ao enfrentamento das mudanças climáticas e seus impactos. Tampouco há alocação de recursos nas leis orçamentárias identificados para esse fim.</t>
  </si>
  <si>
    <t>O estado de Roraima não adota nenhuma metodologia de identificação dos gastos climáticos em seu orçamento.</t>
  </si>
  <si>
    <t>Não existem mecanismos formais estaduais que estabeleçam critérios sustentabilidade ou de mitigação/adaptação nas compras e contratações públicas.</t>
  </si>
  <si>
    <t>O estado de Roraima não possui mecanismos de transparência ativa que forneçam informações específicas sobre orçamento e gasto público climático.</t>
  </si>
  <si>
    <t>O estado demonstra capacidades técnicas para aderir a programas vinculados a planos climáticos (e setoriais) federais, a exemplo do Progestão II, que vigorou em Roraima até setembro de 2024. Não obstante, não há evidências de que exista um mapeamento específico de oportunidades de obtenção de recursos a partir da adesões a instrumentos desse tipo.</t>
  </si>
  <si>
    <t>O estado demonstra capacidades técnicas para  elaboração de projetos para captação de recursos externos, a exemplo do Projeto Floresta+ Amazônia (implementado com recursos do Green Climate Fund-GCF), em execução atualmente em Roraima. Entretanto, não há evidências de que exista um mapeamento específico de oportunidades de obtenção de recursos dessas fontes.</t>
  </si>
  <si>
    <t>Não há evidências de que seja realizado monitoramento contínuo e regular da execução físico-financeira e dos resultados das ações para a captação de recursos (itens A e B). Não há também mecanismos de transparência que forneçam dados atualizados, desagregados e acessíveis em formato de dados abertos e linguagem simples sobre o progresso e os resultados dessas ações, sobre a natureza dos recursos obtidos (doação x empréstimo), bem como sobre a execução/aplicação.</t>
  </si>
  <si>
    <t>O estado de Roraima não possui instrumento legal/mecanismo que fomente a mobilização de recursos privados em ações que contribuem para o alcance dos objetivos climáticos.</t>
  </si>
  <si>
    <t>O estado de Roraima não possui instrumento que estimule a mobilização de recursos privados em ações para o alcance dos objetivos climáticos.</t>
  </si>
  <si>
    <t>Salvador demonstra um estágio avançado no alinhamento de suas leis orçamentárias com os planos e estratégias climáticas. 
A análise revelou que o Plano Plurianual (PPA) 2022-2025 integra de forma clara o enfrentamento das mudanças climáticas como uma diretriz estratégica, por meio do programa "CIDADE INOVADORA, SUSTENTÁVEL E RESILIENTE". 
As Leis Orçamentárias Anuais (LOAs) de 2024 e 2025 evidenciam a alocação de recursos próprios (do Tesouro Municipal, código 1.500.1) para ações e iniciativas de mitigação e adaptação. Exemplos incluem os investimentos em "Geomanta Protegendo Encostas" pela CODESAL e projetos de educação ambiental pela SECIS, bem como os incentivos fiscais do IPTU Verde e IPTU Amarelo. 
Essa alocação orçamentária está consistentemente alinhada com as políticas e estratégias detalhadas no Plano Municipal de Adaptação e Mitigação às Mudanças Climáticas (PMAMC), com os órgãos responsáveis recebendo os recursos para a execução das ações planejadas.</t>
  </si>
  <si>
    <t>A Prefeitura Municipal de Salvador demonstrou um comprometimento notável com a agenda climática através de um robusto planejamento (PMAMC e PPA) que identifica ações, objetivos e indicadores de mitigação e adaptação. 
Essa fase de planejamento é um ponto forte crucial, indicando uma visão clara e intencionalidade em suas ações climáticas. Contudo, a análise dos documentos orçamentários revelou fragilidades significativas na transposição dessa intencionalidade para o sistema de gestão financeira do orçamento. 
Atualmente, o orçamento público não possui um sistema de classificação ou "marcação" que permita rastrear de forma explícita e sistemática os gastos diretos, indiretos ou aqueles com impactos negativos nas mudanças climáticas. Isso limita a capacidade de avaliar a alocação de recursos financeiros de forma abrangente para a agenda climática e aprimorar a responsabilidade fiscal em relação a esses compromissos.</t>
  </si>
  <si>
    <t>A Prefeitura Municipal de Salvador evidencia o reconhecimento da importância de integrar critérios de sustentabilidade, mitigação de GEE e adaptação climática em suas contratações públicas. Esse compromisso está expresso no Plano Municipal de Mitigação e Adaptação às Mudanças do Clima (PMAMC), que prevê ações específicas, como a Ação 35.1 ("criar critérios de circularidade para produtos e serviços nas compras públicas") e a Ação 51 ("incluir critérios de eficiência energética nas aquisições públicas") [01, p. 138, 145]. Atualmente, ambas encontram-se na fase de "Proposição", com horizonte de implementação de médio prazo (até 2032), o que demonstra que os mecanismos necessários à sua aplicação sistemática ainda estão em desenvolvimento e não se encontram plenamente operacionais.
No que se refere à capacidade técnica, embora o PMAMC registre um compromisso mais amplo com a capacitação dos servidores [02, p. 234, 235], não foram identificadas iniciativas voltadas especificamente à formação ou ao preparo das equipes de licitação para lidar com esses novos critérios. A ausência de mecanismos consolidados e de capacitação direcionada limita, no momento, a capacidade do município de implementar de forma efetiva uma política de compras públicas sustentáveis e alinhadas às metas climáticas.
Diante da existência de proposições formais, mas ainda não implementadas, e da carência de capacidade técnica específica, a situação pode ser classificada como "Estágio Inicial".</t>
  </si>
  <si>
    <t>A Prefeitura Municipal de Salvador demonstra compromisso com a transparência em suas políticas e planos, incluindo a agenda climática. O PMAMC [01, p. 151, 154, 155, 168] explicita a intenção de disponibilizar informações em linguagem simples e acessível ao público. Além disso, existem mecanismos gerais de transparência orçamentária, por meio de plataformas eletrônicas e do Portal da Transparência, que abrangem de forma ampla as despesas públicas [02, p. 256
Entretanto, a análise evidencia que a transparência específica sobre orçamento e gastos relacionados a ações climáticas ainda não está consolidada como categoria contínua e independente, em formato de dados abertos e passível de fácil consulta, além da disponibilização em documentos PDF. As "fichas de ações" do PMAMC apresentam informações sobre o status de financiamento das iniciativas climáticas, mas não detalham valores orçamentários [01, p. 113, 114]. Da mesma forma, não foram encontradas evidências de divulgação estruturada sobre contratações emergenciais vinculadas a desastres climáticos, em conformidade com atributos de dados abertos e linguagem simples.
Diante da existência de esforços iniciais e de um arcabouço geral de transparência fiscal, mas da ausência de mecanismos específicos e abrangentes para o orçamento climático e para contratações emergenciais climáticas, o cenário é classificado como "Estágio Inicial".</t>
  </si>
  <si>
    <t>A Prefeitura Municipal de Salvador demonstra um sólido e abrangente nível de adesão a programas e políticas climáticas, tanto nacionais quanto estaduais. O Plano de Mitigação e Adaptação às Mudanças do Clima de Salvador (PMAMC) é um documento estratégico que não apenas mapeia oportunidades de financiamento e alinha suas ações com estruturas maiores (como os ODS e Planos de Ação Climática de outras cidades), mas também detalha o status de financiamento para suas ações prioritárias.
A capacidade técnica para elaborar e executar esses programas é evidenciada pela intensa participação intersetorial da administração municipal, o uso de metodologias internacionais (GPC, IPCC) e o compromisso explícito com a capacitação de servidores e a melhoria contínua de dados.
Por fim, a cidade está ativamente implementando uma série de ações que são parte integrante de sua estratégia climática e que se alinham com programas e políticas mais amplas, como investimentos em saneamento, resíduos, eficiência energética e resiliência urbana, com dotações orçamentárias explícitas nos documentos fiscais (PPA, LDO, LOA). Os pontos fortes incluem a existência de um plano climático detalhado, a integração de objetivos climáticos no planejamento orçamentário e a dedicação ao fortalecimento da capacidade institucional.</t>
  </si>
  <si>
    <t>O município de Salvador demonstra um considerável nível de maturidade e eficácia no que tange ao acesso a outras fontes de financiamento para seus projetos, particularmente em relação às ações climáticas. Há um planejamento estratégico para a captação de recursos externos, evidenciado pela busca ativa por convênios e operações de crédito, bem como pela identificação de parcerias internacionais e locais. A capacidade técnica para elaboração de projetos competitivos é robusta, sustentada por uma gestão pública que valoriza a capacitação de seus servidores, a modernização de processos e a colaboração com especialistas e a comunidade científica. Mais importante ainda, o município comprova a efetiva captação desses recursos, com bilhões de reais provenientes de operações de crédito e convênios já incorporados ao seu orçamento, financiando uma gama de investimentos e projetos. A abordagem integrada entre o planejamento climático (PMAMC) e o planejamento fiscal (PPA e LDO) assegura que as oportunidades de financiamento sejam sistematicamente mapeadas, os projetos sejam tecnicamente viáveis e os recursos sejam efetivamente captados para alcançar os objetivos de mitigação e adaptação.</t>
  </si>
  <si>
    <t>A Prefeitura Municipal de Salvador demonstra um compromisso com o monitoramento e a transparência de suas ações climáticas e de gestão fiscal. O município possui mecanismos e planos para realizar o monitoramento regular das ações (Critério 1 - Atendido), incluindo balanços periódicos de indicadores e atualizações de inventários de GEE. Há também sistemas e ferramentas específicas, como o Sistema Sigef e plataformas digitais planejadas (Salvador Dados, Observatório Salvador), para gerenciar e disponibilizar dados para auditoria e acesso público (Critério 2 - Atendido).
As principais fragilidades residem na plena acessibilidade e compreensibilidade das informações para a população em geral (Critério 3 - Parcialmente Atendido). Embora haja o objetivo de "linguagem simplificada e acessível" e a publicação de informações para "amplo acesso e uso pela sociedade", o próprio PMAMC reconhece a complexidade inerente ao tema das mudanças climáticas e o desafio de torná-la de fácil absorção por todos os cidadãos.</t>
  </si>
  <si>
    <t>A Prefeitura Municipal de Salvador demonstra um compromisso claro com o monitoramento e a transparência de suas ações climáticas e de gestão fiscal. O município possui mecanismos e planos para realizar o monitoramento regular das ações (Critério 1 - Atendido), incluindo balanços periódicos de indicadores e atualizações de inventários de GEE. Há também sistemas e ferramentas específicas, como o Sistema Sigef e plataformas digitais planejadas (Salvador Dados, Observatório Salvador), para gerenciar e disponibilizar dados para auditoria e acesso público (Critério 2 - Atendido).
As principais fragilidades residem na plena acessibilidade e compreensibilidade das informações para a população em geral (Critério 3 - Parcialmente Atendido). Embora haja o objetivo de "linguagem simplificada e acessível" e a publicação de informações para "amplo acesso e uso pela sociedade", o próprio PMAMC reconhece a complexidade inerente ao tema das mudanças climáticas e o desafio de torná-la de fácil absorção por todos os cidadãos.</t>
  </si>
  <si>
    <t>A Prefeitura Municipal de Salvador demonstra um compromisso louvável com a transparência e o monitoramento de suas ações climáticas e da gestão fiscal em geral. Existem planos e documentos que evidenciam a intenção de manter a sociedade informada e de promover a acessibilidade à informação. Além disso, a administração municipal tem implementado políticas e programas para incentivar a participação da iniciativa privada em ações de mitigação e adaptação às mudanças climáticas, como a certificação "IPTU Verde" e a criação de um "Selo de apoio ao PMAMC".
Entretanto, uma análise focada estritamente na mobilização de recursos financeiros privados para o financiamento climático revela fragilidades. Não há, nos documentos apresentados, evidências de que a Prefeitura possua ou esteja em processo de desenvolvimento de um sistema específico para monitorar de forma contínua e regular o valor ou a natureza dos recursos financeiros privados que são efetivamente mobilizados para o financiamento climático. Consequentemente, a ausência desse monitoramento específico impede a existência de mecanismos de transparência ativa (como relatórios ou plataformas dedicadas) e a disponibilização de dados desagregados e de fácil acesso para consulta e auditoria sobre esse fluxo financeiro particular. As métricas existentes avaliam a adesão a programas públicos de incentivo, mas não a captação direta de capital privado para fins climáticos.</t>
  </si>
  <si>
    <t>Há alocação orçamentária. O Plano Plurianual 2024-2027 (Lei nº 18.835/2024), prevê: 
a) R$ 27.300.000,00 para a Secretaria de Estado do Meio Ambiente e da Economia Verde, no âmbito do Programa Gestão Ambiental Estratégica, as Subações: Apoio a Projeto de Mudança Climática
A Lei de Diretrizes Orçamentárias, exercício financeiro de 2025 (Lei n 19039/2024):
a) Apresenta, como uma de suas diretrizes, a "promoção do equilíbrio entre as aspirações socioeconômicas e a proteção do meio ambiente, construindo padrões de desenvolvimento eficientes e ações de adaptação aos efeitos das mudanças climáticas" (art. 9º, inciso IV, Lei nº 19.039/2024).
b) Exclui dos limites das despesas primárias correntes as despesas executadas com a função de promover "ações de combate às mudanças climáticas" (art. 61, §3º, Lei nº 19.039/2024).
A Lei Orçamentária Anual de 2025 (Lei nº 19.229/2024), prevê:
(a) R$ 6.323.789,00 para a Unidade Orçamentária "Fundo Catarinense de Mudanças Climáticas"
O que não foi encontrado foram alocações orçamentárias relacionadas à mudança climática nas demais secretarias de Estado. Há ações nesses órgãos, mas a rubrica orçamentária não informa que objetiva enfrentar o problema climático.</t>
  </si>
  <si>
    <t>A maneira como o Poder Executivo identifica, mensura e classifica todas as ações estatais no nível de particularização pela qual tem o Painel ClimaBrasil, o que inclui as ações voltadas ao clima, dá-se por meio da classificação programática, estabelecida pelo Plano Plurianual vigente (PPA 2024-2027), utilizando especificamente por Programas e as subações orçamentárias, que procura responder à pergunta "qual é o tema da política pública?".
Há marcações no orçamento e no PPA que destacam ações, códigos/rubricas, que diferenciam os gastos diretos em ações climáticas de outros tipos de despesas, mas não se verifica destaque de despesas indiretas que contribuem para o problema ambiental, tampouco são identificadas ações que contribuem negativamente para os objetivos climáticos, como subsídios perversos, atividades intensivas em carbono e outros similares. Evidência PPA.</t>
  </si>
  <si>
    <t>O Programa de Gestão de Compras Governamentais de SC, instituído pela Lei Estadual nº 18.806/2023, tem como um dos pilares fundamentais a sustentabilidade (art. 2º). Em razão disso, o Estado tem implementado, no âmbito do Programa Compras SC, práticas de compras que promovam o desenvolvimento sustentável e a implementação de políticas públicas alinhadas com os princípios de responsabilidade ambiental e social. Como exemplo, verifica-se Edital de Contratação de Empresa Especializada na Prestação de Serviços Continuados do Compras SC, os quais inclui cláusula específica voltada a práticas sustentáveis que devem ser observadas pelas empresas contratadas, cfe. edital disponível como evidência. 
Encontra-se em andamento o projeto de integração da Inteligência Artificial às compras governamentais. Neste, em compromisso com a sustentabilidade, pretende-se investir na otimização de recursos, monitoramento e desenvolvimento de soluções sustentáveis, dentre outras práticas estratégicas que fortaleçam a temática.
Por enquanto, no âmbito do Programa Compras SC, ainda não foram estabelecidos critérios específicos voltados à redução da emissão de gases de efeito estufa. 
Embora exista a Lei e cláusula no edital PE 0468/2025, observa-se que no Projeto de Modernização da Gestão Fiscal do Estado, de dezembro de 2024, consta que uma das causas do alto custo administrativo e impacto social, ambiental e econômico é a ausência de uma política de compras sustentáveis (pag. 143 do Edital).</t>
  </si>
  <si>
    <t>Ha marcações no orçamento e no PPA que destacam ações, códigos/rubricas, que diferenciam os gastos diretos em ações climáticas de outros tipos de despesas, mas não se verifica destaque de despesas indiretas que contribuem para o problema ambiental, tampouco são identificadas ações que contribuem negativamente para os objetivos climáticos, como subsídios perversos, atividades intensivas em carbono e outros similares. Evidência Painel de Acompanhamento do PPA e Portal da Transparência do Poder Executivo de Santa Catarina.</t>
  </si>
  <si>
    <t>O Estado coopera com o Ministério do Meio Ambiente e Mudança do Clima (MMA) para a operacionalização da Iniciativa AdaptaCidades em dez municípios catarinenses (Processo SGPe SEMAE nº 86/2025). 
O AdaptaCidades, instituído pela Portaria GM/MMA nº 1.256/2024, integra o Programa Cidades Verdes Resilientes, e tem como objetivo apoiar municípios  no desenvolvimento de estratégias e planos locais ou regionais de adaptação do clima. 
Em SC, a equipe da SEMAE tem atuado para subsidiar tecnicamente a realização das ações do programa, trabalhando em frentes como: a identificação dos municípios prioritários à participação, com base critérios técnico-metodológicos próprios
Considera-se em estágio intermediário porque o Estado aguarda o MMA para divulgação da lista de municípios prioritários a partir da qual pode implementar as ações previstas.</t>
  </si>
  <si>
    <t>A Agência de Fomento de Santa Catarina S.A. (Badesc) tem na sua missão fomentar o desenvolvimento econômico e social, de forma sustentável, através de financiamentos de longo prazo. Consta na Cofiex Programa de Financiamento para Recuperação Produtiva e Sustentável das MPMEs em Santa Catarina, aprovado pelo BID, conforme consta no site do Banco. Dentre os objetivos do Programa está promover projetos de geração e eficiência energética que possam ajudar a mitigar o impacto da mudança climática. O Programa foi autorizado pela Lei n. 18675/2023.
Consta também o Programa de Desenvolvimento Sustentável da Agricultura Familiar de SC: Resiliência Ambiental, Inovação e Inclusão Social no Espaço Rural, financiado pelo BIRD. Está aprovado pela Lei estadual 19.056/2024 e pelo Senado Federal (MSF 29/2025 em 08/08/2025). Na área ambiental, a meta é o fortalecimento dos recursos hídricos, adoção de sistemas de produção de baixo impacto ambiental e a adequação ambiental. Também contempla o componente de bens e serviços públicos para dar suporte estratégico para as ações de apoio direto.</t>
  </si>
  <si>
    <t>A iniciativa descrita no item F2.A (AdaptaCidades) no momento da classificação não pode ser monitorada por meio da plataforma Projeta SC, pois não há dados disponíveis para verificação. Segundo a SEMAE esta em fase de atualização.</t>
  </si>
  <si>
    <t>No âmbito da SEMAE não foi identificado ou implementado mecanismos ou incentivos para mobilizar financiamento climático privado, seja de empresas ou indivíduos.
Há uma iniciativa do SEBRAE, mas essa iniciativa está relacionada ao Governo Federal. 
A Agência de Fomento do Estado (Badesc) pode ser considerada o mecanismo que permite a mobilização de recursos privados em ações que contribuem para o alcance dos objetivos climáticos, entretanto não respondeu à diligência e não foram identificadas fontes privadas de financiamento pela equipe de auditores e/ou mapeamento de possíveis oportunidades. A equipe entendeu que o Estado possui mecanismo oficial que permite a mobilização de recursos privados e por isso foi considerado estágio intermediário, conforme Manual de Aplicação do Painel ClimaBrasil.
A Agência de Fomento de Santa Catarina obteve a aprovação de empréstimo do BID para o Programa de Financiamento para a Recuperação Produtiva e Sustentável das MPMEs em SC, comprovando a mobilização de recurso privado para o alcance dos objetivos climáticos (Lei n. 18675/2023), embora não tenham demonstrado que possua o mapeamento de oportunidades para mobilizar recursos privados.</t>
  </si>
  <si>
    <t>Embora exista estrutura que permita a mobilização de recursos privados (o Badesc), não foi foi demonstrado mapeamento de possíveis oportunidades e iniciativas para contribuir com os objetivos climáticos.</t>
  </si>
  <si>
    <t>Não foram evidenciados recursos alocados especificamente a ações direcionadas ao enfrentamento da mudança do clima e seus impactos.</t>
  </si>
  <si>
    <t>Não ficou evidenciada nenhuma forma de rastreamento específico para as ações de enfrentamento as mudanças climáticas.</t>
  </si>
  <si>
    <t>Foi identificada existência do REGULAMENTO INTERNO DE LICITAÇÕES, CONTRATOS, CONVÊNIOS E PATROCÍNIO DA Agência Sergipe de Desenvolvimento - DESENVOLVE-SE, bem como edital do Pregão Eletrônico Nº 002/2024 com critérios de sustentabilidade, porém não existe lei estadual que estabeleça como padrão a adoção destes critérios em todas as contratações do Estado. 
Esta é uma boa prática, presente na agência de grande relevância para o desenvolvimento do Estado, e uma iniciativa muito interessante para ser replicada em todo Estado. Neste sentido, existe a informação da existência de minuta da lei do SELO VERDE, porém não foi obtida esta evidência.</t>
  </si>
  <si>
    <t>O Governo de Sergipe possui portal da Transparência que disponibiliza informações sobre despesas, nas formas consolidada e detalhada por órgão/entidade, porém não existem filtros para identificação das despesas específicas com políticas climáticas, de forma que não atende aos critérios estabelecidos no escopo.</t>
  </si>
  <si>
    <t>O Estado participa do Progestão, demonstrando a existência de capacidade técnica para elaboração e execução de programas.</t>
  </si>
  <si>
    <t>O Programa Águas de Sergipe é financiado por um empréstimo do Banco Mundial para fortalecer o marco institucional e de políticas para a gestão integrada dos recursos hídricos e meio ambiente no Estado de Sergipe e implementar ações que contribuam para a revitalização da Bacia Hidrográfica do Rio Sergipe.</t>
  </si>
  <si>
    <t>Não existem mecanismos de monitoramento e transparência sobre a execução físico-financeira e os resultados das ações.</t>
  </si>
  <si>
    <t>As evidências fornecidas demonstram a existência de múltiplos mecanismos legais e programáticos para mobilizar financiamento privado.</t>
  </si>
  <si>
    <t>Não existem mecanismos de monitoramento e transparência sobre a mobilização do financiamento climático privado e os resultados dos mecanismos estabelecidos.</t>
  </si>
  <si>
    <t>A classificação de Estágio Intermediário para o item F1.A reconhece os esforços do município, mas aponta oportunidades de aprimoramento. São Luís demonstra ter a sustentabilidade como um pilar em seu planejamento de médio prazo. Seu Plano Plurianual (PPA 2022-2025) foi estruturado com base em eixos estratégicos, incluindo o de "Cidade Sustentável", que prioriza o saneamento e o meio ambiente. Essa diretriz se reflete de forma concreta no orçamento público. As Leis Orçamentárias Anuais de 2024 e 2025 evidenciam a destinação de recursos para programas e ações alinhados a esse eixo, como os de desenvolvimento ambiental e saneamento. Isso mostra que existe coerência entre o que foi planejado e o que está sendo financiado, o que é um passo fundamental. Contudo, a classificação não atinge o nível "Avançado" porque a metodologia do Painel ClimaBrasil exige que a pauta climática seja tratada de forma explícita. O PPA, principal documento de planejamento, não menciona diretamente os termos "mudança do clima", "adaptação" ou "mitigação" como diretrizes. Consequentemente, as ações orçamentárias, embora contribuam para a agenda climática, não estão formalmente rotuladas ou vinculadas a uma estratégia climática específica. Para avançar, seria necessário que o município incorporasse a agenda climática de maneira explícita em seu PPA, garantindo que o orçamento não apenas apoie a sustentabilidade de forma geral, mas também financie ações diretamente voltadas aos desafios do clima.</t>
  </si>
  <si>
    <t>O município não atende aos critérios mínimos para classificação no item F1.B (Rastreamento das despesas), pois não apresentou evidências de um sistema para identificar e monitorar os gastos específicos com a agenda climática. A análise do Plano Plurianual (PPA) e das Leis Orçamentárias (LOAs) de 2024 e 2025 mostra que existem recursos destinados à função de "Gestão Ambiental". No entanto, os documentos não possuem um marcador, código, anexo ou qualquer metodologia que diferencie os gastos gerais de meio ambiente daqueles que são diretamente voltados para ações de mitigação ou adaptação às mudanças climáticas. Sem esse rastreamento, não é possível saber com precisão quanto do orçamento previsto está sendo efetivamente aplicado para enfrentar a crise climática. A criação de um sistema para "etiquetar" ou classificar essas despesas é um passo fundamental para aprimorar a transparência, a avaliação de políticas públicas e a gestão financeira, permitindo que o governo e a sociedade acompanhem os investimentos no clima de forma clara.</t>
  </si>
  <si>
    <t>O município alcançou o "Estágio Avançado" por possuir uma norma específica que inclui critérios de sustentabilidade e climáticos em suas compras públicas. A classificação foi baseada no Decreto nº 60.155, de 2024, que regulamenta as licitações municipais. Este decreto estabelece que o planejamento das contratações deve considerar os impactos ambientais dos produtos e serviços a serem adquiridos. A norma exige a inclusão de requisitos de baixo consumo de energia, o que promove a eficiência energética. Além disso, o decreto prevê a logística reversa para a reciclagem de bens, contribuindo para a redução de resíduos, e a análise do ciclo de vida do objeto, incentivando a economia circular. Ao formalizar essas exigências, o município utiliza seu poder de compra como uma ferramenta para incentivar práticas de mercado mais sustentáveis e de baixo carbono, atendendo plenamente aos critérios para a classificação máxima neste item.</t>
  </si>
  <si>
    <t>O município foi classificado como "Estágio Intermediário" por apresentar um avanço na transparência de suas ações, embora ainda não de forma específica para a agenda climática. A classificação se baseia na existência de uma plataforma interativa (BI) que monitora a execução do plano de governo (PPA). Esta ferramenta supera o "Estágio Inicial", pois organiza e consolida os gastos por temas, como "Meio Ambiente", tornando a consulta mais acessível do que em um portal de transparência padrão, que apresenta apenas dados brutos. Contudo, para atingir o "Estágio Avançado", seria necessário que a plataforma oferecesse um filtro específico para "Ação Climática" ou "ODS 13". Atualmente, o cidadão precisa navegar por categorias amplas e interpretar quais despesas se relacionam ao clima. A ausência de uma identificação clara e centralizada dos gastos climáticos impede a classificação máxima, pois a informação ainda não é totalmente direta e de fácil acesso para a sociedade.</t>
  </si>
  <si>
    <t>O Município de São Luís foi classificado como "Estágio avançado" por demonstrar alta capacidade de aderir a programas federais para financiar ações de mitigação e adaptação climática. As evidências comprovam o atendimento a todos os atributos exigidos pela metodologia. Primeiro, o município demonstrou que mapeia e aproveita oportunidades de financiamento alinhadas às suas prioridades. A adesão ao Novo PAC, um programa do Governo Federal, resultou na captação de recursos significativos para dois projetos estratégicos: um de R$ 174,4 milhões para a melhoria da mobilidade urbana, com faixas exclusivas e ciclovias, e outro de R$ 625,6 mil para obras de contenção de encostas em áreas de risco. Segundo, ficou comprovada a capacidade técnica para elaborar e executar os projetos. A aprovação dessas propostas complexas junto ao Ministério das Cidades evidencia a qualificação técnica para o planejamento. Um dos acordos declara explicitamente que a prefeitura possui pessoal com capacidade administrativa e técnica para a execução do objeto. Terceiro, as ações estão sendo efetivamente implementadas. Os documentos oficiais classificam ambos os projetos como "Em execução", indicando que a captação de recursos já se converteu em ações práticas para a cidade.</t>
  </si>
  <si>
    <t>O Município de São Luís demonstra alta capacidade para acessar fontes de financiamento externo, justificando a classificação "Estágio avançado". A Lei Orçamentária Anual (LOA) 2025 comprova a captação de recursos de bancos de desenvolvimento internacionais, como a Agence Française de Développement (AFD) e o Banco Interamericano de Desenvolvimento (BID). A lei prevê R$ 40 milhões em receitas de "OPERAÇÕES DE CRÉDITO - MERCADO EXTERNO", detalhados nos projetos "PRO SANEAMENTO - AFD - SEMISPE" e "RENOVA CENTRO - BID - SEMISPE". A aprovação desses financiamentos evidencia o planejamento estratégico e a capacidade técnica para elaborar projetos competitivos. A inclusão formal desses recursos no orçamento confirma a efetiva captação para ações de saneamento e revitalização urbana, essenciais para a adaptação climática da cidade.</t>
  </si>
  <si>
    <t>A classificação "Sem progresso" foi atribuída pois as informações apresentadas não evidenciam mecanismos próprios do município para o monitoramento e a transparência da execução de projetos financiados com recursos captados. A metodologia do Painel ClimaBrasil exige a demonstração de sistemas que informem sobre o progresso, os resultados e a natureza (doação, empréstimo) desses fundos específicos. As informações fornecidas não comprovaram esses pontos. A lista de obras do Novo PAC é uma ferramenta de transparência federal, não municipal. A descrição do Portal da Transparência, embora relevante, não detalha se apresenta o monitoramento dos resultados e da origem dos recursos para esses projetos específicos. Por fim, o Índice de Desenvolvimento Sustentável das Cidades (IDSC) é uma avaliação externa, não um mecanismo de transparência ativa da prefeitura. Com base no material, não foi possível confirmar o monitoramento regular e a publicidade dos dados conforme requerido.</t>
  </si>
  <si>
    <t>O município foi classificado como "Estágio intermediário" por já possuir leis que permitem incentivar o investimento privado em ações para o clima, mas não ter apresentado evidências de que esses incentivos geraram novos investimentos recentemente. A legislação municipal inclui mecanismos importantes, como a Lei nº 5.876/2014, que prevê a redução do imposto ISSQN para empresas com tecnologias de preservação ambiental. Adicionalmente, a Lei nº 7.030/2022 institui uma política de incentivo à energia solar, determinando a criação de isenções fiscais para facilitar o acesso da população a essa tecnologia. Embora a existência dessas leis seja um passo fundamental e cumpra os requisitos para esta classificação, não foram demonstrados resultados concretos da sua aplicação, como a efetiva mobilização de recursos privados nos anos de 2024 ou 2025, o que seria necessário para um estágio mais avançado.</t>
  </si>
  <si>
    <t>A classificação Sem Progresso no item sobre monitoramento e transparência (F3.B) aponta uma importante oportunidade para o desenvolvimento de novas práticas de gestão. A avaliação reconhece que o município possui ferramentas de transparência fiscal, como as seções para consulta de "Renúncia de Receita" e "Doações Recebidas" em seu portal. Estes são mecanismos valiosos para o controle social geral das finanças públicas. Contudo, a metodologia deste item específico exige um passo além. O objetivo é verificar se a gestão acompanha e torna públicos os resultados práticos gerados por seus incentivos ao investimento privado em ações pelo clima. Por exemplo, seria necessário demonstrar quanto de investimento em energia limpa foi efetivamente mobilizado a partir de um benefício fiscal oferecido pela prefeitura, ou qual a redução de emissões alcançada por uma parceria com o setor privado. As evidências analisadas, embora demonstrem a existência dos portais, não apresentam este nível de detalhamento sobre os resultados. Não foi possível identificar o monitoramento do impacto das ações. Por essa completa ausência de informação pertinente ao escopo do item, a classificação é "Sem Progresso". O município pode evoluir utilizando seus portais para também divulgar a eficácia de suas políticas de incentivo climático.</t>
  </si>
  <si>
    <t>O PPA 2024-2027 foi constituído sob Diretrizes, das quais destaca-se a atenção à Sustentabilidade Ambiental (Artigo 3º, II), bem como possui como Objetivo Estratégico de n° 7 - Meio Ambiente e Recursos Naturais Preservados, com Garantia de sua Integridade e Equilíbrio para Manutenção das Funções Ecológicas Essenciais à Vida, com o qual se relaciona, entre outros, o Programa 2626 - Transição Energética e Mineração Sustentável. Entende-se, assim, que o item está em estágio avançado.</t>
  </si>
  <si>
    <t>As leis orçamentárias anuais contêm ações que contribuem para a mitigação e a adaptação à mudança do clima. Tais ações estão alinhadas ao Plano de Ação Climática do município de São Paulo (PlanClima-SP). Contudo, o PPA não prevê, explicitamente, o enfrentamento das mudanças climáticas como uma de suas diretrizes. Em razão disso, o item foi avaliado em estágio intermediário.</t>
  </si>
  <si>
    <t>O Manual para Elaboração ao PPA 2024-2027 previu atributo chamado "Associação à política pública", inovação para identificação dos produtos orçamentários. Existem normativas acerca da execução orçamentária, bem como a classificação de despesas por natureza, todavia o processo de rastreio das ações orçamentárias do Estado de São Paulo vinculadas à mitigação e à adaptação às mudanças climáticas está em andamento, entende-se, assim, que o item está em estágio intermediário.</t>
  </si>
  <si>
    <t>A Secretaria da Fazenda elabora, anualmente, documento gerencial que estabelece uma relação entre as ações orçamentárias constantes do plano plurianual com as diretrizes e ações do Plano de Ação Climática do município de São Paulo (PlanClima-SP). O referido documento, no entanto, não adota rubricas específicas para delimitar os gastos cujo objetivo principal seja mitigação ou adaptação às mudanças climáticas bem como não permite identificar gastos que contribuam negativamente para os objetivos climáticos. Em razão disso, o item foi avaliado como em estágio inicial.</t>
  </si>
  <si>
    <t>Foram identificados mecanismos que promovem a adoção de critérios e práticas de sustentabilidade nas compras e contratações públicas, bem como meios de capacitação técnicas a gestores atuantes em licitações e compras estaduais. Entende-se, portanto, que o item está em estágio avançado.</t>
  </si>
  <si>
    <t>"O ente dispõe de lei específica para licitações sustentáveis. Trata-se da Lei Municipal 17.260/2020. Apesar de não mencionar, explicitamente, o tema mudança do clima, a lei conta com prescrições que contribuem para o enfrentamento do problema. Cita-se, em especial, iniciativas relativas à eficiência energética e o uso de energias limpas (art. 7º, II a IV), à avaliação do ciclo de vida (art. 4º), à redução do consumo de recursos naturais (art. 8º, I</t>
  </si>
  <si>
    <t>Embora o governo estadual mantenha transparência ativa sobre suas receitas e despesas em plataforma de navegação aberta, não é possível consultar, em específico, dados sobre o orçamento climático e os gastos públicos em ações e iniciativas climáticas. Entende-se, portanto, que o item está em estágio intermediário.</t>
  </si>
  <si>
    <t>A Secretaria da Fazenda divulga relatório, anual, com os valores executados das ações que contribuem para o enfrentamento da mudança do clima. No entanto, o relatório, como instrumento de transparência, é limitado. Os dados não são publicados de modo desagregado, não há banco de dados ou painel que permita o isolamento de ações ou programa específicos para análise. Por consequência, não é possível exportar tais dados para formatos abertos como planilhas eletrônicas ou valores separados por vírgulas (CSV). Além disso, não é possível acompanhar o andamento das ações de modo continuo ao longo do ano e não há dados históricos para as ações elencadas. Não é possível, também, acompanhar os empenhos, liquidações e pagamentos oriundos de cada uma dessas ações. Em razão disso, o item foi classificado em estágio inicial.</t>
  </si>
  <si>
    <t>Como restou comprovado haver institucionalmente mapeamento de oportunidades e efetiva adesão ao programa federal "AdaptaCidades" do Ministério do Meio Ambiente e Mudança do Clima pelo Estado e São Paulo, entende-se que o item está em estágio avançado.</t>
  </si>
  <si>
    <t>Não se obteve evidências da existência de lista ou relatório oficial do município de São Paulo que explicite as oportunidades de obtenção de recursos a partir da adesão do município a plano, políticas e programas estaduais e nacionais para o financiamento de sua ação climática. Contudo, o ente possui mecanismos e capacidade técnica para captar recursos oriundos de programas e políticas nacionais. No contexto da mudança do clima, destaca-se, em especial, as ações empreendidas pelo governo municipal na eletrificação da frota, cuja parte dos recursos é oriunda de programas nacionais, como o Financiamento à Infraestrutura e ao Saneamento (FINISA). Por isso, o item foi avaliado em estágio intermediário.</t>
  </si>
  <si>
    <t>O Estado de São Paulo articulou captação externa e já efetivou recebimento de recursos bem como aderiu formalmente à Comunidade de Prática dos Estados em 2025. Entende-se, portanto, que o item está em estágio avançado.</t>
  </si>
  <si>
    <t>Não se obteve evidências da existência de lista ou relatório oficial do município de São Paulo que explicite as oportunidades de financiamento externo de sua ação climática. Contudo, o ente possui capacidade técnica para projetos competitivos para aquisição de tais financiamentos. No contexto da mudança do clima, destaca-se, em especial, as ações empreendidas pelo governo municipal na eletrificação da frota, cuja parte dos recursos é oriunda de financiamentos junto a bancos públicos. Por isso, o item foi avaliado em estágio intermediário.</t>
  </si>
  <si>
    <t>Embora haja evidências de mobilização institucional para identificação, adesão e acesso para expansão das ações de política climática através de captação de recursos, não se evidenciou a publicação periódica e/ou compêndio de dados para o fim de divulgação de resultados de modo que qualquer cidadão, órgão de controle ou parte interessada tenham acesso. Entende-se, portanto, que o item está em estágio intermediário.</t>
  </si>
  <si>
    <t>Não avaliado</t>
  </si>
  <si>
    <t>Diante do tempo disponível para análise e das informações obtidas durante o levantamento, optou-se por não emitir uma avaliação sobre o item em questão. Embora o item tenha sido investigado durante o levantamento, não foi possível formar uma opinião qualificada acerca da sua classificação. Essa decisão visa a preservar a qualidade da análise e garantir que todas as avaliações reflitam posicionamentos devidamente fundamentados.</t>
  </si>
  <si>
    <t>O Governo Estadual dispõe de mecanismos e estruturas que permitem a mobilização de recursos privados em ações que contribuem para o alcance dos objetivos climáticos (incentivos fiscais e financiamento). Todavia, a destacada ação de financiamento climático estadual ainda não efetivou aportes financeiros conforme cronograma próprio. Entende-se, portanto, que o item está em estágio intermediário.</t>
  </si>
  <si>
    <t>O Governo Estadual dispõe de mecanismos e estruturas que permitem a mobilização de recursos privados em ações que contribuem para o alcance dos objetivos climáticos (incentivos fiscais e financiamento). Todavia, não se evidenciou a publicação periódica e/ou compêndio de dados para o fim de divulgação de resultados de modo que qualquer cidadão, órgão de controle ou parte interessada tenham acesso. Entende-se, portanto, que o item está em estágio intermediário.</t>
  </si>
  <si>
    <t>Embora no PPA 2022-2025 (instituído pela Lei Municipal n° 5.691 de 2021) conste nas suas prioridades o "monitoramento do clima", assim como há previsão de nas LOA's 2024 e 2025 (Leis n° 6.055 de 2023 e Lei n° 6.163 de 2024) alocação de recursos para atividades relacionadas a mudanças climáticas e monitoramento do clima (Código 18-Gestão Ambiental), não há alinhamento integral com plano de ação climática, haja vista a magnitude de ações deste. Atendimento parcial às situações descritas nos itens 1 a 3.</t>
  </si>
  <si>
    <t>Não há identificação de metodologia específica. O ente federativo não adota nenhuma metodologia de identificação dos gastos climáticos.</t>
  </si>
  <si>
    <t>Não atendimento a nenhum dos atributos.</t>
  </si>
  <si>
    <t>A adesão aos progamas nacionais é feita pela equipe da Agenda2030 em um trabalho constante de mapeamento de oportunidades bem como capacitações por parte de seus integrantes, dentre as atividades podemos citar: Participação no Capacidades do Ministério das Cidades, Adesão ao "Meu Município pelos ODS".</t>
  </si>
  <si>
    <t>A estrutura da SEMPLAN (Secretaria Municipal de Planejamento e Coordenação), além de abranger a Coordenação Especial da Agenda 2023, também incorpora uma "Coordenação Especial de Captação de Recursos", de modo que, a partir de um julgamento profissinal, entede-se que o ente Municipal detém mecanismos e capacidades para acessar fontes de resursos financeiros de diversas fontes.</t>
  </si>
  <si>
    <t>Não foram identificadas ações de monitoramento regular da captação de recursos e/ou execução das políticas climáticas.</t>
  </si>
  <si>
    <t>Não foram identificados no município mecanismos e estruturas que permitam a mobilização de recursos privados em ações que contribuem para o alcance dos objetivos climáticos.</t>
  </si>
  <si>
    <t>Não foram identificadas monitoramento de ações de mobilização de investimento privado climático.</t>
  </si>
  <si>
    <t>O PPA 2024-2027 possui como um dos eixos temáticos: meio ambiente e mudanças climáticas, o que prevê atuação governamental em programas e ações de governo. A LOA 2025 previu, por meio da categoria 40640 Fundo do Estado do Tocantins - FUNCLIMA, o valor de R$ 8.260.000,00. As leis orçamentárias preveem recursos públicos para ações direcionadas às ações de mudanças climáticas, entretanto não foi identificado a compatibilidade com os planos e estratégias de mitigação e adaptação, por isso o estágio é intermediário.</t>
  </si>
  <si>
    <t>Na evidência, em anexo, é apresentado um quadro de detalhamento da despesas. Este quadro especifica os itens com despesas pertencentes ao órgão SEMARH que tem como unidade orçamentária o Fundo Clima do Estado do Tocantins - FUNCLIMA. Mas, não possui um mecanismo para identificar as despesas/gastos orçamentários realizado nas ações que contribuem o enfrentamento das mudanças climáticas. Por isso, o item é sem progresso.</t>
  </si>
  <si>
    <t>Na evidência anexada não há de forma expressa mecanismos de redução de GEE e/ou de adaptação à mudança do clima, entretanto inclui critérios e práticas de sustentabilidade, §2º art. 138, §2º art. 140, inciso II art. 167 e parágrafo único art. 221 do DECRETO No 6.606/2023. Portanto, o estágio é inicial.</t>
  </si>
  <si>
    <t>Não foram identificados mecanismos de transparência na divulgação de informações, como relatórios de progresso, dados financeiros e indicadores de resultados.</t>
  </si>
  <si>
    <t>O ABC+TO, Plano Setorial para Adaptação à Mudança do Clima e Baixa Emissão de Carbono na Agropecuária Tocantinense, é um Plano de Estado que dá continuidade à política setorial nacional para enfrentamento à mudança do clima no setor agropecuário. A evidência anexada apresenta as ações que já são implementadas no estado, por meio da linha de crédito do Plano ABC. O Tocantins é pioneiro no programa jurisdicional REDD+. Diante do exposto, percebe-se que o estágio é avançado.</t>
  </si>
  <si>
    <t>Os recursos da venda dos créditos de carbono jurisdicionais são repartidos entre todos os setores que contribuem para a redução de desmatamento e da degradação florestal, por meio da chamada repartição de benefícios. O exemplo mencionada se limita a fonte de recursos financeiros no setor em específico contemplado pela jurisdição do programa. Todavia, não foi encontrado mecanismos para acessar outras fontes de recursos para enfrentamento da mudança do clima. Por isso, o estágio intermediário.</t>
  </si>
  <si>
    <t>Pelo documento anexado, percebe-se que há monitoramento das ações dos itens A e B, mas durante o levantamento realizado, verificou-se ausência de um mecanismo de transparência específico para exposição de todos os dados, andamento e informações relevantes quanto às ações governamentais. Dessa maneira, o estágio é intermediário.</t>
  </si>
  <si>
    <t>O Tocantins Parcerias tem apoiado a estruturação técnica e de governança do Programa Jurisdicional REDD+, visando torná-lo elegível ao mercado voluntário de carbono, viabilizando a venda de créditos de carbono e reinvestimentos em sustentabilidade. Foi firmada, em 5 de junho de 2023, uma parceria com a empresa suíça Mercuria, viabilizando a venda de cerca de 200 milhões de créditos jurisdicionais de carbono ao longo de 10 anos, sendo a primeira do tipo no Brasil. A iniciativa conta com apoio técnico de instituições como o Earth Innovation Institute e o Land Innovation Fund, por meio do programa Forest Carbon Incentive, visando financiamento climático e promoção de práticas agrícolas de baixo carbono em comunidades indígenas, tradicionais e agricultores familiares. O programa para movimentar os créditos de carbono também possuem uma característica de adesão voluntária, ou seja, permite que interessados privados participem do mercado. Pelos atributos do programa, entende-se como estágio intermediário.</t>
  </si>
  <si>
    <t>O monitoramento e a transparência foram identificados apenas de forma parcial, sem a disponibilização de relatórios de progresso, dados financeiros ou indicadores de resultados. O site do JREDD+ oferece informações institucionais e conceituais, reforçando mobilização comunitária e diretrizes de governança. No entanto, não atende aos critérios de transparência efetiva, pois não disponibiliza relatórios de progresso, dados financeiros ou indicadores claros de desempenho ou impacto. Como as ações de mobilização do investimento privado climático são monitoradas com regularidade, mas a transparência ainda está deficitária o estágio é inicial.</t>
  </si>
  <si>
    <t>Diante da inexistência de planos ou estratégias de mitigação e adaptação não é possível avaliar o alinhamento das leis orçamentárias. Ademais, o Plano Plurianual não possui entre suas diretrizes, uma específica relacionada à mudança do clima, embora apresente uma rubrica diretamente ligada à mudança do clima (18.542.0019.1.0102 - Plano Diretor de Mudanças Climáticas) em sua Lei Orçamentária Anual.</t>
  </si>
  <si>
    <t>O Município não dispõe de metodologia específica para identificar, mensurar e classificar os gastos relacionados às ações climáticas em seu orçamento. Não há códigos, rubricas ou mecanismos que permitam diferenciar os gastos diretos e indiretos voltados ao enfrentamento das mudanças do clima. Além disso, não foi possível identificar, de forma sistemática, eventuais despesas que possam contribuir negativamente para os objetivos climáticos.</t>
  </si>
  <si>
    <t>O Município de Vitória não possui mecanismos institucionais que promovam a adoção de critérios de sustentabilidade, de redução de emissões de gases de efeito estufa ou de adaptação à mudança do clima nas compras e contratações públicas, tampouco iniciativas voltadas à capacitação técnica para viabilizar a inclusão desses critérios nos editais ou na análise das propostas.
O jurisdicionado indicou para este item, os documentos Manual de Gestão de Contratos (2023) e Cartilha das Fases da Licitação (2024), porém o primeiro documento não foi encaminhado nem encontrado em buscas feitas no portal da Prefeitura Municipal de Vitória. A versão de 2013 do Manual de Gestão de Contratos não contemplava os atributos descritos no Manual de Aplicação do Painel ClimaBrasil.</t>
  </si>
  <si>
    <t>O Município possui portal de transparência que disponibiliza informações sobre despesas, receitas, licitações, contratos, convênios, servidores, obras públicas, patrimônio, entre outras. O referido portal utiliza marcadores de Objetivo de Desenvolvimento Sustentável (ODS), dentre eles o ODS 13, que remete a ações do Município relacionadas, ainda que indiretamente, a mudanças climáticas. 
O município possui o Portal do Observatório de Indicadores (Observavix) que é um instrumento de controle social e de suporte à tomada de decisão, mantido pela Prefeitura de Vitória, em conformidade com o Decreto nº 17.289/2018 que trata da Política Municipal de Monitoramento de Indicadores. Nele é possível realizar buscas por ODS, inclusive o ODS 13, onde encontram-se indicadores de cada meta relacionados à mudança do clima.
Entretanto os sistemas não são dedicados exclusivamente a temática do clima, nem os gastos referem-se a ações com vistas a mitigação ou adaptação. Também não é possível verificar contratações emergenciais decorrentes de desastres relacionados às mudanças climáticas.</t>
  </si>
  <si>
    <t>Não foi possível identificar, por meio da documentação disponibilizada, se o município possui um mapeamento das oportunidades de obtenção de recursos a partir da adesão do Município aos instrumentos da Política Nacional de Mudanças Climáticas - PNMC (ou setoriais) ou de outros planos estaduais, com identificação de quais são mais adequadas para os projetos prioritários. O Município, em resposta, indicou apenas que busca oportunidades e financiamentos, apontando os programas aderidos.  
O Município indicou equipes técnicas para a elaboração e execução dos programas, por meio de um Ofício em resposta ao Termo de Adesão ao Programa Cidades Resilientes - PROCIRE do Estado do Espírito Santo, em que é listada a equipe técnica responsável.
O Município indicou que possui termo de compromisso com o governo federal para "OBRAS DE CONTENÇÃO DE ENCOSTAS NO MUNICÍPIO DE VITÓRIA/ES" e contrato de financiamento para a execução de obras e serviços no âmbito do programa Saneamento para Todos. Porém, ambos documentos não indicam que as ações estão sendo implementadas.</t>
  </si>
  <si>
    <t>Não foi possível identificar, por meio da documentação disponibilizada, se o município possui um mapeamento das oportunidades de financiamento para ações climáticas, com identificação de quais linhas são mais adequadas para os projetos prioritários, com um planejamento estratégico para acesso a fontes que não sejam do próprio orçamento.
Foi identificada uma Gerência de Captação de Recursos, a qual possui entre suas atribuições, selecionar as fontes de recursos disponíveis para fomento de programas, projetos e ações de interesse do Município, analisar as condições apresentadas para acessar recursos nacionais e internacionais e propor o plano anual de captação de recursos para análise e decisão Secretário da Pasta.
Por fim, apesar de não haver o mapeamento formal das oportunidades de financiamento, o Município indicou estar apto a captar recursos de fontes não governamentais, a exemplo do Banco Interamericano de Desenvolvimento (BID).</t>
  </si>
  <si>
    <t>As informações fornecidas pelo jurisdicionado no documento Resposta ao Ofício TCEES 02727/2025-9 não respondem às indagações formuladas neste item. 
A planilha com ações relacionadas às mudanças climáticas de todas as secretarias da Prefeitura não apresenta ações para captação de recursos para a execução da política climática. 
O portal da Transparência da Prefeitura de Vitória não apresenta dados sobre a captação de recursos para execução de ações de política climática, mas somente sobre receitas e despesas.
Por fim, os demais sites mencionados também não abrigam informações a respeito de captação de recursos de ações relacionadas às mudanças climáticas.</t>
  </si>
  <si>
    <t>O Município não possui mecanismos ou incentivos para mobilizar o financiamento climático privado, seja de empresas ou de indivíduos, o que foi ratificado pelo ente em seu Ofício de resposta.</t>
  </si>
  <si>
    <t>O Município não possui mecanismos de mobilização de financiamento climático privado e por consequência, não possui monitoramento e disponibilização de informações, o que foi ratificado pelo ente em seu Ofício de resposta.</t>
  </si>
  <si>
    <t>O Estado do Acre possui um amplo quadro legal e regulatório que abrange tanto a mitigação, quanto a adaptação climática.</t>
  </si>
  <si>
    <t>O Quadro legal e regulatório do Acre está compatível com os principais dispositivos federais, apresenta metas de redução de emissões de GEE, bem como prazos e metas de adaptação harmônicas com as metas nacionais, e segue metodologias de inventário e reporte de emissões semelhantes às recomendadas pelo governo federal.</t>
  </si>
  <si>
    <t>Quanto ao PPA do Estado do Acre é apresentada uma boa integração com a temática climática.No entanto a LDO é generalista na especificação dos setores, dos atores e dos aspectos para elaboração de orçamentos climáticos.</t>
  </si>
  <si>
    <t>Existe uma estrutura governamental formal e atuante para tratar dos aspectos relacionados às mudanças climáticas E o tema está devidamente internalizado de forma transversal nos diversos órgãos do ente.
No Acre existe O Instituto de Mudanças Climáticas e Regulação de Serviços Ambientais do Acre (IMC) que foi criado como uma autarquia especial com autonomia financeira e independência administrativa, supervisionada pela Secretaria de Estado de Meio Ambiente (SEMA). Sua criação ocorreu para articular estratégias de adaptação e mitigação das mudanças climáticas no estado, utilizando mecanismos de valoração de serviços ambientais.
Há um Comitê Gestor como estrutura de natureza transversal e uma composição multissetorial atuante no Estado evidenciando a internalização transversal do tema.</t>
  </si>
  <si>
    <t>Há uma lacuna na atribuição da responsabilidade do Comitê de dar transparência aos atores envolvidos. Embora as demais responsabilidades estejam atendidas, a ausência da transparencia, não permite uma pontuação avançada neste item.</t>
  </si>
  <si>
    <t>"Envolve Secretaria a de Estado da Casa Civil - SECC</t>
  </si>
  <si>
    <t>O estado do Acre possui um mapeamento de riscos ou de vulnerabilidades relacionadas com as mudanças climáticas, produzido ou atualizado nos últimos 5 anos e baseado em evidências e informações de plataformas oficiais. No entanto, alguns dos mapeamentos informam a
situação atual e de curto prazo de ameaças climáticas, mas não avalia de forma integrada as vulnerabilidades socioeconômicas ou ecossistêmicas a essas ameaças em cenários futuros. No monitoramento de Focos ativos de calor e o Hidrometereológico não foram identificados mapeamentos de risco, conforme a metodologia estabeçecida neste item, integraria informações sobre perigos com a exposição e a sensibilidade de populações, ecossistemas e economias para avaliar impactos potenciais. 
Existe ainda o PPCDQ do Acre, onde são colocadas algumas projeções de risco e vulnerabilidade ao desmatamento, bem como os riscos das capacidades institucionais para gerenciar as queimadas e desmatamento.</t>
  </si>
  <si>
    <t>No PPA, no eixo estratégico Produção, Meio Ambiente e Povos Indígenas, contempla as ações voltadas a gestão dos recursos naturais, manejo sustentável, serviços ambientais e créditos ambientais, principalmente no Programa Adapatação climática.
A LDO prevê a adaptação orçamentária em caso de catástrofe de abrangência limitada, que inclui desastres naturais.
No Plano Estratégico do Governo do Acre (2024/2027) a abordagem é transversal, contemplando várias áreas desse instrumento de planejamento dentre elas Mudanças Climáticas, Adapatação Climática e as projeções de Emissões. Assim como planejamento do desenvolvimento socioeconômico
sustentável do Estado, o Plano "Agenda Acre 10 Anos".</t>
  </si>
  <si>
    <t>O Plano Estratégico de Governo do Estado do Acre (2024-2027) estabelece mecanismos institucionais de intenções ativos de coordenação horizontal entre órgãos e entidades estaduais para o enfrentamento dos desafios relacionados à mudança do clima. Esses mecanismos estão principalmente organizados sob o eixo de Governança Colaborativa, com forte articulação intersetorial. O mecanismo operacional do item é evidenciado pela Operação Fênix e a atuação do Comitê Gestor de Mudanças Climáticas do Estado do Acre.</t>
  </si>
  <si>
    <t>O Estado do Acre vai integrou GT preparatório para participação dos Estados na COP28.
No ano de 2025 o Estado sediou a  15ª Reunião Anual da Força-Tarefa dos Governadores para o Clima e as Florestas (GCF Task Force), em Rio Branco entre os dias 19 e 23 de maio de 2025. A preparação reforça o protagonismo do Acre na agenda ambiental global e marca um momento histórico para o estado.
O governo tem participação ativa nas atividades do Consórcio de Governadores da Amazônia Legal e também no Forum Nacional dos Governadores</t>
  </si>
  <si>
    <t>O Estado tem atuado como parceiro com municipios e outros atores. 
O governo do Acre, através do IMC, integra esta comissão nacional que coordena e monitora a Estratégia Nacional para Redução do Desmatamento e Degradação Ambiental (ENREDD+), conforme DECRETO Nº 11.548, DE 5 DE JUNHO DE 2023.  
Um projeto piloto de monitoramento comunitário foi desenvolvido no Estado do Acre, mais precisamente na área da Reserva Extrativista Chico Mendes. Parte da iniciativa Forest Compass do Global Canopy Programme (GCP), o Projeto Sinal Verde agregou diferentes atores e instâncias de participação: os comunitários da Reserva, agentes da sociedade civil organizada, do governo estadual, do governo federal e de organizações internacionais.
A nível Municipal o O governo do Acre, por meio da Secretaria de Estado de Planejamento (Seplan), participa do Consórcio de Gestão de Resíduos Sólidos, composto por representantes das prefeituras dos 22 municípios acreanos.</t>
  </si>
  <si>
    <t>A Lei Estadual nº 2.308, que institui o Sistema de Incentivos a Serviços Ambientais (SISA), atribui ao Instituto de Mudanças Climáticas e Regulação de Serviços Ambientais - IMC a responsabilidade integral pela regulação, controle, monitoramento e registro das diversas iniciativas de estímulo a serviços ambientais, sendo o principal orgão responsavel por politicas de mitigação e adapatação climática do estado, e tem promovido a participação da sociedade civil em suas politicas.
Não há evidencias se existem relatórios de resposta institucional à sociedade, demonstrando como sugestões foram incorporadas ou justifcadamente rejeitadas. 
Diagnóstico analítico do impacto das inundações na população socialmente vulnerável do estado do Acre". Este é o nome do projeto escolhido para desenvolver uma plataforma de monitoramento de eventos extremos, desenvolvido por meio da Secretaria de Estado de Meio Ambiente (Sema) do estado em parceria com a Codex, especializada em governança de dados e meio ambiente.
Não há evidencias se existem relatórios de resposta institucional à sociedade, demonstrando como sugestões foram incorporadas ou justificadamente rejeitadas.</t>
  </si>
  <si>
    <t>No Acre, a participação das universidades no Sistema de Incentivo a Serviços Ambientais (SISA) ocorre principalmente através do suporte técnico e científico, além da pesquisa e formação de profissionais. A Universidade Federal do Acre (Ufac) e o Instituto de Mudanças Climáticas e Regulação de Serviços Ambientais do Estado do Acre (IMC) são atores importantes nesse contexto, colaborando na elaboração e implementação das políticas do SISA.
Governo do Estado do Acre, por meio do Decreto nº 7.525, de 17 de dezembro de 2020, Publicado no D.O.E nº 12.945, nomeou as instituições que integram o Plenário do Conselho Estadual de Meio Ambiente e Floresta - CEMAF, onde pode-se notar a representavidade do setor academino e privado.
O Forum participativo do Programa ISA Carbono é uma estratégia de repartição de benefícios do Programa ISA Carbono, em vigor atualmente, foi acordada de forma participativa com a sociedade acreana, em 2010, por meio de Consultas Livres Prévias e Informadas (CLPIs).
Essa estratégia define como os recursos financeiros recebidos pelo Estado do Acre, em razão dos resultados de REDD+, são repartidos entre os povos da floresta e os demais beneficiários que contribuem para a redução do desmatamento e da degradação florestal e para manter a floresta em pé.</t>
  </si>
  <si>
    <t>Em um dos principais Programas de Mitigação: o Programa ISA Carbono e REDD+, o processo de consulta busca assegurar que os povos indígenas, ribeirinhos, extrativistas e agricultores familiares os verdadeiros guardiões da floresta sejam protagonistas na construção das novas diretrizes que norteiam políticas públicas ambientais e distribuição de benefícios climáticos no estado. As consultas reúnem vários grupos: indígenas, anciões, jovens e mulheres da agricultura familiar, ribeirinhos e extrativistas, e vem sendo desenvolvida, de forma participativa respeitando os saberes tradicionais. 
O Zoneamento Ecologico Economico do Estado, também traz indicadores das condições de vida da população.  
Recentemente no Site Agencia de noticias do governo foi publicado que o Acre devera apresentar na COP30 experiências consolidadas em justiça climática, uso sustentável da terra e conservação da floresta. O Acre pretende apresentar suas contribuições para os debates globais sobre o clima ao evidenciar os desafios das populações amazônicas, que convivem diretamente com os impactos da crise climática. O Acre vai compartilhar seus exemplos de como tem buscado integrar desenvolvimento social e proteção ambiental, garantindo que comunidades tradicionais e povos indígenas tenham voz nos processos de decisão. Apesar de todo o exposto, não foi ossivel encontrar um documento que evidencie um mapeamento abrangente dos grupos vulneráveis.</t>
  </si>
  <si>
    <t>"A estratégia de repartição de benefícios do Programa ISA Carbono, do Sisa, acordada de forma participativa com a sociedade acreana, destinou, ao longo dos últimos 12 anos, 70% dos recursos aos provedores de serviços ambientais, por meio de políticas públicas que beneficiam povos indígenas, extrativistas e agricultores familiares.
Frequentemente são realizadas consultas, forums e reuniões com a participação de grupos sociais vulneráveis para a tomada de decições e formulação de políticas publicas relacionadas às mudanças climá
O Conselho é composto por vinte e dois membros, com paridade de representação entre o poder público e a sociedade civil, observada a seguinte proporção: I - sete representantes de órgãos ou entidades do Estado, dentre os quais a Secretaria de Estado do Meio Ambiente - Sema</t>
  </si>
  <si>
    <t>"O PROGRAMA ISA ADAPTACAO AS MUDANCAS DO CLIMA, trás como atores participantes as organizações comunitárias, organizações indígenas, cooperativas de pequenos produtores, cooperativas e organizações de pesca, lideranças indígenas e comunitária, organizações de
mulheres, ONGs com atuação local, associações de pequenos empresários.
O Conselho Estadual do Meio ambiente do Acre envolve: I - sete representantes de órgãos ou entidades do Estado, dentre os quais a Secretaria de Estado do Meio Ambiente - Sema</t>
  </si>
  <si>
    <t>A Assembleia Legislativa do Acre tem tido frequentemente como objeto de atividades legislativas específicas (audiências públicas, debates, relatórios) o assunto de mudanças climáticas.
A ALEAC tem aprovado a elaboração de leis estaduais ou municipais de mudanças climáticas, políticas de uso do solo, marcos de saneamento, códigos ambientais e incentivos fscais para energias limpas. Alguns dos exemplos são: Leis e Projetos Relevantes:
Lei nº 4.397/2024: Altera a lei que dispõe sobre a política ambiental do Estado do Acre. 
Lei nº 3.883/2021: Cria o Sistema Estadual de Áreas Naturais Protegidas (SEANP). 
Projeto de Lei nº 101/2024: Visa modernizar o processo de compensação ambiental e reposição florestal no estado. 
Programa de Regularização Ambiental (PRA-Acre): Instituído pela Lei nº 3.349/2017, tem o objetivo de adequar as propriedades rurais à legislação ambiental e manter as florestas. 
Existe uma comissão permanente criada em 2005 cuja finalidade é Analisar problemas economicos relacionados ao estabelecimento da politica agropastoril do Estado e o desenvolvimento de atividades industriais, comerciais, normalização e organização do desenvolvimento da politica de terras rurais, e politica e sistema estadual do meio ambiente.(ver artigo 24,§ 3º, Regimento Interno).</t>
  </si>
  <si>
    <t>O TCE/AC tem uma Coordenadoria Especializada em Meio Ambiente e que entre seus trabalhos realizaou auditoria nas Unidades de Conservação do Estado, Auditoria 
Formação de Grupos Técnicos para promover a análise técnica dos planos de ação apresentados, identificar lacunas e sobreposições, e propor medidas de articulação e integração entre os entes envolvidos na Estratégia Interinstitucional de Enfrentamento à Crise Ambiental. O GT de Queimadas solicitou rm 2025 planos de ações de todos os jurisdicionados com as ações previstas para mitigar os efeitos da seca, qualidade do ar e queimadas no verão amazônico de 2025. 
O TCE tem ainda o Programa O Meio Ambiente é da Nossa Conta, objetivando contribuir para a sustentabilidade ambiental através do fortalecimento da governança local e regional, monitorando e fomentando políticas públicas relacionadas ao tema. Ele possui 3 linhas de atuação que dialogam com as atribuições do Tribunal: Governança para a Sustentabilidade, Fiscalização e Controle, Educação e Formação. 
O TCE do Acre criou um painel de indicadores Ambientais nos seguintes eixos: Usos da Terra, Clima (abrangendo indicadores de focos de calor, desastres climáticos e qualidade do ar), Hidro, Biodiversidade, Gestão Ambiental, Saneamento Básico e Areas Protegidas.</t>
  </si>
  <si>
    <t>O TJ Acre possui a RESOLUÇÃO Nº 302, DE 11 DE DEZEMBRO DE 2023 que instituiu as Políticas para o Clima e Meio Ambiente no âmbito do Poder Judiciário do Estado do Acre implicando numa atuação estratégica das unidades judiciárias de todo o Estado para a proteção dos direitos intergeracionais ao meio ambiente.
Foram realizadas capacitações na temática ambiental, como a exemplo do treinamento para subsidiar a elaboração do Plano de Descarbonização e do Inventário de Gases de Efeito Estufa do TJ acreano, e do Curso Sustentabilidade.
A Resolução nRESOLUÇÃO Nº 302, DE 11 DE DEZEMBRO DE 2023 encontra-se em implementação.</t>
  </si>
  <si>
    <t>O ente possui um quadro legal e regulatório abrangente (Lei 9304/2024 e Lei 9312/2024), que inclui tanto a mitigação, quanto a adaptação às mudanças climáticas.</t>
  </si>
  <si>
    <t>O Quadro legal e regulatório do ente é compatível com os principais dispositivos Federais, apresenta metas de redução de emissões de GEE, bem como prazos e metas de adaptação harmônicas com as metas nacionais (atributos 1 a 4).
Atributo 1 - Normas estaduais suplementares e sem conflitos com normas gerais editadas pela união
Atributo 2 - Compatível com o PNMC e o estabelecimento de parâmetros para a mitigação e adaptação. 
Atributo 3 - Há harmonização com as metas nacionais de redução de GEE.
Atributo 4 - Prazos e metas de adaptação integrados (Plano ABC)
Destaca-se, entretanto, que as metas identificadas no Plano ABC são exclusivas para a agropecuária, fazendo-se necessária a criação de um plano abrangente que contemple os demais setores econômicos do Estado.</t>
  </si>
  <si>
    <t>O quadro regulatório e legal prevê mecanismos de integração dos aspectos das mudanças climáticas nos principais instrumentos de planejamento (LOA, PPA e Plano ABC). 
O Estado de Alagoas possui um plano setorial (Plano ABC+) que é bem detalhado, especificando metas, atores e tecnologias para o setor agropecuário. Além disso, os principais instrumentos de planejamento (PPA e LOA) preveem, de forma explícita e com dotação orçamentária, a ação de "Implantação do Plano de Ação Climática". Desse modo, é evidente a combinação de um plano setorial detalhado com a previsão formal de um plano estadual nos instrumentos centrais de planejamento.
De toda sorte, é importante salientar que o Estado não possui um Plano Estadual de Mudanças Climáticas (PEAMC), que está em fase de elaboração. O Plano ABC, portanto, se configura demasiadamente específico e focado apenas em um dos setores econômicos do Estado.</t>
  </si>
  <si>
    <t>Existe uma estrutura governamental formal e atuante, conforme a Lei Delegada nº 53/2023, para tratar dos aspectos relacionados à mudanças climáticas (Gerência/Supervisão de Adaptação e Mitigação às Mudanças Climáticas) e o tema está devidamente internalizado de forma transversal nos diversos órgãos do ente (conforme Decreto 94192/2023, que institui o FAMC - Fórum Alagoano de Mudanças Climáticas). 
Verifica-se que, na composição do FAMC, há a participação de um representante de várias secretárias do Governo do Estado de Alagoas, permitindo a integração do tema nos diversos órgãos e instituições governamentais, conforme disposto no Decreto 94.192/2023, abaixo descrito:
SEMARH, SEAGRI, SEDICS, SEINFRA, SEPLAG, SECTI, SETRAND, SEFAZ, IMA, IBAMA, FUNAI, Coordenadoria Estadual de Defesa Civil, Poder Legislativo Estadual, EMBRAPA, BNB, MPF/AL, MPE/AL,AMA, ELETROBRÁS, SEBRAE, IFAL, UFAL, UNEAL, dentre outras instituições da sociedade civil.</t>
  </si>
  <si>
    <t>A Lei Delegada nº 53 estabelece a estrutura da Secretaria de Meio Ambiente e Recursos Hídricos do Estado de Alagoas - SEMARH, contudo não há uma definição detalhada das atribuições de cada uma das estruturas que compõem a referida secretaria (embora seja possível deduzir pela temática das gerências). Neste mesmo sentido, ao analisar a Lei 9.304, de 5 de julho de 2024, identifica-se que há apenas uma atribuição formal estabelecida para a SEMARH:
implementar e apoiar redes de monitoramento meteorológico, climático, hidrometeorológico, por meio da Superintendência de Prevenção em Desastres Naturais da Secretaria de Estado do Meio Ambiente e dos Recursos Hídricos - SEMARH, ou outras que venham a cumprir esse papel, e utilizar os dados coletados para subsidiar as tomadas de decisões e a implementação de políticas públicas
Ademais, a Lei 9.214/2024, que "RECONHECE O ESTADO DE EMERGÊNCIA CLIMÁTICA NO ESTADO DE ALAGOAS, ESTABELECE DIRETRIZES E AÇÕES PARA ENFRENTAMENTO DA SITUAÇÃO DE EMERGÊNCIA, E ADOTA OUTRAS PROVIDÊNCIAS" é demasiadamente genérica, sem atribuições aos atores envolvidos das responsabilidades de liderar, coordenar, implementar, monitorar e dar transparência às ações governamentais relacionadas com a emergência climática.
Por fim, a Lei 6171/2000 define o papel da Defesa Civil estadual como coordenar, promover, supervisionar e integrar ações de prevenção, preparação, resposta e recuperação frente a desastres naturais e provocados pelo homem.</t>
  </si>
  <si>
    <t>Identifica-se que a SEMARH é a responsável pela coordenação da FAMC, conforme Decreto 94192/2023, art. 5º. Desse modo, verifica-se que o responsável por liderar detém posição adequada, com acesso direto ao Chefe do Poder Executivo, uma vez que a secretaria está logo abaixo do chefe do Poder Executivo.
Contudo, não foi possível identificar se a referida coordenação possui a autoridade necessária para mobilizar os diferentes setores e se conta com a participação de integrantes do escalão técnico para subsidiar a tomada de decisões.</t>
  </si>
  <si>
    <t>O ente possui um mapeamento de riscos/vulnerabilidades relacionadas com as mudanças climáticas - no site da SEMARH é possível identificar diversas plataformas de monitoramento, relatórios periódicos e atualizados em dimensões de impactos climáticos (chuvas, secas, barragens, enchentes). As informações disponibilizadas são detalhadas, baseadas em evidências científicas, em parceria com instituições científicas.
Ademais, identificou-se a existência de um Sistema Integrado para a Gestão de Águas (SIGA). O referido sistema possui bastante potencial para promover a transparência e o monitoramento dos recursos hídricos do Estado, inclusive fornecendo dados capazes de subsidiar o mapeamento dos riscos climáticos no Estado. No entanto, apenas uma parte das informações está disponível e outras desatualizadas. Desse modo, entende-se ser relevante promover a atualização e o aprimoramento da referida plataforma.
Por fim, salienta-se que se faz necessário um mapeamento de riscos integrado, de todos os setores, identificando quais dimensões de impacto climático são potencialmente mais danosas. Existem análises em algumas dimensões, mas não foi identificado mapeamento de riscos para os os impactos costeiros e a agricultura, por exemplo.</t>
  </si>
  <si>
    <t>Embora haja mapeamento de riscos para algumas dimensões de impacto climático, percebe-se a ausência de um Plano Estadual de Mitigação e Adaptação às Mudanças Climáticas (PEMAMC) - ainda em construção, conforme mencionado em outros critérios de avaliação e pelo próprio ente jurisdicionado na Pág. 10 da RI enviada pelo Tribunal de Alagoas.
Neste sentido, o PPA 2024-2027, principal instrumento de planejamento de médio prazo, não apenas menciona, mas estrutura ações específicas para o enfrentamento das mudanças climáticas, incluindo a implementação de um plano de ação e a manutenção de um sistema de alerta. Assim, na LOA 2024, por meio do QDD, as
ações previstas no PPA possuem dotação orçamentária, reforçando que os riscos climáticos foram considerados no processo de planejamento. É relevante ressaltar, contudo, que, na LOA 2025, não foram identificadas as ações 5152, 5281 ou correlatas e, portanto, merece ajustes orçamentários por parte do Estado para a LOA 2026.
Por fim, identificou-se a existência de um Sistema Integrado para a Gestão de Águas (SIGA). O referido sistema possui bastante potencial para promover a transparência e o monitoramento dos recursos hídricos do Estado, inclusive fornecendo dados capazes de subsidiar ações nos instrumentos de planejamento estaduais. No entanto, apenas uma parte das informações está disponível e outras desatualizadas. Desse modo, entende-se ser relevante promover a atualização e o aprimoramento da referida plataforma.</t>
  </si>
  <si>
    <t>O Fórum Alagoano de Mudanças Climáticas, o Conselho Estadual de Recursos Hídricos e a Comissão Estadual de Recursos Hídricos são mecanismos institucionais que possibilitam a coordenação horizontal entre setores, órgãos e/ou entidades vinculadas para discutir assuntos relacionados com o enfrentamento das mudanças climáticas. Verifica-se, através de informações disponibilizadas em sites oficiais, que há reuniões periódicas, atuação efetiva e o envolvimento de diversas secretarias do governo, conforme definido no Decreto 94.192/2023.</t>
  </si>
  <si>
    <t>Há evidências de que ente participa dos mecanismos relevantes dentro do contexto local (Consórcio NE) e Nacional (ABEMA) com uma representação adequada (representantes da SEMARH/IMA, responsáveis pelas pautas climáticas). Neste mesmo sentido, também há evidências de participação do representante nas reuniões ou encontros que viabilizam a interação regular entre os atores.</t>
  </si>
  <si>
    <t>Há evidências de que o Secretário da SEMARH é atualmente o representante junto a comissão tripartite nacional, sendo compatível com as atividades da referida secretaria. Contudo, não há evidências de participação do representante nas reuniões ou encontros que viabilizam a interação regular entre os atores, tendo em vista a sua recente nomeação para o cargo de secretário, havendo evidências apenas da participação de seu antecessor, conforme notícia de abril/2025.</t>
  </si>
  <si>
    <t>O Decreto nº 94.192/2023, que institui o Fórum Alagoano de Mudanças Climáticas (FAMC), contém dispositivos que asseguram a participação plural de diversos atores. 
O FMAC possui caráter consultivo, conforme disposições em seu Regimento Interno.
- O Art. 1º do Decreto estabelece que o fórum subsidiará tanto a "formulação" (concepção) quanto a "implementação" de políticas, atendendo plenamente ao primeiro critério da metodologia: Art. 1º Fica instituído o Fórum Alagoano de Mudanças Climáticas - FAMC, com a finalidade de promover a discussão, no âmbito do Estado de Alagoas, dos fenômenos globais de mudança do clima, subsidiando a formulação e implementação de políticas públicas. (p. 2, Art. 1º)
- O art. 3º define que o Fórum é estruturado em Plenária, Presidência, Secretaria Executiva e Câmaras Técnicas, estas últimas podendo ser criadas "por deliberação da Plenária" (art. 8º)
- O art. 6º prevê reuniões ordinárias e extraordinárias, podendo ser convocadas pela Presidência ou por maioria simples dos membros, indicando um caráter colegiado de decisão.
Analisando os atributos:
1. Abrange concepção e implementação: O Art. 1º do Decreto 94.192/2023.
2. Permite interação regular: O Art. 6º (reuniões bianuais) e a estrutura do Fórum, além do RI.
3. Contém disposições para levar em consideração perspectivas: A composição plural e o objetivo de facilitar a interação (Art. 2º e 4º).
4. Relatórios de resposta institucional: Sem evidências.</t>
  </si>
  <si>
    <t>O Decreto nº 94.192/2023, que institui o Fórum Alagoano de Mudanças Climáticas (FAMC), contém dispositivos que asseguram a participação plural de diversos atores.
O art. 4º estabelece que a Plenária do FAMC é composta por representantes do poder público e da sociedade civil, abrangendo:
1. Secretarias de Estado (Meio Ambiente, Agricultura, Infraestrutura, Planejamento, etc.)
2. Órgãos federais (IBAMA, FUNAI)
3. Instituições acadêmicas (UFAL, UNEAL, IFAL e particulares)
4. Organizações não governamentais (4 representantes)
5. Setor produtivo (3 representantes)
6. Comunidades indígenas e quilombolas.
Além disso, o §7º do art. 4º permite convidar "representantes da sociedade civil, organizações não governamentais, consórcios, instituições públicas e privadas, ou técnicos com notório conhecimento da matéria" para integrar o Fórum, reforçando a abertura à pluralidade de perspectivas.</t>
  </si>
  <si>
    <t>Não foi identificado, nos documentos disponíveis, um mapa detalhado ou mapeamento georreferenciado formal da população vulnerável, no sentido de indicar quais comunidades, regiões ou bairros são mais vulneráveis ou expostos a impactos climáticos.
No entanto, há sim menções legais genéricas às "populações vulneráveis" na Lei 9.304/2024. Em seu art. 2º, inciso XXI, há uma definição ou menção a "Populações Especialmente Vulneráveis às Mudanças do Clima", como grupos que são afetados desproporcionalmente, por exemplo mulheres, negros, jovens, povos e comunidades tradicionais e pessoas vivendo em situação de pobreza.
Desse modo, há um mapeamento genérico, superficial e incompleto dos grupos sociais e/ou econômicos vulneráveis aos impactos das mudanças climáticas no território, bem como não há um mapeamento das suas necessidades específicas.</t>
  </si>
  <si>
    <t>Há evidências da existência de mecanismos de participação de grupos vulneráveis, conforme dados abaixo:
1. Lei Estadual nº 9.304 / 2024
A lei prevê entre seus princípios a justiça climática, participação da sociedade civil, publicidade e transparência. No texto, assegura "os direitos das populações especialmente vulneráveis às mudanças do clima". Ou seja, reconhece que há grupos que sofrem impactos desproporcionais. Ademais, outro trecho fala da participação da população, múltiplos usuários de recursos naturais e do poder público no conjunto de ações climáticas. 
2. Fórum Alagoano de Mudanças Climáticas (FAMC)
O Fórum inclui representantes de comunidades indígenas e quilombolas, ONGs socioambientais, do setor produtivo, da academia etc. Isso já pressupõe alguma inclusão de grupos vulneráveis ou com representatividade social. Também realiza reuniões abertas ao público ou eventos com participação da sociedade civil. Ex: a V edição do Fórum contou com atuação aberta da comunidade de vários municípios.
Embora existam esses mecanismos, não é possível identificar se há garantias específicas de consultas diretas às populações vulneráveis em cada etapa do planejamento, com representatividade real e se há políticas ou planos que definam metodologias participativas (processo decisório não é claro) ou orçamentos específicos para assegurar participação desses grupos vulneráveis.</t>
  </si>
  <si>
    <t>É positivo que a lei climática estadual já obrigue que os grupos vulneráveis sejam parte central dos objetivos (Lei 9.304/2024). Isso dá base legal para exigir que nos próximos PPA e LOA sejam criadas metas e dotação orçamentária específica.
A falta de vinculação orçamentária explícita e de mecanismo de financiamento demonstra que o Estado ainda não operacionalizou plenamente o que a lei exige em teoria.
Dada a ausência de um Plano Estadual de Mitigação e Adaptação às Mudanças Climáticas (PEMAMC), falhas na integração entre o dispositivo legal e os instrumentos de planejamento se tornam evidentes. A lei de política climática cita metas de mitigação e adaptação (de forma genérica), mas não se identificou metas específicas (ex: número de famílias vulneráveis atendidas, porcentagem de território adaptado etc.) definidas no texto legal, em regulamentos públicos, planos e programas ou nos instrumentos de planejamento disponibilizados.</t>
  </si>
  <si>
    <t>A 11ª Comissão Meio Ambiente e Proteção dos Animais não está explicitamente dedicada à mudança climática no nome, mas suas competências legais envolvem atuação fiscalizadora e deliberativa sobre políticas que tocam mitigação, adaptação, ecossistemas, recursos hídricos, poluição, etc. 
Embora o ente jurisdicionado (conforme resposta ao RI) alegue a promoção de "debates legislativos sobre temas climáticos", não houve a apresentação de evidências primárias que suportassem tal afirmação. Ademais, também não foram identificadas outras comissões/atuações relacionadas às mudanças climáticas, conforme site da Casa Legislativa de Alagoas.</t>
  </si>
  <si>
    <t>Não foram realizadas auditorias, nos últimos 5 anos, no ente sob avaliação, pelo Tribunal de Contas ou pela controladoria estadual quem tenham como foco principal as mudanças climáticas.</t>
  </si>
  <si>
    <t>Verificou-se a existência de um Boletim Especial sobre Mudanças Climáticas e Direitos Humanos, iniciativa do TJ/AL. O boletim está focado em conectar decisões internacionais (Parecer Consultivo nº 32/2025 da Corte Interamericana de Direitos Humanos) à realidade local de Alagoas, demonstrando articulação temática e sensibilização pública.
O tribunal conta com uma Escola Superior de Magistratura (Esmal) que oferece cursos para magistrados, servidores e público. No site da Esmal, consta que "capacitações contemplam servidores, magistrados e comunidade" e há oferta regular de cursos, contudo não foi identificada a oferta de cursos específicos na temática climática, ambiental ou equivalente.
O tribunal possui um Plano de Logística Sustentável (PLS-TJ AL) para o período 2021-2026, conforme documento disponível online. Isso mostra que o tribunal já olha para práticas internas sustentáveis.
Apesar desses indícios positivos, não foram encontradas evidências robustas de que as exigências do art. 6º já foram instituídas no TJ/AL. Desse modo, identifica-se a existência de iniciativas e mobilização, mas não é possível afirmar que os incisos de I a V (núcleos especializados em centros consensuais, capacitação contínua, inclusão no plano de ensino, uso de SIG/georreferenciamento e redes interinstitucionais/compartilhamento de dados) do art. 6º da resolução 433/2021 do CNJ foram cumpridos.</t>
  </si>
  <si>
    <t>A Lei nº 3.128/2024 (PECISA) institui a Política Estadual sobre Mudanças Climáticas, incluindo estratégias de mitigação e adaptação como objetivo geral (art. 2º) e reforçadas nos incisos XXV e XXVI do art. 5º. Complementarmente, a Lei Complementar nº 0169/2025 cria o Código de Governança Socioambiental, Uso Sustentável dos Recursos Naturais e Mudança do Clima do Amapá, consolidando diretrizes para sustentabilidade e governança climática.</t>
  </si>
  <si>
    <t>O Estado do Amapá possui marco legal específico para mudanças climáticas, por meio da Lei Estadual nº 3.128/2024 (Política Estadual sobre Mudanças Climáticas - PECISA), o qual demonstra compatibilidade com a Política Nacional sobre Mudança do Clima (PNMC - Lei nº 12.187/2009) e com os compromissos internacionais assumidos pelo Brasil, atendendo aos atributos 1 e 2 previstos no Manual.
A legislação estadual contempla princípios, objetivos e diretrizes alinhados à PNMC, estabelece governança e prevê a adoção de metodologias compatíveis com padrões nacionais e internacionais para elaboração de inventários e relatórios de emissões de gases de efeito estufa, o que atende ao atributo 5.
Entretanto, não foram plenamente identificadas metas e prazos detalhados para mitigação e adaptação, nem mecanismos claros de harmonização das metas estaduais com as metas nacionais de forma quantificada e verificável, limitando o alinhamento integral exigido para o estágio avançado.
Dessa forma, considerando o atendimento parcial dos atributos previstos no Manual (1, 2 e 5), recomenda-se o enquadramento deste item no julgamento intermediário.</t>
  </si>
  <si>
    <t>A Política Estadual sobre Mudanças Climáticas do Amapá (Lei nº 3.128/2024) apresenta dispositivos que mencionam a necessidade de integração com políticas setoriais, coordenação interinstitucional e participação social. No entanto, tais disposições são genéricas e vagas, sem detalhamento operacional, prazos, instrumentos formais de articulação contínua ou mecanismos claros para a efetiva integração das ações climáticas aos planos, programas e orçamentos estaduais.
não há normativos complementares ou procedimentos claramente estabelecidos que assegurem a atuação coordenada entre setores, nem diretrizes precisas para a incorporação das ações climáticas aos demais instrumentos de planejamento e execução governamental.
Dessa forma, considerando que os mecanismos de integração previstos não ultrapassam o nível declaratório e carecem de regulamentação e implementação efetiva, o enquadramento adequado para este item é o estágio inicial.</t>
  </si>
  <si>
    <t>A Política Estadual sobre Mudanças Climáticas do Amapá (Lei nº 3.128/2024) instituiu o SECISA, tendo a SEMA como órgão gestor e prevendo atuação transversal de diversos órgãos estaduais, com participação do COEMA, do FAMCSA e de Comitê Técnico-Científico. O tema climático está internalizado na estrutura administrativa, integrado às políticas setoriais e apoiado por instâncias deliberativas e consultivas. Contudo, não há estrutura exclusiva com quadro técnico próprio e funcionamento autônomo, sendo a coordenação exercida de forma compartilhada e setorial, o que assegura efetividade parcial, mas sem plena consolidação institucional. Complementam o marco normativo: Decreto nº 2.841/2021 (Regimento Interno da SEMA), Decreto nº 2.842/2021 (FAMCSA) e Decreto nº 3.812/2023 (Comitê Técnico do PPCDAP 2022-2025).</t>
  </si>
  <si>
    <t>A Política Estadual sobre Mudanças Climáticas do Amapá (Lei nº 3.128/2024) instituiu o SECISA, definindo competências específicas: à SEMA cabe a gestão central, aos órgãos setoriais a execução, ao COEMA a deliberação, ao FAMCSA a função consultiva, ao Comitê Técnico-Científico o assessoramento técnico e à Ouvidoria o controle social. O arcabouço é reforçado pelo Decreto nº 2.841/2021 (Regimento Interno da SEMA), Decreto nº 2.842/2021 (FAMCSA) e Decreto nº 3.812/2023 (Comitê Técnico do PPCDAP 2022-2025). Apesar do avanço normativo e da clara designação de funções, parte das atribuições permanece genérica e carece de regulamentação para sua plena efetividade, justificando a classificação no estágio intermediário.</t>
  </si>
  <si>
    <t>A Política Estadual sobre Mudanças Climáticas (Lei nº 3.128/2024) instituiu o Sistema Estadual do Clima e Incentivo aos Serviços Ambientais (SECISA) e designou a Secretaria de Estado do Meio Ambiente (SEMA/AP) como órgão gestor responsável por coordenar a agenda climática estadual. A legislação também prevê instâncias de assessoramento e participação, como o Conselho Estadual de Meio Ambiente (COEMA), o Fórum Amapaense de Mudanças Climáticas e Serviços Ambientais (FAMCSA) e o Comitê Técnico-Científico, que reforçam o arranjo institucional existente.
Entretanto, embora exista estrutura formalmente designada, não foram encontradas evidências de acesso direto e contínuo ao Chefe do Executivo, tampouco de uma composição mista robusta (nível técnico e político) que assegure plena autoridade para mobilizar transversalmente todos os setores da administração. Isso indica que a liderança instituída ainda possui limitações de articulação estratégica, mas já ultrapassa a ausência de liderança observada em entes classificados como "sem progresso".</t>
  </si>
  <si>
    <t>O Estado do Amapá apresenta instrumentos de monitoramento de riscos, como o Relatório de Cicatrizes de Queimadas (2020-2024), que identifica áreas críticas e recorrência de eventos, e os Boletins Semanais e Mensais da Sala de Situação/SEMA, atualizados no site institucional, que subsidiam ações de prevenção. Contudo, a integração desses diagnósticos em um plano estadual de gestão de riscos ainda é limitada, com foco restrito em queimadas e estiagens</t>
  </si>
  <si>
    <t>O Amapá possui diagnósticos de riscos, como o Relatório de Cicatrizes de Queimadas (2020-2024) e os Boletins da Sala de Situação/SEMA(site da sema), além do Plano Estadual de Recursos Hídricos, incorporado ao PPA. Esses instrumentos mostram a consideração dos riscos de forma setorial e pontual no planejamento. Contudo, ainda não existe integração plena e abrangente dos riscos climáticos em todas as áreas governamentais</t>
  </si>
  <si>
    <t>A Lei nº 3.128/2024 institui o SECISA, com SEMA como órgão gestor, órgãos executores setoriais e instâncias de integração (COEMA, FAMCSA, Comitê Técnico-Científico), prevendo coordenação horizontal intragovernamental. Embora formalizada, carece de comprovação de funcionamento contínuo e integração efetiva, justificando classificação no estágio intermediário.</t>
  </si>
  <si>
    <t>A Lei nº 3.128/2024 prevê cooperação federativa e integração regional, comprovada por participação ativa no Fórum Nacional de Secretários de Meio Ambiente da Amazônia Legal e na GCF Task Force (mar/2025), que produziu documento conjunto para a COP30, e no Consórcio Interestadual da Amazônia Legal. Esses mecanismos fortalecem a coordenação vertical, justificando classificação no estágio intermediário.</t>
  </si>
  <si>
    <t>O Amapá participa de instâncias nacionais e regionais de cooperação climática, como a Câmara de Articulação Interfederativa, Conselho da Federação, Comissões Tripartites e Consórcio Amazônia Legal, além de articulações internacionais. Contudo, a atuação ainda não está totalmente estruturada, carecendo de mecanismos formais contínuos de integração vertical, o que justifica a classificação intermediária.</t>
  </si>
  <si>
    <t>A Lei nº 3.128/2024 institui mecanismos formais de participação social, como o COEMA (deliberativo), o FAMCSA (consultivo), consultas a comunidades tradicionais e salvaguardas socioambientais participativas. Apesar da previsão legal, faltam evidências de funcionamento contínuo e efetivo, justificando classificação no estágio intermediário.</t>
  </si>
  <si>
    <t>A Lei nº 3.128/2024 assegura representatividade de povos indígenas, comunidades tradicionais e quilombolas em instâncias como COEMA, FAMCSA e pela Consulta Livre, Prévia e Informada. Também existem colegiados como o CBH Araguari (Dec. nº 5.096/2024), a COMEF/AP (Dec. nº 5.762/2013) e os Conselhos Gestores de UCs. Contudo, não há detalhamento da composição nem evidências de participação plena e equilibrada, justificando a classificação no estágio intermediário.</t>
  </si>
  <si>
    <t>Lei nº 3.128/2024 reconhece povos indígenas, quilombolas e comunidades tradicionais, mulheres e crianças como prioritários e prevê equidade socioambiental e salvaguardas para grupos vulneráveis. Contudo, não há diagnóstico técnico específico, base de dados ou mapeamento consolidado desses grupos, o que justifica a classificação no estágio inicial.</t>
  </si>
  <si>
    <t>A Lei nº 3.128/2024 prevê a participação de grupos vulneráveis na governança climática, por meio de consulta diferenciada (CLPI), gestão democrática e instâncias como o FAMCSA. A 5ª Conferência Estadual de Meio Ambiente (2025) contou com delegação diversa e discussões sobre temas relevantes, mas ainda não há comprovação de participação contínua em instâncias decisórias permanentes, justificando a classificação intermediária.</t>
  </si>
  <si>
    <t>A Política Estadual sobre Mudanças Climáticas (Lei nº 3.128/2024) incorpora em seus princípios e diretrizes a valorização de populações indígenas, comunidades tradicionais, quilombolas e outros grupos sociais vulneráveis, reconhecendo sua importância na conservação dos serviços ambientais e prevendo salvaguardas socioambientais específicas. O texto legal também menciona a necessidade de equidade na distribuição de custos e benefícios das ações climáticas e de especial atenção a mulheres, crianças e comunidades em maior situação de risco.</t>
  </si>
  <si>
    <t>A Assembleia Legislativa aprovou a Lei nº 3.128/2024 (PECISA), a LC nº 169/2025 (Código de Governança Socioambiental) e a Lei nº 3.208/2025 (ZEE), e possui comissão temática permanente sobre meio ambiente. No entanto, não foram apresentadas evidências de atuação contínua de fiscalização ou proposições legislativas recentes sobre o tema, justificando o enquadramento no estágio intermediário.</t>
  </si>
  <si>
    <t>Até o momento, não há evidências de auditorias, fiscalizações ou manifestações formais por parte dos sistemas de controle interno e externo do Estado do Amapá voltadas à política climática. A pauta climática ainda não está integrada às rotinas de controle, o que justifica a classificação como "sem progresso".</t>
  </si>
  <si>
    <t>O TJAP possui Comissão de Gestão Socioambiental e adota práticas de sustentabilidade institucional. Contudo, não foram identificadas ações, projetos ou decisões com foco direto na agenda climática ou justiça climática, o que justifica a classificação no estágio inicial.</t>
  </si>
  <si>
    <t>A base legal é sólida e inclui Lei 3135/2007, que institui a Política Estadual sobre Mudanças Climáticas, Conservação Ambiental e Desenvolvimento Sustentável no Amaazonas e também a Lei Estadual 4266/2015 que institui a Política Estadual de Serviços Ambientais, cria o Fundo Estadual de Mudanças Climáticas e regula os PSA/REDD+.
- Essas legislações constituem o marco jurídico para a governança climática estadual.</t>
  </si>
  <si>
    <t>As leis estaduais (Lei nº 3.135/2007 e Lei nº 4.266/2015) incorporam princípios compatíveis com a Política Nacional sobre Mudança do Clima (PNMC) e o Acordo de Paris, porém não fazem referência explícita às NDCs ou ao Plano Nacional de Adaptação (PNA).</t>
  </si>
  <si>
    <t>A Lei nº 3.135/2007 prevê a integração entre a política climática e os planos estaduais (Art. - 2º §1º e Art. - 3º XI), mas não há evidência de que essas diretrizes foram incorporadas formalmente na estrutura do PPA, LDO ou LOA até o momento. O que existe é: lei prevê a criação de programas específicos, como o Programa Bolsa Floresta e o Programa Estadual de Monitoramento Ambiental, que requerem recursos e planejamento para sua implementação. Esses programas podem, portanto, ser considerados na elaboração do PPA, LDO e LOA, mesmo que a lei não exija formalmente sua inclusão.</t>
  </si>
  <si>
    <t>A SEMA-AM é a unidade governamental responsável oficialmente pela implementação das políticas climáticas, em consonância com as disposições da Lei nº 3.135/2007 (Art. - 4º). Há também instância colegiada prevista (CEMAAM), formalizada no âmbito da Política de Serviços Ambientais da Lei nº 4.266/2015 (Art.7º).</t>
  </si>
  <si>
    <t>"A Lei nº 3.135/2007 delimita competências da SEMA-AM</t>
  </si>
  <si>
    <t>A Lei nº - 4.266/2015 instituiu o Sistema de Gestão de Serviços Ambientais, que estabelece o Conselho Estadual de Meio Ambiente do Amazonas (CEMAAM) como instância máxima deliberativa, e prevê a criação de Câmaras Técnicas e um Comitê Científico e Metodológico (CCM) para subsidiar decisões, conforme Art. - 7º e §1º. Essas instâncias representam governança colegiada articulada à política climática.</t>
  </si>
  <si>
    <t>​- A Defesa Civil-AM publica regularmente mapas de risco de inundações, deslizamentos, queimadas e estiagens com base em dados hidrológicos e satelitais. Por exemplo, o Plano Tático de Estiagem 2024 detalha análise dos impactos da seca, incluindo esse tipo de mapeamento. Além disso, os programas de REDD+ exigem inventários florestais e estimativas de vulnerabilidade climática, como parte do Sistema Estadual de REDD+.
Está em fase de finalização o Diagn[ostico de vulnerabilidade climática que vai nortear o plano de adaptação e mitigação às mudnaças climáticas.
- Há mapeamento de riscos, mas pouco focado no componente climático propriamente dito (ex: projeções de cenários climáticos, variações de temperatura e precipitação). 
- Os dados tendem a focar em regiões com atuação de REDD+ e UC's específicas, não em todo o território estadual.
#NAME?
- Partes dos dados são publicadas em relatórios de projetos (IDESAM, REM), mas não há base pública consolidada acessível no site da SEMA ou Defesa Civil.</t>
  </si>
  <si>
    <t>Apesar de haver mapeamentos e boletins técnicos, não há aplicação sistemática desses dados em instrumentos como Plano Plurianual (PPA), Lei de Diretrizes Orçamentárias (LDO) ou planos setoriais oficiais.
A Lei nº 6.528/2023 abre caminho para planos de adaptação climática, mas ainda não foi implementada efetivamente.</t>
  </si>
  <si>
    <t>Existe coordenação formal entre secretarias como SEMA, SEFAZ, IPAAM e SEDECTI em temas relacionados a serviços ambientais e políticas climáticas. Destacam-se os Fóruns Técnicos do CEMAAM e a articulação com o Plano Amazonas Mais Verde (Decreto 44.718/2021), e há instância permanente de coordenação intersecretarial exclusivamente climática (Comitê Permanente de Enfrentamento a Eventos Climáticos e Ambientais).</t>
  </si>
  <si>
    <t>O Estado do Amazonas institucionalizou mecanismos formais de consulta pública para a política climática e ambiental, com comprovação legal e operacional:
- O Fórum Amazonense de Mudanças Climáticas, Biodiversidade e Serviços Ambientais (FAMC), definindo sua composição, competências, funcionamento e caráter consultivo/plenário com participação da sociedade civil.
- A participação de organizações da sociedade civil, povos indígenas e comunidades tradicionais são apresentados no relatório de Salvaguardas Socioambientais REDD+ documenta oficinas realizadas em diversos municípios, com participação de comunidades indígenas, extrativistas e ribeirinhas.
- No entanto, a evidencia fornecida apenas menciona a existência de um mecanismo de coordenação horizontal como um dos focos de atuação do fórum estadual, mas não cumpre os requisitos centrais do item: designação
de representante e prova de participação.
- Também não há cronograma fixo de escuta pública, nem Aplicação da consulta em decisões orçamentárias ou regulatórias, além de não existir estrutura de governança para gerir os processos participativos</t>
  </si>
  <si>
    <t>​- O Estado do Amazonas participa de instâncias como o Consórcio Interestadual da Amazônia Legal e de grupos técnicos do Fórum Brasileiro de Mudança do Clima.
- Sobre Programas estaduais com apoio técnico/financeiro a municípios - há apoio técnico, mas limitado em escala.
#NAME?
#NAME?
#NAME?
- O Plano de Prevenção e Controle do Desmatamento e das Queimadas (PPCDQ-AM - 4ª Fase) envolveu diretamente gestores públicos municipais na construção de ações territoriais e metas regionais.
- O modelo de governança do REDD+ Amazonas inclui articulação com municípios prioritários para implementação de ações de conservação, monitoramento territorial e inclusão social.</t>
  </si>
  <si>
    <t>Há iniciativas de engajamento no Estado do Amazonas, por meio de: 
#NAME?
 - 	Realização de campanhas periódicas de sensibilização da população rural e urbana sobre os riscos de incêndios florestais, uso de fogo e impactos da seca severa
 - 	Materiais divulgados em rádios, redes sociais, cartilhas e eventos locais.
- Programa Guardiões da Floresta (FAS/SEMA-AM)- com o envolvimento direto de comunidades tradicionais e jovens na conservação territorial e educação socioambiental, com foco na floresta em pé e REDD+.
#NAME?
Não há banco de dados público unificado de ações e resultados
Há ações conectadas com PPCDQ-AM, mas não com metas amplas de mitigação/adaptação.
A evidência fornecida (Decreto 42.368/2020) é adequada e suficiente para comprovar a existência de um mecanismo formal de participação. No entanto, é insuficiente para avaliar a efetividade ou a regularidade de seu funcionamento, pois não inclui atas de reunião ou o regimento interno.</t>
  </si>
  <si>
    <t>A composição do FAMC inclui membros da sociedade civil, comunidades tradicionais, setor privado, órgãos acadêmicos e federais. Há representação plural.</t>
  </si>
  <si>
    <t>As legislações estaduais (Leis nº - 3.135/2007 e 4.266/2015) que preveem expressamente a proteção de povos indígenas, ribeirinhos e comunidades tradicionais, inclusive com critérios diferenciados em projetos de REDD+ e serviços ambientais, ainda são incompletas e carecem de informações mais específicas sobre as populações tradicionais e as áreas rurais. Um esforço maior de pesquisa e coleta de dados, aliado a políticas públicas mais direcionadas, é essencial para garantir a justiça climática e a proteção dessas comunidades frente aos desafios das mudanças climáticas.
 - O Plano de Prevenção e Controle do Desmatamento e Queimadas - PPCDQ-AM (4ª fase) Reconhece expressamente os impactos ambientais e sociais da degradação florestal sobre populações tradicionais e indígenas e Identifica comunidades ribeirinhas e extrativistas como populações prioritárias para ações de conservação e apoio socioeconômico.</t>
  </si>
  <si>
    <t>O FAMC e o Conselho Deliberativo do FEMUCS têm composição paritária sociedade-civil e setores públicos, incluindo representantes de comunidades tradicionais, assegurando voz institucional nas decisões climáticas.
- Sobre a Participação contínua e efetiva, há previsão legal, mas evidência prática (atas, resultados, deliberações com impacto efetivo) é limitada/publicamente inacessível.
- Sobre Consulta livre, prévia e informada (CLPI), é aplicada em projetos específicos (ex: REDD), mas não como prática transversal da política climática.
- Sobre Instrumentos digitais ou presenciais de consulta pública acessível, Inexistente ou não sãodivulgado/encontrado.
- Não houve comprovação sobre seu atual funcionamento.</t>
  </si>
  <si>
    <t>​- A perspectiva equitativa está limitada ao campo ambiental/florestal, conforme o Sistema Estadual de REDD+ - Salvaguardas Socioambientais
#NAME?
#NAME?
- Não há avaliação de impactos climáticos com recorte de gênero, raça, classe e território.</t>
  </si>
  <si>
    <t>Não existe comitê ou comissão específica, no âmbito do legislativo.</t>
  </si>
  <si>
    <t>O TCE, em conjunto com o Ministério Público de Contas, procedeu à apuração de processos de queimadas em municípios do Amazonas.</t>
  </si>
  <si>
    <t>Existe um grupo de trabalho criado no âmbito da justica denominado de Grupo do Meio Ambiente do Tribunal de Justiça do Estado do Amazonas.
No entanto, não há comprovação de que ocorra sua atuação em questões climáticas de maneira tranversal.</t>
  </si>
  <si>
    <t>O Estado da Bahia possui um quadro legal e regulatório abrangente, conforme evidências em anexo, que inclui ações de mitigação e adaptação dos efeitos das mudanças climáticas.</t>
  </si>
  <si>
    <t>"O quadro legal e regulatório do Estado da Bahia estabelece parâmetros para mitigação e adaptação dos impactos climáticos. O Estado vem avançando na regulamentação de dispositivos, a exemplo  do Programa Bahia Sem Fogo, regulamentado pelo Decreto 23835/2025. Porém, dos instrumentos previstos na Política Estadual sobre Mudança do Clima, Lei Estadual nº 12.050/2011, o Plano Estadual sobre Mudança do Clima</t>
  </si>
  <si>
    <t>"O marco legal e regulatório da Bahia, que prevê mecanismos de integração dos aspectos das mudanças climáticas, é a Lei Estadual nº 12.050/2011, ainda não regulamentada. Em seu Art.6, há previsão, como instrumento da Política (PEMC): dotações específicas para ações em mudança do clima no Orçamento do Estado.  Há, ainda, previsão de articulação dos instrumentos da PEMC, na sua dimensão institucional, contemplando fóruns, colegiados e espaços públicos/institucionais.  Considerando os instrumentos de planejamento do Estado, no Plano de Desenvolvimento Integrado da Bahia-PDI 2035, eixo estratégico Meio Ambiente e Segurança Hídrica, foi definido o objetivo: Promover a mitigação e a adaptação às mudanças climáticas. No PPA 2024-2027, eixo estratégico Meio Ambiente e Segurança Hídrica, há previsão do Programa Meio Ambiente e Mudança do Clima, tendo como Órgãos participantes a Secretaria de Meio Ambiente - SEMA, e a Secretaria de Segurança Pública-SSP.  No Plano Estadual de Saúde- PES 2024-2027, também instrumento da PEMC, há previsão de Elaboração de um Plano Setorial da Saúde de mitigação e adaptação às mudanças climáticas na Bahia. Ainda, a LOA 2025 contempla ações voltadas para adaptação e mitigação dos efeitos das mudanças climáticas. Porém, as disposições contidas nestes instrumentos estão desarticuladas da Política</t>
  </si>
  <si>
    <t>"Existe uma estrutura governamental formal para tratar de aspectos relacionados às mudanças climáticas. Vinculado à estrutura da SEMA, há o Fórum Baiano de Mudanças Climáticas Globais e de Biodiversidade, composto por 13 órgãos do Poder Público Estadual e a Marinha do Brasil (Decreto 9.519/2005)</t>
  </si>
  <si>
    <t>De acordo a Lei nº 12.212/2011 e o seu Regimento Interno, a SEMA é responsável pelo planejamento, coordenação, supervisão e controle da Política Estadual sobre Mudança do Clima. Dentro da estrutura institucional do Estado, compete a esta Secretaria as maiores responsabilidades no sentido de liderar, coordenar, implementar, monitorar e dar transparência aos assuntos referentes a tal Política. O Fórum Baiano de Mudanças Climáticas Globais e de Biodiversidade, vinculado à SEMA, e presidido pelo seu Secretário, de acordo com o Art. 2º do Decreto nº 9.519/2005, tem importantes responsabilidades na implementação, divulgação e transparência da Política Estadual sobre Mudanças do Clima, a exemplo de promover a estruturação e a implementação do Plano de Mudanças Climáticas. Cabe ao INEMA, segundo a Lei nº 12.212/2011 e seu regimento interno, a responsabilidade de executar a Política Estadual sobre Mudança do Clima, tendo, dentre suas competências, executar ações e programas relacionados à Política. Apesar de uma maior responsabilidade dos órgãos ambientais, existe transversalidade na execução da Política, tendo representantes de outros órgãos estaduais participando do Fórum Baiano de Mudanças Climáticas, do Comitê de Acompanhamento do Plano Estadual de Transição Energética, além de outras ações relacionadas às mudanças climáticas, tais como aquelas exercidas pela SEAGRI,na execução dos Planos de mitigação voltados para a agricultura baiana (Plano ABC+ Bahia).</t>
  </si>
  <si>
    <t>Na Bahia, as ações climáticas estão sob a liderança da Secretaria do Meio Ambiente, instância de alto nível na estrutura do Governo do Estado, ligada diretamente ao chefe do Executivo, gestora da Política Estadual de Mudança do Clima. A SEMA e o INEMA possuem quadro técnico responsável pela gestão das políticas ambientais do Estado, compondo seus quadros especialistas em meio ambiente, que desenvolvem ações em diversas áreas, tais como gestão de Unidades de Conservação, licenciamento, fiscalização e monitoramento ambiental. Em relação aos subsídios técnicos, foi apresentado o Inventário Estadual de Gases de Efeito Estufa - GEE (versões publicadas em 2022 e 2024), além de providências em andamento para implementação de outras ferramentas técnicas, previstas na Política de Mudança do Clima (tais como o Zoneamento Ecológico-Econômico do Estado da Bahia e o o Mapa Estadual de Vulnerabilidade às Mudanças Climáticas). O Secretário preside o Fórum Baiano de Mudanças Climáticas Globais e de Biodiversidade, que tem importantes responsabilidades na implementação, divulgação e transparência da Política Estadual sobre Mudanças do Clima.  Conforme citado no item anterior, as responsabilidades de cada ator foram definidas nos normativos existentes.</t>
  </si>
  <si>
    <t>"O Mapa Estadual de Vulnerabilidade às Mudanças Climáticas é um instrumento previsto na Lei Estadual 12.050/2011, Art. 6, XVIII. Porém, o referido instrumento ainda não foi elaborado. A SEMA informou que vem trabalhando na elaboração desse mapa junto ao MCTI, por meio de um Termo de Cooperação. Ademais, especificamente em relação à área agropecuária, foi constatado no Plano Estadual de Mitigação e Adaptação às Mudanças Climáticas na Agricultura para a Consolidação de uma Economia de Baixa Emissão de Carbono da Bahia (Plano ABC+, para o período 2020 - 2030), a motivação para as metas estabelecidas, quais sejam diminuição da vulnerabilidade e aumento da resiliência dos sistemas de produção agropecuários</t>
  </si>
  <si>
    <t>"O Estado da Bahia ainda não possui o Mapa Estadual de Vulnerabilidade às Mudanças Climáticas, instrumento previsto na Lei 12.050/2011. Porém, foram constatadas, no PPA 2024-2027: iniciativa vinculada à SEAGRI: implementar o Plano Estadual de Mitigação e Adaptação às Mudanças Climáticas na Agricultura para a Consolidação de uma Economia de Baixa Emissão de Carbono da Bahia (Plano ABC+, para o período 2020 - 2030)</t>
  </si>
  <si>
    <t>"O Fórum Baiano de Mudanças Climáticas Globais e de Biodiversidade, instituído através do Decreto nº 9.519/2005, tem, entre outras responsabilidades, facilitar a interação entre a sociedade civil e o poder público, para promover a internalização do tema Mudanças Climáticas nas esferas de atuação dos atores sociais relevantes. O mesmo é composto por representantes permanentes de diversos entes do Poder Público Estadual: SEMA</t>
  </si>
  <si>
    <t>O Estado da Bahia participa de mecanismos de coordenação horizontal intergovernamental voltados à agenda climática. Verificou-se a participação na Câmara Temática de Meio Ambiente do Consórcio Interestadual de Desenvolvimento Sustentável do Nordeste (Consórcio Nordeste), que reúne os nove estados da região para formulação conjunta de políticas públicas, incluindo projetos climáticos estruturantes. A participação da Bahia no Consórcio foi ratificada pela Lei Estadual nº 14.087/2019. Participa também do Consórcio Brasil Verde, formado por 21 estados-membros, voltado à cooperação entre unidades federativas brasileiras no cumprimento das metas do Acordo de Paris (Lei Estadual nº 14.586/2023). O Secretário do Meio Ambiente integra a Associação Brasileira de Entidades Estaduais de Meio Ambiente (ABEMA), espaço de articulação e posicionamento político dos entes estaduais sobre temas ambientais. Ademais, o Estado da Bahia integra também a rede do ICLEI - Governos Locais pela Sustentabilidade, mantendo filiação ativa e participação em programas de apoio à ação climática local e subnacional.</t>
  </si>
  <si>
    <t>O Estado da Bahia mantém participação em mecanismos de coordenação vertical intergovernamental voltados à gestão ambiental. Dentre esses mecanismos, destaca-se a Comissão Tripartite Nacional do Sistema Nacional do Meio Ambiente (SISNAMA), instância estratégica de articulação entre os entes federativos (União, Estados, Distrito Federal e Municípios. Paralelamente, a Bahia conta com estrutura própria de articulação federativa no âmbito estadual, por meio da Comissão Tripartite Estadual da Bahia, cuja composição foi atualizada por meio da Portaria GM/MMA nº 1.02/2024, do Ministério do Meio Ambiente e Mudança do Clima (MMA). Essa comissão representa o desdobramento estadual da coordenação federativa ambiental, possibilitando maior alinhamento entre as ações dos diferentes níveis de governo. Ambas as comissões - nacional e estadual - promovem o diálogo institucional, contribuindo para a formulação de respostas coordenadas a desafios complexos, como a adaptação às mudanças climáticas, o ordenamento do uso do solo e a conservação da biodiversidade.</t>
  </si>
  <si>
    <t>"Na Bahia, existem mecanismos formais, ativos, de participação de atores não governamentais, a exemplo do  Fórum Baiano de Mudanças Climáticas Globais e de Biodiversidade, do Conselho Estadual do Meio Ambiente</t>
  </si>
  <si>
    <t>Ao analisar a participação de diversos segmentos sociais e econômicos na discussão sobre mudanças climáticas, foi verificada a presença da sociedade civil, poder público, academia e setor privado, nos atores citados pela Lei 12.050/2011.  A escolha das representações da Sociedade Civil e Setor Privado é feita por processo eleitoral público, em que cada segmento vota e elege seus representantes nos Colegiados. Portanto, existe representação das categorias, formalizada, com participação de representações da sociedade, o que pode ser constatado no CEPRAM, CONERH, CIEA e Fórum Baiano de Mudanças Climáticas Globais e de Biodiversidade.</t>
  </si>
  <si>
    <t>Os grupos mais vulneráveis aos impactos das mudanças climáticas ainda não foram identificados, não existindo mapeamento destes grupos. Conforme informado pela SEMA: "... está sendo desenvolvido o Mapa Estadual de Vulnerabilidade às Mudanças Climáticas ...".</t>
  </si>
  <si>
    <t>Conforme resposta da SEMA, em anexo, no que se refere a dimensão institucional de articulação de instâncias colegiadas com os instrumentos da Política Estadual sobre Mudança do Clima, existem mecanismos formais, a exemplo do Conselho Estadual do Meio Ambiente - CEPRAM, Conselho Estadual de Recursos Hídricos - CONERH e Comissão Interinstitucional de Educação Ambiental - CIEA, com representações de povos e comunidades tradicionais, assim como de povos indígenas.</t>
  </si>
  <si>
    <t>Conforme já informado, não há, no estado da Bahia, até o momento, planos de mitigação e adaptação elaborados (com exceção da área agropecuária, que possue o Plano ABC+). Em relação ao quadro legal e regulatório (G1A), a Auditoria não identificou ferramentas que prevejam uma perspectiva de equidade.</t>
  </si>
  <si>
    <t>Segundo o Regimento Interno da Assembleia Legislativa do Estado da Bahia (Resolução ALBA nº 1.193/1985), uma das Comissões Permanentes previstas na estrutura da Casa Legislativa (Art. 51) é a Comissão do Meio Ambiente, Seca e Recursos Hídricos, a quem cabe manifestar-se acerca de toda a matéria que direta ou indiretamente se relacione com a preservação do meio ecológico e ambiental. Conforme verificado no site da ALBA e em visita in loco, tal Comissão está constituída e em funcionamento, sendo que em duas visitas da Auditoria, realizadas em 2025, as sessões não ocorreram por ausência de quórum. Em uma terceira, membros da Gerência 1A assistiram a uma audiência pública promovida pela Comissão, tendo como assunto temas ligados à Política Estadual de Recursos Hídricos. Foi solicitado ao presidente desta Comissão se já houve alguma atividade legislativa específica relacionada ao tema Mudanças Climáticas Globais ou Política Estadual da Mudança do Clima (audiências públicas, debates, relatórios, etc), sendo encaminhado, caso positivo, comprovação documental (atas, convocações, relatórios, etc). Em resposta, o assessor do deputado presidente informou que não houve, tendo ocorrido em relação ao tema, apenas uma palestra a estudantes do ensino médio no Colégio Municipal Joselito Amorim, em Feira de Santana, com o Tema "Transição Energética no Contexto das Mudanças Climáticas".</t>
  </si>
  <si>
    <t>Verificou-se que, nos últimos cinco anos, foram realizadas três Auditorias pelo TCE/BA, nas quais foram abordados assuntos relacionados ao tema mudanças climáticas (duas Prestações de Contas e uma Inspeção). As duas contas referiram-se às Auditorias de Prestação de Contas do INEMA - exercício de 2022 (Processo TCE/001705/2023) e da SEMA - exercício de 2023 (Processo TCE/001665/2024). O INEMA é o órgão executor e a SEMA é o órgão gestor da Política Estadual sobre Mudança do Clima, sendo acompanhado, em ambos os trabalhos, aspectos relacionados à formulação, implementação e avaliação das Políticas Públicas sob responsabilidade destes dois órgãos, dentre estas, a Política Estadual sobre Mudança do Clima). Em relação à Inspeção (Processo TCE/012669/2023), tal trabalho acompanhou, no âmbito da SEMA e do INEMA, aspectos relacionados à gestão florestal das Unidades de Conservação, de forma a responder se as ações implementadas pelos órgãos ambientais estaduais têm contemplado obrigatoriedades legais previstas, no intuito de consolidar as Unidades de Conservação de domínio estadual como instrumento efetivo de proteção dos biomas. Foram acompanhados obrigatoriedades previstas na Política Estadual sobre Mudança do Clima, a exemplo da criação do Plano Estadual de Mudança do Clima e do Plano Estadual de Prevenção e Combate a Incêndios Florestais. Não foram realizados trabalhos pela Auditoria Geral do Estado, órgão central de Controle Interno do Governo Estadual, com foco neste tema.</t>
  </si>
  <si>
    <t>"Verificou-se a implementação das seguintes ações no âmbito do TJ/BA: 1) Criação de Unidade Judiciária Especializada. O Decreto Judiciário nº 274/2024 criou o Núcleo de Justiça 4.0 Metas - 03, com competência para julgamento de ações que envolvam, entre outros temas, o Direito Ambiental. 2) Criação de um núcleo especializado na temática ambiental. Através do Decreto Judiciário n° 93/2025, foi instituído o Grupo do Meio Ambiente, responsável por implementar as diretrizes do Fórum Ambiental do Poder Judiciário (FONAMB). 3) Reunião inicial realizada entre os membros do Grupo, onde foi discutida e apresentada proposta de implementação das Diretrizes da Resolução CNJ611/2024 no âmbito do TJ/BA. 4) Solicitação ao setor competente do TJ/BA da atualização do Painel de Priorização de Processos, no tocante às metas ambientais. 5) Representação de membro do Grupo no Encontro Nacional do Meio Ambiente do Poder Judiciário, no qual ficou deliberado ação nacional, coordenada pelo CNJ, tendo como diretriz prioritária a promoção de julgamentos de processos com matéria ambiental</t>
  </si>
  <si>
    <t>Verifica-se que Belo Horizonte possui um arcabouço legal que inclui tanto mitigação quanto adaptação, constituído pela Lei Municipal 11.793 de 2024, que trata da Política de Enfrentamento à Emergência Climática. O Município, por contar com essa Lei, que é um marco regulatório atualizado, atende ao critério estabelecido no Manual de Aplicação, referente à existência de lei abrangente que trate dos aspectos gerais das mudanças do clima. Ressalta-se que Belo Hortizonte apresenta um histórico no sentido de abordar o tema de forma institucionalizada, por meio de lei, uma vez que há mais de uma década já contava com o seu primeiro marco regulatório, que foi a Lei nº 10.175 de 2011, que instituiu a Política Municipal de Mitigação dos Efeitos da Mudança Climática. Desse modo, o Município está classificado como "Estágio Avançado", relativamente a esse item.</t>
  </si>
  <si>
    <t>Conforme Manual de Aplicação, é necessário examinar a consistência entre as leis locais e os planos nacionais, ou estratégias, com fundamento em dispositivos legais. A Prefeitura informou que a legislação municipal, o Plano de Redução de GEE e o Plano Local de Ação Climática, estão em sinergia com as Leis Federais que regulamentam a matéria, ou seja, a Lei nº 12.187/09 que institui a Política Nacional do Clima, e a Lei nº 14.409/09 que estabelece diretrizes para a elaboração de planos de adaptação. Além disso, foi informado que Belo Horizonte participa do Fórum Brasileiro de Mudanças Climáticas, nas câmaras de adaptação e economia circular, e acompanha os processos de construção dos planos nacionais. Verificou-se que há compatibilidade entre as normas e estratégia municipais e nacionais, o que foi demonstrado de forma clara e estruturada. De fato, as evidências apresentadas, ou seja, a Lei 11793/2024 que instituiu a Política Municipal de Enfrentamento à Emergência Climática, o Plano de Redução de Emissões de Gases de Efeito Estufa - GEE, e o Plano Local de Ação Climática (PLAC) que é um documento que traz estudos técnicos e determina ações a serem tomadas para enfrentar o aquecimento global estão alinhados com a estratégia e legislação nacionais, referentes ao tema. Portanto, quanto a esse item, o estágio do Município pode ser classificado como "Estágio Avançado".</t>
  </si>
  <si>
    <t>"O Manual de Aplicação estabelece a necessidade de previsão legal de incorporação dos riscos, impactos ou aspectos climáticos nos instrumentos. Isso se verificou, já que a Lei 11.793 integra os aspectos climáticos aos instrumentos de planejamento, aos planos e projetos setoriais. Destacam-se, como exemplo, os seguintes dispositivos: Art. 5º: A Política Municipal de Enfrentamento à Emergência Climática tem como diretrizes: VIII - a integração com as políticas de planejamento e desenvolvimento urbano, social e ambiental
Art. 6º: O Poder Executivo, baseado nos princípios da justiça climática e da proteção aos direitos fundamentais, utilizará as seguintes estratégias de mitigação e adaptação às mudanças climáticas: I- incorporação de variáveis de mitigação de emissão de GEE, de adaptação ambientalmente adequada e de redução do risco climático na revisão de políticas públicas e ações intersetoriais</t>
  </si>
  <si>
    <t>De acordo com o Manual de Aplicação, é necessário examinar se existe uma unidade organizacional dedicada à pauta climática, com atribuições formais e capacidade de implementação. Nesse sentido, a Prefeitura de Belo Horizonte informou que, desde 2006,  tem uma gerência específica para tratar de mudanças climáticas compondo a Secretaria Municipal de Meio Ambiente inicialmente intitulada GEASU (Gerência de Ações de Sustentabilidade) e após a Reforma Administrativa de fevereiro de 2025, renomeada GCLIM (Gerência do Clima), por meio do Decreto 18.982/2025
Desse modo, verifica-se a aderência aos critérios definidos no Manual, podendo ser classificado, quanto a esse item, como "estágio avançado".</t>
  </si>
  <si>
    <t>A Prefeitura informou que a implementação da política climática em Belo Horizonte iniciou-se em 2006, e que o Município tem uma consistente trajetória na política climática reconhecida em âmbito nacional e internacional, resultado, inclusive, da estrutura organizacional existente. A Prefeitura informou, ainda, que o Decreto 18.982/2025 define as competências da Secretaria Municipal de Meio Ambiente e a sua estrutura orgânica, com objetivo de elaborar e implementar a política ambiental do Município. Além disso, as responsabilidades da Coordenadoria Especial de Mudanças Climáticas estão definidas no Art. 27 do Decreto 18948/2025, e tem como competência planejar, coordenar e implementar políticas públicas municipais voltadas para mitigação e adaptação às mudanças climáticas, bem como para promoção de práticas sustentáveis no Município. Cabendo examinar, conforme Manual de Aplicação, se foram definidas e atribuídas, no âmbito do Governo do Município, as responsabilidades de liderar, coordenar, implementar, monitorar e dar transparência às ações governamentais relacionadas com a emergência climática, verificou-se que tais responsabilidades foram designadas aos atores envolvidos. Conforme ficou evidenciado, o Decreto Municipal 18.892/2025 e o Decreto Municipal 18.948/2025, de fato, estabelecem claramente as responsabilidades,  não existindo lacunas ou sobreposições relevantes. Desse modo, quanto a esse item, a classificação é "Estágio Avançado".</t>
  </si>
  <si>
    <t>A Prefeitura informou que a criação da Coordenadoria Especial de Mudanças Climáticas (COEMC) pela Lei nº 11.801/2025 (art.4º) é um avanço na governança climática. Órgão estratégico ligado ao gabinete do Prefeito, atua de forma intersetorial para integrar mitigação e adaptação climática em políticas de mobilidade, resíduos, saúde, defesa civil, meio ambiente, planejamento, turismo etc. A COEMC, segundo a Prefeitura, consolida resposta robusta e inovadora à crise climática, comprometida em promover resiliência e justiça socioambiental no Município. Conforme o Manual de Aplicação, cabe examinar se o responsável por liderar, orientar e coordenar as respostas estaduais/ municipais às mudanças climáticas possui autoridade para mobilizar os diferentes setores e conta com composição mista (integrantes dos escalões político e técnico da administração pública) e acesso ao chefe do executivo. Nesse sentido, verificou-se que o Responsável Institucional tem posição formal e capacidade técnica estabelecidas por lei. Desse modo, como ficou evidenciado que a Liderança Climática está formalizada, e subordinada diretamente ao Gabinete do Prefeito, a classificação quanto a esse item é "Estágio Avançado".</t>
  </si>
  <si>
    <t>O município apresenta mapeamento de riscos robusto e baseado em evidência científica, conforme estabelecido no Manual. Há documentação técnica pública e clara, incluindo Mapas e Estudos de Riscos e Vulnerabilidades, atualizado em 2016, com alinhamento metodológico e técnico. Conforme informou a Prefeitura, o Município desenvolveu a Análise de Vulnerabilidade às Mudanças Climáticas, com cenário de 2016 e projeções para 2030, a partir da metodologia utilizada no 4° Relatório de Avaliação do Painel de Intergovernamental de Mudanças Climáticas (AR4-IPCC, 2007), integrando dados sobre a exposição às alterações climáticas, à sensibilidade socioambiental e à capacidade do sistema de se adaptar às novas condições. Ele é utilizado como referência na proposição de políticas de resiliência climática. Entretanto, o Manual do Painel Clima Brasil exige que esse mapeamento tenha sido atualizado nos últimos 5 anos e o mapeamento apresentado pelo Município foi atualizado há 9 anos, em 2016. Destaca-se que Belo Horizonte apresentou cartas de inundações, documentos com embasamento científico que orientam processos de ocupação, infraestrutura e gestão de riscos (atualizadas em 2023). Essas cartas de inundação possuem um escopo parcial de mapeamento de riscos, embora sejam relevantes e estejam atualizadas. Desta forma, em razão do principal mapeamento de riscos da Prefeitura de Belo Horizonte não ter sido atualizado nos últimos 5 anos, a classificação mais adequada é a intermediária.</t>
  </si>
  <si>
    <t>Conforme informou a Prefeitura, o Plano Diretor adota princípios da Nova Agenda Urbana (ONU) e a promoção do desenvolvimento sustentável, por meio de política de combate às mudanças climáticas. Para cumprimento desses princípios, os planos e projetos executados buscam promover medidas de redução de GEE, redução de risco de desastres, de mitigação e de adaptação às alterações climáticas na concepção de espaços, edifícios, construções, serviços e infraestruturas com atenção à resiliência. O novo Plano Diretor (Lei nº 11.181/2019) reconheceu áreas de centralidades em toda a cidade, que são "centros de bairros" e regiões localizadas em grandes avenidas de transporte coletivo ou em vias importantes. O Plano Diretor prevê a destinação de recursos para investir em melhorias nessas áreas. Objetiva-se promover o desenvolvimento urbano sustentável de forma a proporcionar o melhor uso destes territórios, com recursos provenientes de taxas para a construção de grandes empreendimentos e de multas de construções que foram feitas em desacordo com a legislação municipal. Conforme Manual de Aplicação, deve ser examinado se os riscos ou vulnerabilidades relacionadas com as mudanças climáticas guiam de maneira efetiva e abrangente o planejamento. Verificou-se que os principais instrumentos de planejamento de longo e médio prazo formalmente incorporam riscos climáticos, com base em diagnósticos científicos. Desse modo, a classificação é "Estágio Avançado", quanto a esse item.</t>
  </si>
  <si>
    <t>"Conforme Manual de Aplicação, cabe investigar se existem mecanismos formais que assegurem diálogo e alinhamento entre diferentes secretarias de governo</t>
  </si>
  <si>
    <t>"A Prefeitura informou que Belo Horizonte apresenta histórico de participações e comprometimento intergovernamental frente às mudanças climáticas. No ano de 1993 se associou à Rede ICLEI para o desenvolvimento sustentável, parceira no desenvolvimento de projetos como o Interact-Bio, o Urban-LEDS II, o PREGEE, a adesão ao Race to Zero e no lançamento do Plac-BH. A Prefeitura informou, também, que Belo Horizonte compõe o CB-27, a FNP, é parceira da ITDP e reafirmou, em 2017, o Pacto Global de Prefeitos pelo Clima e Energia. Conforme o Manual de Aplicação deve ser examinado: 1) se o ente participa dos mecanismos relevantes dentro do contexto local com uma representação adequada, ou seja, observando a pertinência da indicação, considerando as áreas ou setores mais adequados para atuar, de acordo com o tema ou escopo do mecanismo</t>
  </si>
  <si>
    <t>Belo Horizonte apresenta iniciativas de articulação vertical na agenda climática, destacando-se a realização da etapa municipal da 5ª Conferência Nacional de Meio Ambiente e a participação no Fórum Brasileiro de Mudança do Clima (FBMC), por meio da Câmara Técnica de Adaptação e Infraestrutura Verde. Essas evidências demonstram que o município participa de mecanismos relevantes e que sua representação ocorre por meio da Secretaria Municipal de Meio Ambiente, o que garante adequação institucional. Entretanto, a metodologia do Painel ClimaBrasil exige, além da presença em instâncias relevantes e representatividade formal, a comprovação de participação efetiva e regular em reuniões ou encontros. Não foram apresentadas atas, listas de presença ou relatórios que confirmem a atuação continuada do município no FBMC, tampouco elementos que comprovem contribuições técnicas sistemáticas. Assim, embora haja avanços importantes em termos de inserção institucional e reconhecimento do município em espaços de coordenação, não se pode afirmar o atendimento integral a todos os critérios do Manual de Aplicação do Painel ClimaBrasil. Diante disso, a classificação mais adequada para Belo Horizonte neste item é Estágio Intermediário, reconhecendo os progressos institucionais, mas também as lacunas de evidência quanto à efetiva participação regular nos mecanismos avaliados.</t>
  </si>
  <si>
    <t>"A Prefeitura de Belo Horizonte informou que o Comitê de mudanças climáticas assegura a participação da sociedade civil, convidando instituições representativas, relacionadas às políticas setoriais e que indicam o seu representante, tais como associações, movimentos sociais e academias. A Prefeitura informou, também, que o Observatório do Milênio de Belo Horizonte é uma rede de cooperação entre poder público, instituições de ensino e centros de pesquisa que produz informações e indicadores sobre a cidade, e promove o monitoramento dos ODS. Finalmente, a Prefeitura informou que a SLU compõe a Secretaria Executiva do Fórum Municipal Lixo e Cidadania, instância de controle social que agrega interessados, instituições governamentais e não governamentais, responsáveis pela gestão dos resíduos sólidos, sendo criado um Grupo de Trabalho de mudanças climáticas relacionadas à Limpeza Urbana. Conforme Manual de Aplicação, deve ser verificado se: 1.Existem mecanismos formais, contínuos e deliberativos de participação, e implementação de políticas ou ações</t>
  </si>
  <si>
    <t>A Prefeitura informou que as reuniões do Comitê de Mudanças Climáticas (CMMCE/Comclima) são abertas, e que cada membro têm a oportunidade de convidar outras pessoas que entenderem importantes para as discussões em pauta, e que todos podem falar e participar das validações dos instrumentos/estudos/ações, nas reuniões ordinárias, extraordinárias e nos Grupos de Trabalho, para elaboração, implementação e monitoramento das ações. A Prefeitura informou, também, que de forma complementar ao CMMCE, a rede do Observatório do Milênio tem as instituições acadêmicas locais como parceiras, e que a Rede é regida por Termo de Cooperação Técnica e Plano de Trabalho, assinados pelos gestores das instituições, com detalhamento das atribuições e responsabilidades de cada partícipe. Conforme Manual de Aplicação, deve ser verificado se se a sociedade civil, o setor privado e o setor acadêmico estão representados nos mecanismos de participação, e se há um espaço de troca onde cada ator contribui com saberes específicos, recursos e experiências, gerando sinergia que potencializa soluções conjuntas e amplia o alcance das políticas climáticas. Observa-se, nas evidências anexadas, quanto à questão da representação dos mecanismos institucionais, dos setores da sociedade civil, do setor privado e da academia, que há ampla participação formalizada, baseada em um mapeamento de partes interessadas, contemplando o critério do Manual. Logo, a classificação é "Estágio Avançado", quanto a esse item.</t>
  </si>
  <si>
    <t>"A Prefeitura informou que , por meio da Análise de Vulnerabilidade às Mudanças Climáticas, identifica territórios vulneráveis a quatro tipologias de riscos (inundações, ondas de calor, deslizamentos e dengue) e por consequência a população exposta nestes territórios. A Prefeitura informou, também, que o COMAM aprovou em 26/03/2025 a utilização do Fundo Municipal de Defesa Ambiental para financiamento de projetos voltados às ""Mulheres em Situação de Vulnerabilidade Climática"". Finalmente, a Prefeitura informou que avalia a exposição do grupo de Catadores e Catadoras na promoção de ações de adaptação. Conforme Manual de Aplicação, deve ser verificado se: 1) todos os grupos sociais e econômicos em situação de vulnerabilidade frente aos impactos da mudança do clima no território foram identificados, considerando a realidade de cada ente</t>
  </si>
  <si>
    <t>A Prefeitura de Belo Horizonte (PBH) informou que o Comitê de Mudanças Climáticas assegura representação da SLU (Secretaria de Limpeza Urbana) na URBEL - Companhia Urbanizadora e de Habitação (responsável pela política de habitação popular e áreas de especial interesse social). A SLU é responsável pelo política de resíduos sólidos, incluindo a concessão da coleta seletiva às associações de catadores e catadoras, bem como da sociedade civil que possibilita representatividade de grupos de vulneráveis. A PBH informou, também, que o Comclima-BH (§ 2º do Art 8º da Lei 11793/2024) deve propiciar participação diversa em relação a classe, faixa etária, gênero, raça e outros marcadores sociais, havendo participação efetiva da juventude, de pessoas negras, de povos indígenas, de mulheres e de pessoas em maior vulnerabilidade socioambiental. Finalmente, a PBH informou que a regulamentação do Comclima está em elaboração. Conforme Manual de Aplicação, deve ser verificado o grau de formalização do mecanismo, a representatividade dos grupos identificados, a dinâmica do mecanismo no sentido de possibilitar que tais grupos efetivamente influenciam as decisões. Observa-se, nas evidências anexadas, e de acordo com a própria informação da PBH, que existe mecanismo formal, porém, "a regulamentação do Comclima está em elaboração". Desse modo, a PBH alcançou o "Estágio Intermediário".</t>
  </si>
  <si>
    <t>"A Prefeitura informou que as estratégias da política de enfrentamento às emergências climáticas é perpassada pelo princípio de Justiça Climática estabelecidas na Lei 11.793/2024, no Decreto de Regulamentação do Conselho, bem como o Plano Local de Ação Vulnerabilidade (Eixo Mais Vozes, Menos Desigualdade</t>
  </si>
  <si>
    <t>"A Câmara Municipal de Belo Horizonte (CMBH)informou que tem debatido e aprovado medidas relacionadas às mudanças climáticas, por exemplo a criação de uma política municipal para enfrentamento à emergência climática e a discussão sobre a redução de emissões de gases de efeito estufa no transporte público, por meio de sua reunião plenária. A Câmara informou, também, que possui uma Comissão Parlamentar Permanente que discute assuntos relacionados ao Meio Ambiente, Defesa dos Animais e Política Urbana, sendo que muitas das ações da Comissão envolvem questões que possuem ligação com mudanças climáticas, e há diversas audiências públicas e visitas técnicas, além de notas técnicas sobre o tema. Finalmente, a Câmara informou que instalou uma Comissão Parlamentar Temporária de Estudo com o objetivo de analisar as condições atuais da infraestrutura de drenagem na cidade, e as obras e ações a ela relacionadas</t>
  </si>
  <si>
    <t>Nos últimos 5 anos, nem o Tribunal de Contas do Estado de Minas Gerais, nem a Controladoria Geral do Município de Belo Horizonte realizaram auditorias que tivessem como foco principal questões relacionadas às mudanças climáticas.</t>
  </si>
  <si>
    <t>Não se aplica</t>
  </si>
  <si>
    <t>Trata-se de Município.</t>
  </si>
  <si>
    <t>Em pesquisa realizada em diversos sites, incluindo o da Prefeitura Municipal de Belém/PA, não fora encontrado um quadro legal e regulatório ou uma lei abrangente que mencione a mudança do clima. Cumpre ressaltar que fora enviado um ofício e um e-mail à Prefeitura de Belém/PA e diversas Secretarias Municipais com vários questionamentos, dentre eles se há ou não um quadro legal e regulatório ou uma lei abrangente que mencione a mudança do clima, confirmando a pesquisa realizada.
Dessa forma, conforme orientação do Manual de Aplicação 2025 - Painel Clima Brasil, especificamente no "escopo e avaliação", pode-se concluir que não existe formalização de uma lei abrangente propriamente dita ou de um marco legislativo que trate dos aspectos gerais das mudanças do clima, a configurar um marco regulatório. No que tange a existência de um Plano de Ação Climática, ressalta-se que o mesmo não tem força normativa, mas sim de encaminhamentos/planos da municipalidade, não passou pelo rito de elaboração de uma lei, não fora aprovada pelo legislativo, dessa forma, não há o que falar em marco regulatório e/ou quadro legal.</t>
  </si>
  <si>
    <t>Diante da inexistência de um marco regulatório/lei abrangente sobre as mudanças do clima no Brasil, no âmbito do Poder Executivo Municipal, conforme critério apontado no "escopo e avaliação" do Manual de Aplicação 2025 - Painel Clima Brasil, não é possível realizar uma análise se há ou não consistência com planos ou estratégias nacionais voltados à temática climática. A ausência de uma legislação consolidada no Município de Belém/PA que trate de forma específica aspectos gerais das mudanças do clima dificulta a verificação de metas, diretrizes e ações coordenadas em âmbito nacional.</t>
  </si>
  <si>
    <t>No caso do município de Belém, verificou-se a inexistência de um quadro legal e regulatório, bem como de dispositivos específicos - sejam leis, regulamentos, documentos ou instrumentos oficiais - emitidos pelo governo municipal que abordam temas específicos relacionados às mudanças climáticas, mitigação e adaptação (existem sim relacionados ao meio ambiente). Diante dessa ausência, conclui-se que não há Mecanismos de Integração instituídos, ou seja, não existem disposições formais que promovam a articulação entre setores, políticas públicas ou níveis de governo no enfrentamento das mudanças climáticas. Em razão dessa lacuna, de acordo com o critério estabelecido no Manual de Aplicação 2025 - Painel Clima Brasil, considero como  Sem Progresso.</t>
  </si>
  <si>
    <t>Por meio da Lei nº 8.233, de 31 de janeiro de 2003, foi criada a Secretaria Municipal de Meio Ambiente e Clima, que trata de assuntos relacionados ao Meio Ambiente, dentre eles os específicos às mudança do Clima. 
Por meio da Lei 10.143, de 10 de fevereiro de 2025 (Artigo 38) alterou/acrescentou-se mais uma competência a referida Secretaria, para tratar de assuntos/temas relacionados às mudanças climáticas.
Dessa forma, de acordo com as orientações do Manual de Aplicação, identificou-se, no município de Belém/PA, a existência de uma estrutura governamental formalmente instituída para tratar de questões ambientais, incluindo aquelas relacionadas às mudanças climáticas. 
No entanto, não foram encontrados indícios de que haja integração efetiva desse tema nos demais órgãos e secretarias do governo municipal. 
Portanto, a avaliação atribuída ao município neste aspecto é de Estágio Inicial, indicando que, embora exista uma estrutura dedicada, ainda faltam mecanismos institucionais para garantir a transversalidade e a integração das ações climáticas no governo como um todo.</t>
  </si>
  <si>
    <t>Cumpre esclarecer que a Lei nº8.233/2003, que criou e estruturou a Secretaria Municipal de Meio Ambiente, o Conselho Municipal de Meio Ambiente e o Fundo Municipal de Meio Ambiente, em seu artigo 3º e respectivos incisos, atribui inúmeras competências institucionais a SEMMA, mas de maneira geral, no que se refere ao meio ambiente.
Ou seja, acerca do conjunto normativo encontrado, ainda que de forma transversal ao tratar do tema em comento, observa-se que há apenas recomendações, incentivos e metas institucionais a serem seguidas pelo Órgão Ambiental, sem que, no entanto, identifique com clareza de quem seriam as atribuições e a responsabilidades por liderar, coordenar, implementar, monitorar, e dar transparência às ações governamentais relacionadas com a emergência climática.</t>
  </si>
  <si>
    <t>Como não há responsabilidades definidas, consequentemente, não há responsável (eis) que detenha (m) posição hierárquica.</t>
  </si>
  <si>
    <t>O Serviço Geológico do Brasil, em atenção às diretrizes estabelecidas pela Lei 12.608/2012 (PNPDC), elaborou em Nov/2021 o Relatório de Setorização de Áreas de Risco Geológico - Belém/PA. Este documento é utilizado até o momento pela Defesa Civil para mapeamento de áreas com riscos de perdas ou danos causados por eventos adversos de natureza geológica.
Em 2023 foi elaborado o Inventário de Emissões de Gases do Efeito Estufa - Belém, fruto da associação da Prefeitura Municipal ao ICLEI. O referido inventário apresenta resultados de emissão de GEE por setores, como transporte, resíduos e energia.
Em 2024 foi elaborado o Plano Local de Ação Climática de Belém - PLAC, fruto da associação da Prefeitura Municipal ao ICLEI. O referido plano, utilizando a metodologia do Painel Intergovernamental sobre Mudanças Climáticas - IPCC, apresenta as principais áreas de Belém com riscos associados às mudanças climáticas, bem como metas de mitigação no curto, médio e longo prazo.
Em 2025 foi elaborada a Análise de Riscos e Vulnerabilidades Climáticas - ARCV, fruto da associação da Prefeitura Municipal ao ICLEI. A referida análise, com metodologia baseada em orientações e normativas de nível internacional e nacional, apresenta cenários e projeções de inundações, erosão costeira e ilhas de calor no município de Belém até 2040.</t>
  </si>
  <si>
    <t>O PPA 2022-2025 do município de Belém estabeleceu, de forma pontual, as seguintes ações: Ação 077 - Implantar Política Municipal de Mudança do Clima e
Em 2024 foi elaborado o Plano Local de Ação Climática de Belém - PLAC, fruto da associação da Prefeitura Municipal ao ICLEI. O referido plano apresenta as principais áreas de Belém com riscos associados às mudanças climáticas, bem como metas de mitigação no curto, médio e longo prazo, porém tal plano, até o momento, não foi legalmente formalizado e é, até a presente data, utilizado de forma incidental nos instrumentos de planejamento.</t>
  </si>
  <si>
    <t>O município de Belém possui o Conselho Municipal de Meio Ambiente - CONSEMMA, criado pela Lei Nº 8.233 de 2003. O referido conselho é composto por vinte e seis membros titulares do Poder Público e treze titulares e respectivos suplentes representantes de entidades da sociedade civil, com funcionamento, finalidades e competências devidamente estabelecidas. Apesar do referido conselho não possuir atribuições específicas relacionadas às mudanças climáticas, este é vinculado à Secretaria Municipal de Meio Ambiente - SEMMA, a qual com a Reforma da Administração Pública Municipal de Belém (Lei N° 10.143 de 10/02/25), passou a englobar a competência de "planejar, coordenar, controlar, executar e avaliar as políticas municipais de meio ambiente e mudança do clima do Município de Belém (...)".
O conselho envolve um número significativo de secretarias e setores relevantes, sendo composto por vinte e seis membros titulares do Poder Público, entre quais se destacam os secretários de: meio ambiente, urbanismo, habitação e saneamento e
Após contato direto com a Prefeitura de Belém, foram encaminhadas cópias das ATAS das reuniões do CONSEMMA, as quais comprovam seu funcionamento. No entanto, não foram encontradas evidências relevantes quanto a concretude de sua atuação, no que tange a mudanças climáticas.</t>
  </si>
  <si>
    <t>De acordo com a página oficial do ICLEI, o município de Belém se associou à rede em Março de 2022
A associação do município de Belém ao ICLEI rendeu resultados relevantes até o momento. Tais evidências podem ser observadas por meio da produção da Análise de Riscos e Vulnerabilidades Climáticas de Belém/PA - ARVC e do Plano Local de Ação Climática de Belém - PLAC
Atualmente, além de associado ao ICLEI, o município de Belém também aderiu ao Pacto Global de Prefeitos pelo Clima e Energia (GCoM) como cidade-piloto.</t>
  </si>
  <si>
    <t>Atualmente o município de Belém compõe a Comissão Tripartite Estadual - CTE
A representatividade é adequada, uma vez que o município de Belém é representado pela SEMMA na referida comissão
Existem evidências da participação no município de Belém na CTE, as quais podem ser demonstradas por meio da Ata 1ª Reunião da CTE, realizada em 12 de junho de 2024, publicada no sítio oficial Ministério do Meio Ambiente e Clima.</t>
  </si>
  <si>
    <t>O município de Belém instituiu o Forum Municipal sobre Mudanças Climáticas de Belém, por meio do Decreto Nº 107.851 de 2023. O referido fórum é um mecanismo formalizado, contínuo e deliberativo que prevê a participação de diferentes atores não governamentais.
Conforme a lei que o instituiu, o fórum é estruturado de forma a permitir que os atores não governamentais interajam regularmente com os órgãos municipais. Além disso, a estrutura do fórum é composta por: Coordenação, Plenário e Secretaria Executiva, permitindo que as perspectivas expressas pelos atores não governamentais sejam levadas em consideração de forma consultiva.
Todavia, não foram encontradas evidências relevantes no que diz respeito a relatórios de resposta institucional à sociedade.</t>
  </si>
  <si>
    <t>"O município de Belém instituiu o Forum Municipal sobre Mudanças Climáticas de Belém, por meio do Decreto Nº 107.851 de 2023. O referido fórum é um mecanismo formalizado, contínuo e deliberativo que prevê a participação de diferentes atores não governamentais, tais como: Entidades representativas da classe trabalhadora/categoria profissional</t>
  </si>
  <si>
    <t>O município de Belém elaborou o Plano Local de Ação Climática (PLAC) e o Cadastro de Riscos e Vulnerabilidades Climáticas (CRVC). No entanto, tais instrumentos não identificam explicitamente os grupos sociais e/ou econômicos em situação de vulnerabilidade aos impactos das mudanças climáticas, apesar de alguns desses grupos já constarem no Decreto Municipal nº 107.851/2023 - PMB, de 27 de julho de 2023, que institui o Fórum Municipal sobre Mudanças Climáticas de Belém.
Conforme art. 1° do referido Decreto, o Fórum é uma instância consultiva para elaboração do PLAC.</t>
  </si>
  <si>
    <t>No âmbito do Município de Belém foi identificado o  Decreto Municipal nº 107.851/2023 - PMB, de 27 de julho de 2023, que institui o Fórum Municipal sobre Mudanças Climáticas de Belém, identifica  explicitamente os grupos sociais e/ou econômicos em situação de vulnerabilidade aos impactos das mudanças climáticas. Esse Decreto menciona que os grupos representantes da sociedade civil organizada, possuem a função de órgão superior consultivo sobre as matérias de competência.</t>
  </si>
  <si>
    <t>Não identificou-se quadro regulatório e mesmo existindo o PLAC e o CVRV tais instrumentos não identificam explicitamente os grupos sociais e/ou econômicos em situação de vulnerabilidade aos impactos das mudanças climáticas e não incorporam metas e indicadores que visem reduzir as vulnerabilidades.</t>
  </si>
  <si>
    <t>No site da Câmara Municipal de Belém (https://cmb.pa.gov.br/portal-da-transparencia/estrutura-organizacional/comissoes/) constatou-se na estrutura organizacional a instalação da Comissão de Meio Ambiente e Clima. A referida Casa Legislativa promove ações ligadas ao meio ambiente, ações sustentáveis, e inclui a realização de sessões especiais e planos de mudanças climáticas (                    https://cmb.pa.gov.br/mudancas-climaticas-em-belem-foram-debatidas-em-sessao-da-camara/)  ação climática e a participação em eventos como a COP30 e o Fórum Municipal sobre Mudanças Climáticas.
Apenas a título de exemplo, em 14 de setembro de 2022, o tema "mudanças climáticas" já era debatido em Belém em sessão da Câmara dos Vereadores (https://cmb.pa.gov.br/mudancas-climaticas-em-belem-foram-debatidas-em-sessao-da-camara/).
Do mesmo modo, a Câmara Municipal de Belém realizou no dia 24 de abril de 2025, uma Sessão Especial para discutir justiça ambiental e mudanças climáticas, e teve como objetivo ampliar o debate sobre os efeitos do desequilíbrio climático na capital paraense. A referida sessão contou com a participação da sociedade civil nos processos de planejamento e execução das políticas relacionadas à Conferência do Clima (https://repam.org.br/cop30/articulacao-da-repam-para-a-cop30-participa-de-sessao-especial-sobre-justica-climatica-em-belem/).</t>
  </si>
  <si>
    <t>A Controladoria Geral do Município (CGM) e a Procuradoria Geral do Município de Belém (PGM) foram notificadas por ofício e participaram de reunião com auditores do TCM/PA para prestar esclarecimentos sobre a atuação municipal frente às mudanças climáticas. A CGM respondeu negativamente às perguntas encaminhadas, informando a ausência de ações específicas, marcos legais, programas ou estruturas institucionais voltadas ao tema. A PGM não apresentou resposta, nem no prazo legal nem posteriormente. Assim, todos os questionamentos dirigidos aos dois órgãos tiveram respostas insatisfatórias ou inexistentes.
No âmbito do controle externo, o TCM/PA já atuava em questões ambientais, e, em fevereiro de 2023, criou a Coordenadoria de Meio Ambiente (CMA), vinculada à DIPLAMFCE, para tratar especificamente do tema, incluindo mudanças climáticas.
Adicionalmente, em 22 de maio de 2025, auditores do TCM/PA participaram do seminário "Intercâmbio de Aprendizagens: Integração das Iniciativas de Adaptação Climática e Redução de Riscos de Desastres", promovido pelo Escritório das Nações Unidas para Redução do Risco de Desastres (UNRRD), em parceria com a Prefeitura de Belém/SEMMA. Por fim, apesar dos esforçoes para tratar do tema mudanças climáticas, o TCM não tem uma auditoria propriamente dita. A evidência anexada não se trata de uma auditoria.</t>
  </si>
  <si>
    <t>Não existe Poder Judiciário Municipal, por essa razão não há como aferir uma classificação específica.</t>
  </si>
  <si>
    <t>Não existem leis e normas especificas no município de Boa Vista que tratem de aspectos gerais das mudanças do clima.</t>
  </si>
  <si>
    <t>Não existe uma estrutura governamental formal para tratar dos aspectos relacionados às mudanças climática no município de Boa Vista.</t>
  </si>
  <si>
    <t>Não existe um mapeamento dos riscos e das vulnerabilidades no município de Boa Vista associados à mudança do clima.</t>
  </si>
  <si>
    <t>No município de Boa Vista não existem  mecanismos institucionais intragovernamentais para enfrentamento dos desafios relacionados com a mudança do clima.</t>
  </si>
  <si>
    <t>O município de Boa Vista não participa de mecanismos institucionais do mesmo nível federativo para o enfrentamento de desafios comuns relacionados com a mudança do clima.</t>
  </si>
  <si>
    <t>O município de Boa Vista não participa de mecanismos institucionais que possibilitam a coordenação vertical entre entes políticos para o enfrentamento de desafios comuns relacionados com a mudança do clima.</t>
  </si>
  <si>
    <t>Não existem mecanismos instituídos pelo município de Boa Vista que permitam a participação de atores não governamentais em debates substanciais sobre a ação climática.</t>
  </si>
  <si>
    <t>O município de Boa Vista não realizou trabalho de identificação de grupos sociais e/ou econômicos em situação de vulnerabilidade frente aos impactos das mudanças climáticas em seu território.</t>
  </si>
  <si>
    <t>O município de Boa Vista não possui políticas e planos climáticos instituídos e não identificou grupos sociais e/ou econômicos em situação de vulnerabilidade frente aos impactos das mudanças climáticas.</t>
  </si>
  <si>
    <t>A Câmara Municipal de Boa Vista possui comissão permanente que envolve também a temática ambiental. No entanto, não há evidências de que foram realizadas nessa comissão atividades com o tema de mudanças 
climáticas.</t>
  </si>
  <si>
    <t>Não foram realizadas pela Controladoria do município de Boa Vista, nos últimos 5 anos, auditorias que tenham como foco principal as mudanças climáticas.</t>
  </si>
  <si>
    <t>Não se aplica a município.</t>
  </si>
  <si>
    <t>A Lei Orgânica Municipal de Campo Grande - MS 1990, art. 131, parágrafo único, traz o direcionamento da política municipal considerando a sustentabilidade ambiental. No Plano Diretor de Desenvolvimento Urbano Ambiental de Campo Grande ( LC 341/2019 PDDUA) estabelece nos art.47, inciso XII, art.54,I e VI, art. 55, XII, e monta arcabouço que possibilita a integração dos aspectos das mudanças climáticas nos instrumentos de planejamento governamental. Quanto à política, há um projeto de lei que cria o Plano Municipal de Mitigação e Adaptação às Mudanças do Clima (PMMAMC) mas ainda está em fase de tramitação Legislativa ( PL nº 11.438/2024). Outros normativos: DECRETO n. 12.680, DE 9 DE JULHO DE 2015 - O PLANO DIRETOR DE DRENAGEM URBANA DO MUNICÍPIO DE CAMPO GRANDE - MS. Lei de uso e ocupação do solo LC 74/2005, art. 36, II.</t>
  </si>
  <si>
    <t>Considerando a Lei Orgânica do Município de Campo Grande, Lei Complementar nº 341/2018, Decreto nº 12.680/2015, Lei Complementar nº 74/2005 em comparação com a Lei nº 12.187/2009 que insitui a Política Nacional sobre Mudança do Clima - PNMC é demonstrado que o município possui um arcabouço legal que aborda a sustentabilidade, a proteção ambiental e o planejamento urbano, elementos que contribuem para a resiliência climática e se alinham a alguns princípios da PNMC, especialmente no que se refere à adaptação ([Art. 4º, V], [Art. 5º, III] da Lei nº 12.187/2009 aos efeitos da mudança do clima (drenagem, saneamento, ordenamento territorial). No entanto, há uma em relação à mitigação das mudanças climáticas. Os documentos municipais não apresentam metas de redução de GEE para o município ou inventários de emissões, nem detalham a harmonização de prazos e metas de mitigação e adaptação com as metas nacionais estabelecidas pela PNMC ([Art. 12] da [Lei nº 12.187/2009]). Tampouco mencionam a compatibilidade de metodologias de reporte com os padrões federais ([Art. 6º, XIII] da [Lei nº 12.187/2009]). Portanto, embora haja harmonia em termos de princípios gerais de sustentabilidade e algumas ações de adaptação, a consistência plena e detalhada com a PNMC, especialmente no que tange à mitigação de GEE e ao alinhamento de metas quantificáveis, não é evidente nos documentos analisados.</t>
  </si>
  <si>
    <t>O PPA 2022-2025 e a LDO 2025 mencionam a sustentabilidade como diretriz e princípio norteador, respectivamente. O PPA 2022-2025 inclui o macrodesafio "CAMPO GRANDE + DESENVOLVIDA E SUSTENTÁVEL", que visa "zelar pela preservação e renovação do ecossistema e sua biodiversidade, fomentando o desenvolvimento econômico, social e sustentável" [2, p. 2]. A LDO 2025 [3, p. 1] afirma que "As políticas do Município adotarão uma gestão eficiente na aplicação dos recursos públicos, com ênfase no desenvolvimento social e econômico, amparado na sustentabilidade. O "Decreto nº 15.699" - Comitê Municipal de Enfrentamento às Mudanças Climáticas (COMEC), estabelece sua finalidade de "promover, estimular e planejar ações voltadas a mitigação das ocorrências de eventos climáticos, bem como o intercâmbio de informações relacionados às mudanças climáticas no município" [5, p. 4]. Embora existam o Comitê Municipal de Enfrentamento às Mudanças Climáticas (COMEC) e a menção à sustentabilidade no PPA 2022-2025 e na LDO 2025, as disposições legais são consideradas genéricas ou vagas. É necessário detalhar a incorporação dos aspectos climáticos nos instrumentos de planejamento e nas políticas setoriais para que o município avance.</t>
  </si>
  <si>
    <t>O município possui um Comitê Municipal de Enfrentamento às Mudanças Climáticas (COMEC), uma estrutura governamental formal para lidar com as questões de mudança do clima [5, p. 4]. Este comitê tem a finalidade de "promover, estimular e planejar ações voltadas a mitigação das ocorrências de eventos climáticos, bem como o intercâmbio de informações relacionados às mudanças climáticas no município". Embora o decreto estabeleça a estrutura, não há evidências diretas nos documentos fornecidos sobre a atuação prática e contínua desta estrutura. Porém há uma estrutura formal dedicada ao clima (COMEC).</t>
  </si>
  <si>
    <t>O Decreto n. 15699/2023 instituiu o Comitê Municipal de Enfrentamento às Mudanças Climáticas (COMEC) com coordenação da PLANURB, define em seu Art. 2º algumas competências para o comitê, como subsidiar a elaboração de estudos e promover o intercâmbio de informações. E o Decreto 16149/2025 dispõe sobre a competência e aprova a estrutura básica da Agência Municipal de Meio Ambiente e Planejamento Urbano (PLANURB) de Campo Grande e como uma entidade autárquica com responsabilidades claras relacionadas ao meio ambiente e planejamento urbano, incluindo a promoção do desenvolvimento sustentável além ações de mitigação e adaptação às mudanças climáticas(Inciso XXII). Entretanto, algumas responsabilidades não foram atribuídas a nenhum dos atores envolvidos (lacuna) e/ou há sobreposições relevantes que podem impactar significativamente a eficiência das ações climáticas.</t>
  </si>
  <si>
    <t>A liderança política está sob responsabilidade direta do Gabinete da Prefeita, e o Gabinete faz parte da Coordenação técnica da COMEC (Comitê Municipal de Enfrentamento às Mudanças Climáticas) Art. 3, I, b, garantindo peso institucional ao tema e articulação com os diferentes setores da administração. Outro coodenador técnico do COMEC é da Planurb, com acesso direto ao Executivo Municipal.</t>
  </si>
  <si>
    <t>Campo Grande possui mapeamentos de riscos de alagamentos e deslizamentos realizados em conjunto com a Defesa Civil e o Centro Nacional de Monitoramento e Alertas de Desastres Naturais (CEMADEN).  E possui Índice de Relevância Ambiental - IA, que incentivo à implantação de dispositivos de controle de drenagem combinado ao plantio e a manutenção de cobertura vegetal. Há o O SISGRAN é o Sistema Municipal de Indicadores de Campo Grande, com mapas, plano diretor, carta de drenagem, de vulnerabilidades, etc.</t>
  </si>
  <si>
    <t>"O Plano diretor de Campo Grande contempla nas políticas setoriais prioritárias, capítulo III Arts. 49, XII, 56 I e V e 57 II (Mobilidade e Acessibilidade Urbana e Politica Municipal de Meio Ambiente), contemplam: inter-relações entre a mobilidade urbana e o meio
ambiente, sob a ótica das mudanças climáticas</t>
  </si>
  <si>
    <t>Há o comitê Municipal de Enfrentamento às Mudanças Climáticas (COMEC), instituido pelo Decreto n.15.699, composto (artigo 3.) pela secretaria de Meio Ambiente, Gabinete do Prefeito, e diversas secretarias e órgãos relevantes como de Infraestrutura, Educação, Saúde, Defesa Civil, ou seja, possui uma coordenação horizontal entre setores na prefeitura de Campo Grande. Houve pelo menos uma reunião do comitê em 21/02/2024. Não foram disponibilizadas outras evidências que apresentem a atuação, como relatórios ou deliberações conjuntas.</t>
  </si>
  <si>
    <t>Campo Grande faz parte do ICLEI - Governos Locais pela Sustentabilidade, mas não foram encontrados documentos que provem uma participação e interação regular do município nesta rede de cooperação climática. Possui termo de cooperação com  WRI Brasil, para soluções baseadas na Natureza em cidades ("acelarador") - teve validade 9 meses e pela data de assinatura acabou em novembro de 2023. O Município participou de Curso Urgência Climática: implementando soluções em territórios urbanos vulneráveis, promovido pelo WRI Brasil, também há dois anos (2023). Também participou do Projeto Cidade Presente (Ministério das Cidades e GIZ) em 2023. Não há evidência ATUAL da efetiva participação do representante na dinâmica existente que viabilize a interação regular entre os atores (reuniões, encontros, seminários).</t>
  </si>
  <si>
    <t>O município tem atuado junto ao Governo do Estado de MS em agendas climáticas, como o Roadmap Carbono Neutro, e junto ao Governo Federal no Programa Cidades Modelo Verdes Resilientes. Há participação em fóruns interestaduais coordenados pela Semadesc e apoio técnico do BID. Portaria GM/MMA n. 1.022, de 27 de março de 2024 - Comissão Tripartite Estadual de Mato Grosso do Sul - A Planurb passou cadeira como representantes do órgão ambiental da Capital do Estado. Não há evidências de participação do representante nas reuniões ou encontros que viabilizam a interação regular (2025) entre os atores.</t>
  </si>
  <si>
    <t>O município de Campo Grande-MS demonstra a existência de mecanismos formais, contínuos e deliberativos de participação (CMMA e COMEC) que atuam tanto na concepção quanto na implementação de políticas climáticas/ambientais. Há indicações de interação regular e processos de tomada de decisão (composição de diretrizes, proposições e assessoramento). No entanto, a documentação NÃO apresenta evidências claras de relatórios de resposta institucional à sociedade.</t>
  </si>
  <si>
    <t>A existência de conselhos e comitês com participação da sociedade civil e a convocação de conferências indicam que há uma representação formal. No entanto, a documentação não demonstra explicitamente uma "ampla participação formalizada, baseada em um mapeamento de partes interessadas" para todas as categorias (sociedade civil, setor privado e academia) nos mecanismos de participação relevantes para as políticas climáticas, o que seria necessário para um "Estágio avançado". A forma como o CMMA se insere no COMEC como "grupo de suporte" sugere que, embora exista representação, ela pode ser considerada insuficiente em termos de amplitude e engajamento direto e substancial de todas as categorias na elaboração e implementação das políticas climáticas.</t>
  </si>
  <si>
    <t>PLANURB (Instituto Municipal de Planejamento Urbano) mantém um Sistema Municipal de Indicadores Georreferenciados para o Planejamento e a Gestão de Campo Grande, que é uma nova ferramenta que disponibiliza dados e mapas de Campo Grande na internet. No SISGRANMAPS é possível encontrar mapeamento relacionados a diversos temas tais como Delimitação territorial, Plano Diretor, Equipamentos Públicos, Esporte, Lazer e Turismo, Infraestrutura e Serviços, Meio Ambiente, Patrimônio Cultural e Vulnerabilidade. Entretanto, falta a identificação dos grupos sociais e econômicos em situação de vulnerabilidade frente aos impactos da mudança do clima no território de maneira direta, podendo ser idenficade se juntar diversos itens mapeados.</t>
  </si>
  <si>
    <t>A Prefeitura tem promovido audiências e rodas de conversa nas regiões mais vulneráveis, especialmente durante as revisões do Plano Diretor e nas campanhas de arborização, incorporando sugestões de comunidades locais.Pode-se dizer que as audiências são mecanismos formais, mas eles não são utilizados ou são utilizados de maneira restrita (uma consulta pontual, por exemplo), não há evidências da utilização do comitê de enfrentamento às mudanças climáticas de maneira a possibilitar que a comunidade realmente possa influenciar nas decisões, nem mesmo há reuniões rotineiras.</t>
  </si>
  <si>
    <t>Não foram identificadas estratégias, políticas e planos climáticos que dedicam atenção especial aos grupos sociais e/ou econômicos vulneráveis e incorporam uma perspectiva equitativa, ou seja, estabelecem medidas/ provisões para garantir benefícios e custos equitativos das soluções climáticas.</t>
  </si>
  <si>
    <t>A Câmara Municipal possui uma Comissão Permanente de Meio Ambiente, atuante, com audiências audiências públicas, debatendo medidas que precisam ser adotadas na cidade. Noticiado que avalia os sinais da falta de um plano de mitigação das mudanças climáticas.</t>
  </si>
  <si>
    <t>Não foram realizadas (nem estão atualmente em realização) auditorias no ente sob avaliação, seja pelo tribunal de contas, seja pela controladoria, nos últimos 5 anos, que tenha como foco principal as mudanças climáticas.</t>
  </si>
  <si>
    <t>Este item não se aplica à avaliação dos governos municipais.</t>
  </si>
  <si>
    <t>O Estado do Ceará possui um marco legislativo robusto e atualizado sobre mudança do clima, instituído pela Lei Estadual nº 16.146/2016, que define princípios, objetivos, diretrizes e instrumentos específicos para mitigação e adaptação, conforme recomenda as políticas nacionais e internacionais. O arcabouço legal é complementado por decretos que formalizam compromissos internacionais (como Race to Zero e Under2 Coalition) e estabelecem metas intermediárias e mecanismos de governança multissetorial. Há integração com políticas de combate à desertificação, educação ambiental e incentivo à participação social, demonstrando aderência às melhores práticas e atualização do marco normativo. Dessa forma, o Estado demonstra avançado comprometimento institucional e normativo com a agenda climática.</t>
  </si>
  <si>
    <t>As evidências submetidas ao Painel Clima Brasil atestam efetivamente o cumprimento dos requisitos 1 a 4 para o quadro legal e regulatório da governança climática estadual, demonstrando a robustez do arcabouço normativo, a precisão institucional e a articulação de políticas correlatas e mecanismos de transparência.
Contudo, não foi apresentada evidência que comprove a compatibilidade das metodologias adotadas para inventário e reporte de emissões com os padrões federais ou do IPCC (atributo 5), etapa imprescindível para a classificação no "Estágio avançado" conforme a metodologia vigente.</t>
  </si>
  <si>
    <t>O Estado do Ceará apresenta mecanismos robustos e formalizados de integração entre diferentes setores, níveis de governo e áreas institucionais na agenda climática. A criação do Grupo Gestor Estadual para implementação do Plano ABC+CE com sua composição plural (envolvendo secretarias estaduais, órgãos federais, universidades, representantes do setor produtivo, ONGs e setor financeiro) evidencia articulação intersetorial e interinstitucional eficiente e permanente. A transversalização da pauta climática no novo Plano Plurianual (PPA 2024-2027) por meio de metodologia participativa, aliada à coordenação da implementação da Política Estadual sobre Mudanças Climáticas pela SEMA em colaboração com outros órgãos, garante articulação horizontal e vertical tanto no desenho quanto na execução das ações. Esses arranjos promovem sinergia, evitam sobreposições, ampliam o alcance das políticas e asseguram coerência das ações climáticas no estado. Dessa forma, o Estado atinge o estágio avançado para o critério de mecanismos de integração.</t>
  </si>
  <si>
    <t>A análise da Lei Complementar Nº 231, de 13 de janeiro de 2021, revela a existência de uma sofisticada e institucionalizada estrutura governamental voltada à gestão ambiental no âmbito do Estado do Ceará. O Sistema Estadual do Meio Ambiente - SIEMA engloba diferentes instâncias de gestão, coordenação, deliberação e execução de políticas ambientais, incluindo a Secretaria do Meio Ambiente (SEMA), o Conselho Estadual do Meio Ambiente (COEMA), a Superintendência Estadual do Meio Ambiente (SEMACE), a Câmara Recursal de Infrações Ambientais (CRIA), além de órgãos setoriais e locais. Cada órgão possui atribuições claramente definidas por lei, há mecanismos formais de articulação interinstitucional, fluxo hierárquico normatizado para deliberações, julgamento de infrações e previsão de capacitação continuada para os servidores do sistema. Considerando essas evidências, classifica-se o item G2.A como atendido em sua totalidade (estrutura governamental completa/formalizada), nos termos do manual de referência.</t>
  </si>
  <si>
    <t>A Lei Complementar nº 231/2021 assegura que as responsabilidades institucionais para a área ambiental do Estado do Ceará estejam amplamente formalizadas, detalhadas e claramente distribuídas entre os órgãos do SIEMA. Cada entidade possui atribuições específicas, previstas de forma explícita na lei, e o sistema dispõe de mecanismos para uniformização de entendimento e resolução de possíveis conflitos. A existência de regramento estruturado, detalhamento de competências e de instâncias recursais bem definidas indica grau de maturidade elevado para o quesito "responsabilidades definidas". Portanto, a classificação AVANÇADO é plenamente justificada.</t>
  </si>
  <si>
    <t>Após análise das normativas estabelecidas pela Lei Complementar nº 231/2021, observa-se que o Estado do Ceará apresenta um arcabouço normativo robusto para a liderança ambiental, evidenciado na clareza das atribuições do órgão central (SEMA), na existência de instâncias colegiadas (COEMA) e na articulação interinstitucional prevista em lei. Há ainda previsão de rotinas de capacitação, decisão colegiada, e liderança ativa na coordenação e controle das políticas públicas ambientais. Essas evidências atendem plenamente aos critérios definidos para o Nível Avançado.</t>
  </si>
  <si>
    <t>Não há mapeamento estadual abrangente, atualizado e com base científica dos riscos e vulnerabilidades climáticas no Ceará. As evidências apresentadas referem-se a planos de contingência específicos para a zona costeira, que não atendem aos critérios de abrangência e diversidade de riscos exigidos para o estágio avançado. Também não foi localizada documentação sobre mapeamento dos riscos de seca e desertificação, que são fundamentais para o contexto estadual. Além disso, um inventário de GEE não se configura como instrumento de avaliação de riscos e vulnerabilidades climáticas. Assim, o Estado encontra-se no estágio inicial para este item, com iniciativas pontuais e setoriais, sem abordagem sistêmica.</t>
  </si>
  <si>
    <t>O contrato não silencia completamente sobre o tema  -  ele oferece insumos e prevê recomendações, também sensibilização institucional.
Contudo, não institui, formaliza ou integra diretamente a temática dos riscos climáticos em instrumentos específicos de planejamento estadual.
O grau de integração é limitado à disponibilização de subsídios técnicos (dados, inventário), deixando a integração formal desses riscos a serem realizados em etapas posteriores ou em contratos/outros planos ainda não implementados.</t>
  </si>
  <si>
    <t>O estado do Ceará possui instância formal de coordenação horizontal intragovernamental para agenda climática (FCMC) instituída por decreto e regulamento interno, com participação de órgãos e entidades públicas estaduais, reuniões regulares (bimestrais) e previsão de criação de câmaras técnicas e grupos de trabalho temáticos. Há colaboração técnica e administrativa entre diferentes secretarias e fundações públicas. Entretanto, o caráter essencialmente consultivo da instância, sem força deliberativa obrigatória, limita a efetividade de implementação direta nos demais órgãos do executivo estadual. Recomenda-se o fortalecimento do papel deliberativo, o registro sistemático de encaminhamentos conjuntos e a incorporação obrigatória das decisões nos planos/setores participantes.</t>
  </si>
  <si>
    <t>O Estado do Ceará apresenta atuação intergovernamental altamente estruturada e ativa na agenda ambiental e climática, com participação institucionalizada em todas as Câmaras Técnicas e Grupos de Trabalho da ABEMA, reunião regular em fóruns interestaduais (exemplo: CT GERCO), deliberação de pautas conjuntas, produção de documentos e definição de encaminhamentos integrados para grandes eventos, programas e estratégias nacionais como Projeto Orla, PNGC, missões internacionais e COP 30. As evidências comprovam a liderança e efetiva articulação do Estado do Ceará nas políticas ambientais em âmbito federativo, com capacidade de influência, produção normativa e atuação integrada com outros entes, configurando 'estágio avançado' segundo os critérios do Painel ClimaBrasil.</t>
  </si>
  <si>
    <t>O item G4C ("mecanismos de coordenação vertical") está classificado como AVANÇADO. O arcabouço institucional dispõe de instrumentos formais e efetivos de articulação entre diferentes níveis de governo, operacionalizados por meio de assembleias, conselhos e contratos específicos. Há registros contínuos de deliberação conjunta e resolução de conflitos, o que denota maturidade de governança, ainda que haja espaço para aprimoramentos quanto à universalização da participação e à equalização de capacidades dos entes federados.</t>
  </si>
  <si>
    <t>A avaliação do item G5.A identificou a existência de canais de participação social formalizados, como conselhos consultivos e consultas públicas previstas em instrumentos de políticas climáticas. Contudo, observou-se que os processos não são totalmente sistematizados e carecem de regulamentação clara sobre periodicidade, representatividade de grupos vulneráveis e efetiva influência nas decisões. Evidências apontam a realização de audiências públicas esporádicas e a criação de espaços de diálogo, como comitês temáticos. Porém, registram-se lacunas na diversificação dos atores envolvidos (especialmente comunidades tradicionais e setor privado) e na transparência quanto ao impacto das contribuições nas ações governamentais. A classificação como intermediária reflete a estruturação inicial dos mecanismos, que precisam avançar em padronização, inclusão e vinculação estratégica aos ciclos de políticas públicas. Recomenda-se a formalização de protocolos para garantir participação contínua e representativa.</t>
  </si>
  <si>
    <t>A avaliação identificou que o ente possui canais formais para participação de sociedade civil e setor privado em comitês climáticos, documentados em editais e regimentos internos. Contudo, observou-se sub-representação de comunidades tradicionais e ausência de critérios objetivos para seleção de participantes, conforme art. 5º da Lei 9.985/2000. Os procedimentos atendem parcialmente ao previsto no manual, configurando implementação parcial com necessidade de aprimoramento na governança participativa.</t>
  </si>
  <si>
    <t>O edital (EDITALAJAINDÍGENAS) demonstra avanço parcial na identificação de grupos vulneráveis, atendendo parcialmente aos critérios do manual (p.37). Há reconhecimento explícito de jovens indígenas em situação de vulnerabilidade social, com exigência comprobatória de residência em territórios indígenas, pertencimento étnico-racial (ANEXO IV) e vinculação ao CadÚnico (item 3.1c).Não há evidências de integração desta política com estratégias estaduais/municipais de clima ou menção a instrumentos normativos setoriais (planos, leis), limitando-se a um programa específico sem transversalidade institucional. Essa lacuna impede a classificação como "avançado", conforme exigido para pontuação integral (100%).</t>
  </si>
  <si>
    <t>"A SEMACE implementa mecanismos básicos de participação (audiências públicas), porém limitados ao licenciamento ambiental e sem comprovação de: Diretrizes claras para inclusão de povos tradicionais, mulheres ou comunidades periféricas</t>
  </si>
  <si>
    <t>A classificação em Estágio inicial fundamenta-se na incorporação parcial da equidade nas políticas climáticas. A Lei 14.198/2008 prioriza agricultores familiares e populações tradicionais no combate à desertificação, garantindo acesso a recursos hídricos e práticas sustentáveis.  Porém, essa perspectiva é limitada ao tema da desertificação e não se estende a outros eixos (energia, mobilidade urbana,etc.)</t>
  </si>
  <si>
    <t>A Assembleia Legislativa do Estado do Ceará mantém a Comissão de Meio Ambiente, Mudanças Climáticas e Desenvolvimento do Semiárido (Resolução Interna - Art. 54, X), conforme organograma atualizado.
Em relação a atuação Transversal observou-se que há registros de audiências públicas específicas sobre emergência climática (Notícias 47.913 e 47.452), demonstrando engajamento além da pauta ambiental geral.
Constatou-se também a implementação de projetos como educação climática nas escolas (Notícia 47.106) e participação em eventos internacionais (COP28 - Notícia 44.977).
A inclusão formal do termo "Mudanças Climáticas" na denominação da comissão reforça o direcionamento estratégico.
Embora exista estrutura dedicada e atividades comprovadas, a comissão mantém competência mista (meio ambiente + clima), não atendendo ao critério de exclusividade requerido para classificação avançada. A transversalidade identificada em outras comissões complementa, mas não substitui a necessidade de foco específico para alcançar o estágio superior.</t>
  </si>
  <si>
    <t>A auditoria tem como foco principal a desertificação, reconhecida pela ONU como um fenômeno diretamente vinculado às mudanças climáticas (Convenção das Nações Unidas de Combate à Desertificação - UNCCD).
O relatório aborda explicitamente a integração das ações estaduais com os Objetivos de Desenvolvimento Sustentável (ODS 15 - Vida Terrestre) e a Agenda 2030, que incluem dimensões críticas da governança climática.
As fragilidades identificadas (falta de articulação interfederativa, ausência de mecanismos de monitoramento e baixa efetividade de políticas públicas) afetam diretamente a capacidade do Estado de implementar estratégias de adaptação climática.
A desertificação é tratada como um problema sistêmico vinculado a fatores climáticos, sociais e econômicos, conforme definições internacionais.</t>
  </si>
  <si>
    <t>A avaliação das evidências apresentadas pelo TJCE, à luz da metodologia do Painel ClimaBrasil e dos critérios do Art. 6º da Resolução CNJ 433/2021, demonstra que o órgão não logrou comprovar a implementação de quaisquer das cinco ações obrigatórias estabelecidas para a governança climática judicial. Os documentos encaminhados (Portaria 225/2018, PLS 2021-2026, Plano de Descarbonização e parcerias para coleta seletiva) vinculam-se exclusivamente à Resolução CNJ 400/2021 (logística sustentável), sendo irrelevantes para os requisitos específicos da Resolução 433/2021, que exige:
Estruturação de unidades técnicas especializadas em mudanças climáticas
Promoção de jurisprudência alinhada às políticas climáticas nacionais
Integração de critérios climáticos em licitações e contratos administrativos do Judiciário
Capacitação permanente de magistrados em direito climático
Estabelecimento de indicadores de desempenho ambiental para processos judiciais.
A Portaria 363/2025, citada como evidência, não pode ser considerada por referir-se a período posterior ao ciclo avaliativo (2024-2025), configurando erro documental. Adicionalmente, a Meta 10 do CNJ (cuja superação foi alegada) trata de celeridade processual, não de efetividade climática. Capacitações em coleta seletiva e parcerias para reciclagem, ainda que relevantes para sustentabilidade interna, não se equiparam às obrigações da Resolução 433/2021.</t>
  </si>
  <si>
    <t>A análise da legislação municipal e a pesquisa online confirmam que Cuiabá não possui um quadro legal e regulatório ou uma lei abrangente que trate especificamente das mudanças climáticas. A Lei Complementar nº 516/2022 (Código de Obras) não faz qualquer menção ao tema, focando-se estritamente em normas urbanísticas.
Adicionalmente, a cidade está entre as capitais brasileiras que ainda não elaboraram um Plano Municipal de Ação Climática, que seria o principal instrumento para formalizar políticas de mitigação e adaptação. Embora existam debates e ações pontuais sobre o clima, a ausência de qualquer instrumento normativo municipal (lei geral, plano com força de lei ou mesmo menções em leis setoriais relevantes) que estabeleça diretrizes, metas ou responsabilidades sobre o assunto, enquadra o município na classificação "Sem progresso", conforme os critérios de avaliação.</t>
  </si>
  <si>
    <t>Não existem disposições específicas que promovam a integração de aspectos das mudanças do clima nos instrumentos de planejamento, nem nos planos e políticas dos setores mais importantes do contexto local.</t>
  </si>
  <si>
    <t>Não há evidências que comprovem a existência de uma estrutura governamental formal, como uma comissão, conselho ou departamento, efetivamente instalada e em funcionamento para lidar com as mudanças climáticas em Cuiabá. As responsabilidades relacionadas ao meio ambiente e de desastres estão distribuídas entre a SMADESS e a Defesa Civil de forma geral, sem a criação de um arranjo institucional específico, transversal e com respaldo legal dedicado exclusivamente à pauta climática, conforme exigido pelos critérios de avaliação.</t>
  </si>
  <si>
    <t>A pesquisa em fontes oficiais demonstra que as funções essenciais para uma governança climática eficaz - liderar, coordenar, implementar e monitorar - não foram formalmente atribuídas a nenhum ator específico no governo municipal de Cuiabá.</t>
  </si>
  <si>
    <t>A análise evidencia três fragilidades principais na governança climática municipal. Primeiramente, não há um responsável formal pela liderança da agenda climática: nenhum ato normativo confere à SMADESS ou a outro órgão autoridade específica para liderar e articular a pauta. Embora a SMADESS atue na proteção ambiental, sua posição no mesmo nível de outras secretarias inviabiliza uma coordenação transversal eficaz. Em segundo lugar, falta uma posição hierárquica adequada para liderar a pauta: o critério exige alocação em instância de alta liderança, como o Gabinete do Prefeito ou secretaria com status de coordenação geral, o que não foi identificado. Por fim, a ausência de liderança implica na inexistência de uma estrutura formal de coordenação, como comitês ou fóruns multissetoriais que integrem áreas políticas e técnicas. Essa lacuna compromete a capacidade de resposta integrada diante da complexidade das mudanças climáticas.</t>
  </si>
  <si>
    <t>Verifica-se que o Plano Diretor (Lei Complementar nº 150/2007) vigente do município de Cuiabá não apresenta um mapeamento detalhado de riscos climáticos. Sua abordagem se limita a diretrizes gerais de uso e ocupação do solo, sem aprofundar nas especificidades das vulnerabilidades climáticas. Ademais, Cuiabá ainda não possui um Plano Municipal de Redução de Riscos (PMRR), para identificação e gerenciamento de riscos relacionados às mudanças climáticas. Ainda, verifica-se também que Cuiabá não possui um sistema dedicado ao monitoramento e alerta precoce para eventos climáticos extremos em Cuiabá, visto que não faz uso de plataformas oficiais, como o CEMADEN, para guiar ações em cenários de risco. Embora possa haver alguma percepção sobre os riscos gerais no Plano Diretor, constata-se que o município ainda carece de um mapeamento detalhado e sistematizado de suas vulnerabilidades climáticas, o que justifica a classificação em estágio inicial quanto ao item G3.A. Mapeamento de riscos.</t>
  </si>
  <si>
    <t>Não foi identificada a integração dos riscos climáticos nos instrumentos de planejamento de Cuiabá. Importante destacar que a falta de incorporação de considerações climáticas em tais instrumentos demonstra uma lacuna significativa no planejamento estratégico do município. Essa carência impede que as políticas públicas sejam orientadas de forma proativa para enfrentar os desafios impostos pelas mudanças climáticas, ressaltando a urgência de integrar a gestão de riscos climáticos de maneira sistemática nas decisões de longo e médio prazo. Por isso, classifica-se o estágio em "sem progresso" para este item.</t>
  </si>
  <si>
    <t>Não foram identificados mecanismos institucionais formalizados e ativos que assegurem a coordenação horizontal entre diferentes secretarias para discutir e enfrentar as mudanças climáticas. A atuação permanece restrita ao setor ambiental, sem integração regular com áreas como defesa civil, infraestrutura, saúde e planejamento econômico.</t>
  </si>
  <si>
    <t>Os documentos coletados em pesquisa primária comprovam a existência e a atividade do Fórum Nacional de Secretários e Secretárias de Meio Ambiente das Capitais Brasileiras (CB27), que é um mecanismo relevante listado na metodologia. No entanto, não foi identificado uma lista completa das capitais participantes. Há apenas uma captura de tela da reunião virtual (p. 3) onde mostra representantes de cidades como Curitiba, Natal, Campo Grande, Macapá, Belo Horizonte, Teresina e João Pessoa, mas não há menção ou identificação de um representante de Cuiabá. Nesse sentido, não há evidências da participação de Cuiabá nas atividades do Fórum CB27, uma vez que não foi listada em um dos encontros anteriores, bem como não há prova de um "representante formalmente indicado" por Cuiabá. Por outro lado, os documentos apresentados levam a entender que o município de Cuiabá está ausente. Por isso, classifica-se este item em "SEM PROGRESSO".</t>
  </si>
  <si>
    <t>Apesar de haver registro de uma participação relevante em 2013, a inexistência de evidências que comprovem envolvimento em mecanismos de coordenação vertical entre 2013 e 2025, ou de uma atuação contínua e regular nesse período, justifica a classificação como "Sem Progresso". O critério estabelece que o ente deve participar de mecanismos pertinentes ao contexto local e apresentar evidências de engajamento em reuniões ou encontros que promovam interação regular entre os atores envolvidos. A participação isolada, ocorrida há mais de uma década, não supre a exigência de regularidade nem demonstra relevância no cenário atual. Para que se possa atribuir uma classificação mais elevada, seriam necessárias comprovações de participação mais recente e contínua em instâncias de coordenação vertical, sobretudo aquelas voltadas à agenda climática, que constitui o foco desta avaliação.</t>
  </si>
  <si>
    <t>A Lei Complementar nº 328/2013 institui o Conselho Municipal de Meio Ambiente (CMMA) e é um mecanismo de participação formalizado, com base legal clara. O Art. 2º da referida lei estabelece diretrizes gerais para o CMMA, incluindo a "ampla participação da sociedade civil organizada" (Inciso II) e o "tratamento interdisciplinar das questões ambientais" (Inciso I). Isso demonstra que o município possui um canal estruturado para o diálogo com a sociedade em questões ambientais. Todavia, embora este Conselho seja um mecanismo formal de participação para discussões ambientais, verifica-se que não há conselhos, fóruns ou comitês especificamente dedicados e contínuos à agenda de ação climática de Cuiabá, com um foco que vá além do ambiental geral ou de eventos pontuais. Isso justifica a classificação em "estágio inicial" quanto aos critérios da metodologia Painel ClimaBrasil.</t>
  </si>
  <si>
    <t>A Lei Complementar nº 328/2013, ao mencionar a "ampla participação da sociedade civil organizada" (Art. 2º, Inciso II), indica a intenção de incluir diferentes categorias de partes interessadas na composição do CMMA. Isso demonstra uma busca por representatividade formal. A Lei Complementar nº 328/2013 também estabelece formalmente o Conselho Municipal de Meio Ambiente (CMMA) e detalha sua composição (art. 4º). No entanto, constata-se que não há ampla participação baseada em um mapeamento de partes interessadas específico para a agenda climática, garantindo que todos os grupos relevantes (incluindo grupos vulneráveis e especialistas em clima) sejam proativamente engajados e representados de forma dedicada. Por isso, classifica-se este item em "estágio intermediário".</t>
  </si>
  <si>
    <t>O município de Cuiabá não tem um mapeamento oficial e sistemático de identificação das populações e grupos sociais e/ou econômicos em situação de vulnerabilidade frente aos impactos das mudanças climáticas em seu respectivo território, bem como suas respectivas necessidades. A ausência de um Plano de Mudanças Climáticas municipal corrobora a falta de uma abordagem institucionalizada e abrangente para essa identificação. Por isso, classifica-se este item em "sem progresso".</t>
  </si>
  <si>
    <t>Cuiabá não apresentou mecanismos municipais formais, contínuos e deliberativos que garantam a participação ativa e influente dos grupos sociais e/ou econômicos em situação de vulnerabilidade na formulação, implementação e monitoramento de políticas climáticas. Embora existam iniciativas pontuais ou de âmbito estadual/regional, como a "Oficina prepara povos e comunidades tradicionais de MT para a COP-30" (Portal do Governo de MT) e o lançamento da "Carta de Cuiabá" (IBDCI), estas não configuram canais permanentes ou processos participativos instituídos pelo município para empoderar diretamente as comunidades mais afetadas a influenciar decisões climáticas locais. Por isso, classifica-se este item em "sem progresso".</t>
  </si>
  <si>
    <t>Em Cuiabá verifica-se a ausência de evidências de políticas públicas ou planos climáticos municipais que explicitamente incorporem uma perspectiva de equidade na distribuição de benefícios e ônus, ou que prevejam metas, indicadores e provisionamento de recursos específicos para reduzir as vulnerabilidades dos grupos identificados. Pois a falta de um Plano de Mudanças Climáticas municipal reforça essa lacuna fundamental, pois dificulta a própria existência de um arcabouço para políticas climáticas com foco equitativo. Por isso, classifica-se este item em "sem progresso".</t>
  </si>
  <si>
    <t>Cuiabá é classificada como "Estágio Intermediário" no item G7-A por atender 2 dos 3 critérios avaliados. CRITÉRIO 1 - COMISSÕES DEDICADAS (ATENDE): A página 10 documenta a Comissão Especial de Acompanhamento do Clima, criada pela Resolução 109/2023, com 6 vereadores de diferentes partidos e prazo de 120 dias, prorrogável. A página 15 comprova funcionamento da Comissão Permanente de Meio Ambiente e Urbanismo, com reunião ordinária em 02/07/2025, deliberando projeto específico sobre mitigação do efeito estufa. CRITÉRIO 2 TRANSVERSALIDADE (NÃO DEMONSTRADO): O PDF não apresenta evidências de que o tema climático seja considerado transversalmente em outras comissões. As páginas 30 e 45 mencionam outras comissões sem demonstrar abordagem climática transversal. CRITÉRIO 3 ATIVIDADES LEGISLATIVAS (ATENDE): As páginas 1-2 documentam 5 audiências públicas sobre mudanças climáticas (2021-2025), com frequência de 1,25 eventos/ano. A página 3 registra o processo 3249/2021 sobre ilhas de calor. A página 15 mostra projeto 12573/2025 sobre plantio de árvores para mitigação do efeito estufa. As páginas 20-21 apresentam projeto sobre monitoramento de catástrofes climáticas. A classificação "Estágio Intermediário" é justificada pela presença de mecanismos dedicados E atividades legislativas específicas, mas ausência de transversalidade demonstrada.</t>
  </si>
  <si>
    <t>A Controladoria Geral do Município de Cuiabá foi classificada como "Sem Progresso" no item G7-B por não ter realizado auditorias com foco em mudanças climáticas entre 2020 e 2025. A análise de mais de 15 fontes oficiais - incluindo site institucional, portal da transparência, relatórios da CGM e do controle interno - identificou apenas auditorias em áreas tradicionais, como saúde pública (Relatório 02/2024 - MEDTrauma), previdência (RPPS), governança corporativa e contratos administrativos. Nenhuma dessas auditorias tratou de forma direta, significativa ou mesmo secundária as mudanças do clima.</t>
  </si>
  <si>
    <t>Não existe poder judiciário no âmbito municipal.</t>
  </si>
  <si>
    <t>O município possui um quadro legal e regulatório abrangente, que inclui medidas de prevenção e mitigação: Lei Municipal n.° 15852/2021 e Decreto Municipal n.° 1670/2020, que aprova o Plano Municipal de Mitigação e Adaptação às Mudanças Climáticas de Curitiba (PlanClima). Além disso, verificou-se legislação referente ao estabelecimento de órgãos responsáveis pela implementação do PlanClima - Decreto Municipal n.° 1162/2022, que institui o Comitê de Monitoramento do PlanClima, e o Decreto Municipal n.° 471/2022 que institui a Comissão responsável pelo Inventário-GEE.</t>
  </si>
  <si>
    <t>"Quadro legal e regulatório é compatível com os principais dispositivos federais, pois aderente aos eixos previstos pela Política Nacional</t>
  </si>
  <si>
    <t>"Existem disposições mais detalhadas, com a especificação dos setores, dos atores e dos aspectos climáticos a serem considerados nos instrumentos de planejamento e nos planos e políticas setoriais, assim como projetos e programas das secretarias municipais, tais como: Programa Curitiba +energia</t>
  </si>
  <si>
    <t>Existe uma estrutura governamental formal e atuante para tratar dos aspectos relacionados às mudanças climáticas: na Secretaria Municipal do Meio Ambiente (órgão central responsável pela gestão ambiental), foi instituído Departamento de Mudanças Climáticas, criado especificamente para planejar, coordenar, monitorar e implementar políticas, programas e ações voltadas à mitigação e adaptação às mudanças do clima, alinhadas ao Plano de Ação Climática de Curitiba (PlanClima). Além disso, verificou-se:  Comitê Cidades Resilientes (Decreto n.º 798/2017), Fórum Curitiba sobre Mudanças do Clima (Decreto n.° 340/2024), Comitê para Implementação, Monitoramento e Revisão do PlanClima (Decreto n.º 1162/2022). Verificou-se, ainda, que o tema está internalizado de forma transversal em diversos órgãos do ente, diante da composição do Comitê para Implementação, Monitoramento e Revisão do PlanClima (Decreto nº 1162/2022).</t>
  </si>
  <si>
    <t>As responsabilidades de liderar, coordenar, implementar, monitorar e dar transparência às ações governamentais relacionadas com a emergência climática foram atribuídas aos atores envolvidos (art. 4º do Decreto Municipal n.° 1162/2022 e Art. 5º, XXV, da Lei n.° 15852/2021) e não existem lacunas ou sobreposições relevantes.</t>
  </si>
  <si>
    <t>Conforme Art. 5º, XXV, da Lei Municipal 15.852/2021 e art. 3º do Decreto Municipal 1162/2022, o Plano Municipal de Mitigação Adaptação a Mudança do Clima de Curitiba - PlanClima- é instituído, implantado e coordenado  pela Secretaria Municipal de Meio Ambiente (SMMA) em conjunto com o Instituto de Pesquisa e Planejamento Urbano de Curitiba (IPPUC), por meio do Comitê do PlanClima. Destacamos que a Secretaria Municipal de Meio Ambiente criou um departamento específico, o Departamento de Mudanças Climáticas, que exerce a liderança climática no município de Curitiba, sendo o setor responsável pela coordenação e integração das ações de mitigação, adaptação e resiliência climática. O Departamento é composto pela diretoria executiva e a gerência de projetos de baixo carbono e  coordena o Fórum Curitiba sobre Mudanças Climáticas, sendo parte da Secretaria Municipal, possui autoridade para mobilizar os diferentes setores e conta com composição integrantes dos escalões político e técnico da administração pública e acesso ao chefe do executivo. O corpo técnico disponível para prestar serviços na área, em princípio, é o mesmo destinado à Secretaria Municipal do Meio Ambiente, cujos dados no portal da transparência evidenciam a lotação de 456 servidores. Todavia, especificamente o Departamento de Mudanças Climáticas apresenta como equipe técnica dedicada um Diretor Executivo e um Gerente de Projetos de Baixo Carbono.</t>
  </si>
  <si>
    <t>O Município de Curitiba possui um mapeamento de riscos ou de vulnerabilidades relacionadas com as mudanças climáticas (AVALIAÇÃO DE RISCOS CLIMÁTICOS DA CIDADE DE CURITIBA RESUMO EXECUTIVO - 2020) , produzido ou atualizado nos últimos 5 anos, baseado em evidências científicas e/ou informações de plataformas oficiais.  A Avaliação de Riscos Climáticos da Cidade de Curitiba é parte do Programa de Assistência Técnica para a América Latina da Rede de Cidades C40, que apoia cidades a colaborar, compartilhar conhecimento e conduzir ações significativas, mensuráveis e sustentáveis sobre as mudanças climáticas. A realização da avaliação envolveu a expertise de consultores e especialistas técnicos na área de clima e resiliência, embora o Resumo Executivo não liste os nomes individuais dos autores, ele é fruto de um trabalho colaborativo.</t>
  </si>
  <si>
    <t>Os riscos ou vulnerabilidades relacionadas com as mudanças climáticas guiam de maneira efetiva e abrangente o planejamento. A AVALIAÇÃO DE RISCOS CLIMÁTICOS DA CIDADE DE CURITIBA serviu de base para a edição do PlanCLIMA, principal instrumento de planejamento para enfrentamento das mudanças climáticas no município.</t>
  </si>
  <si>
    <t>"Há mecanismos formais que assegurem diálogo e alinhamento entre diferentes secretarias de governo dentro do município de Curitiba pelo estabelecimento claro das responsabilidades
relacionadas a isso ou de procedimentos regulamentados. No caso, há: - o Decreto Municipal 1162/2022 que instituiu o Comitê PlanClima colocando-o sob a coordenação compartilhada do  Instituto de Pesquisa e Planejamento Urbano de Curitiba (IPPUC) e da Secretaria Municipal de Meio Ambiente (SMMA), incluindo em seu art. 3º diversas Secretarias do Município além da Agência Curitiba de Desenvolvimento SA, assim instrumentalizou-se o principal instrumento de Planejamento para enfrentamento das mudanças climáticas</t>
  </si>
  <si>
    <t>Há evidências de que o Município de Curitiba participa dos mecanismos relevantes dentro do contexto local com uma representação adequada, ou seja, observando a pertinência da indicação, considerando as áreas ou setores mais adequados para atuar, de acordo com o tema ou escopo do mecanismo. Há evidências de que, em regra, o Prefeito Municipal representa o Município junto a comitês, fóruns e organizações, sendo acompanhado dos Secretários Municipais da pasta diretamente envolvida no tema, há igualmente evidências da participação do Município em mecanismos relevantes de coordenação horizontal intergovernamental (ICLEI, C40, CB27).</t>
  </si>
  <si>
    <t>Há representantes formalmente indicados para atuar nos mecanismos relevantes, cuja representação, em geral, se mostra adequada, envolvendo servidores das áreas relacionadas e há em notícias a evidência de participação em reuniões e encontros.</t>
  </si>
  <si>
    <t>Existem mecanismos instituídos pelo Município de Curitiba que permitam a participação de atores não governamentais em debates substanciais sobre a ação climática. Nesse sentido, o principal é o Conselho Municipal do Meio Ambiente, órgão consultivo, normativo e deliberativo instituído pela Lei Municipal Lei Nº 15852/2021 que prevê a participação além de órgãos e entes municipais de Curitiba, de 10 membros da sociedade civil organizada e tem por finalidade assessorar, estudar e propor políticas públicas relativas ao meio ambiente, normas e padrões ambientais e deliberar sobre programas, projetos, ações, recursos financeiros do Fundo Municipal do Meio Ambiente - FMMA, com previsão da participação de cidadãos como ouvintes art. 10, § 7º. As atas evidenciam que as propostas são analisadas e votadas, servindo como elemento que legitima as decisões, evidenciando razões para acolhimento ou rejeição. Há também a realização de consultas públicas pela internet em relação à mitigação de impactos climáticos, conforme notícia do site da prefeitura. Há também o Fórum Curitiba sobre Mudanças Climáticas, conforme Decreto Municipal 340/2024 com previsão de reuniões duas vezes ao ano e em caráter extraordinário. Por fim, num modo mais geral, há o programa Fala Curitiba, por meio do qual cidadãos podem sugerir políticas e melhorias, sendo disposto em site próprio sobre as sugestões implantadas.</t>
  </si>
  <si>
    <t>"Conforme Lei Municipal Nº 15852 DE 01/07/2021, o Conselho Municipal do Meio Ambiente é composto por 10 membros da sociedade civil organizada, atuantes no Município de Curitiba, com a seguinte distribuição: 
a) 2 (dois) representantes de instituições de ensino superior, sendo pelo menos uma pública</t>
  </si>
  <si>
    <t>No que se refere à identificação de grupos em situação de vulnerabilidade, foi localizado apenas um estudo de caráter regional, vinculado ao Projeto Gestão de Risco Climático - Bairro Novo do Caximba (PGRC Curitiba), no qual há uma avaliação específica sobre grupos vulneráveis na área em questão.
No Departamento de Mudanças Climáticas do Município de Curitiba, existem documentos reunidos sob o título "07 - Vulnerabilidade Ambiental e Socioeconômica". Entretanto, esses materiais identificam vulnerabilidades relacionadas a regiões e bairros, sem abordar diretamente grupos específicos. Neles, há apenas a menção a crianças e idosos como segmentos mais suscetíveis, acompanhada do mapeamento dos bairros com maior concentração desse público.
Já no PlanClima - Plano de Mitigação e Adaptação às Mudanças Climáticas, a descrição dos grupos vulneráveis é pouco detalhada. A identificação foi realizada com base nas seguintes definições:
Inclusão Social: garantia de direitos, participação e acesso para populações historicamente marginalizadas
Inclusão Econômica: promoção da equidade de oportunidades na distribuição de benefícios, como empregos e renda
Inclusão Espacial: acesso à terra, infraestrutura, transporte, moradia, entre outros.
Assim, a avaliação considerou como grupos vulneráveis aqueles que necessitam de ações que promovam sua inclusão e ampliem seu acesso, conforme os critérios acima. Portanto, não há evidências de mapeamento completo de grupos vulneráveis.</t>
  </si>
  <si>
    <t>As evidências indicam que, em geral, a inclusão de grupos vulneráveis na tomada de decisão ocorre de forma limitada, com consultas pontuais. Um exemplo é o Projeto Gestão de Risco Climático - Bairro Novo do Caximba (PGRC Curitiba), que realizou consulta específica a esses grupos. Na revisão do Plano Diretor, ainda em andamento, há a consulta em todos os bairros, o que indiretamente abrange populações vulneráveis, mas sem foco direcionado. Entre os instrumentos existentes, o Fórum Curitiba sobre Mudanças do Clima (Dec. Mun. 572/2019) não inclui representantes desses grupos. O Conselho Municipal do Meio Ambiente (Lei Mun. 15.852/2021) prevê apenas um membro da Federação das Associações de Moradores, sem tratar especificamente dos mais vulneráveis. O Comitê Gestor do Programa Construindo Cidades Resilientes (Dec. Mun. 798/2017) também não prevê essa participação. Já o Conselho da Cidade de Curitiba (Art. 3º da Lei 12579-2007) conta com alguns representantes de grupos vulneráveis, sua atuação é voltada principalmente ao planejamento Urbano, sem tratar especificamente de riscos climáticos, a pauta pode tangenciar esse tema.</t>
  </si>
  <si>
    <t>As políticas públicas equitativas de Curitiba voltadas às mudanças climáticas apresentam maior ênfase em iniciativas específicas, como o Projeto Gestão de Risco Climático Bairro Novo do Caximba (PGRC). O Plano de Mitigação e Adaptação às Mudanças Climáticas - PlanClima não estabelece metas claras para a realocação segura de famílias em áreas de risco, nem define quantitativos de infraestrutura resiliente ou ações de capacitação voltadas a grupos vulneráveis. Também não foram identificadas provisões orçamentárias específicas ou fundos climáticos destinados a esses públicos. Em contrapartida, o já mencionado PGRC demonstra aplicação concreta de políticas equitativas, ao avaliar a vulnerabilidade socioeconômica de 1.147 famílias e prever a concessão de moradias, com ações e metas definidas. O projeto possui previsão no PPA, na LDO e na LOA, garantindo respaldo orçamentário. No aspecto participativo, destaca-se o programa Fala Curitiba, previsto no PPA, que possibilita à população contribuir na formulação e avaliação de políticas e instrumentos orçamentários, embora sem foco direcionado aos mais vulneráveis. As estratégias são revistas em ciclos, como na atualização do Plano Diretor em andamento. Diante do direcionamento mais restrito das ações e políticas voltadas aos mais vulneráveis e da existência de previsão orçamentária para ações específicas, a classificação do município situa-se em nível intermediário.</t>
  </si>
  <si>
    <t>Há na estrutura da Câmara Municipal de Curitiba a Comissão de Meio Ambiente, Desenvolvimento Sustentável e Assuntos Metropolitanos, com previsão em seu Regimento Interno, conforme art.54, inciso IX. Há a notícia da discussão em modo amplo do tema sobre mudanças climáticas, conforme sessão ordinária realizada em 27/03/2024. Há evidência ainda do tratamento transversal do tema, conforme reunião conjunta realizada em 07/08/2025, envolvendo as Comissões de Urbanismo e de Meio Ambiente, Desenvolvimento Sustentável e Assuntos Metropolitanos, para tratar do transporte urbano com vistas a medidas de mitigação, mediante a adoção de veículos de emissão zero, ou seja, de propulsão exclusivamente elétrica. Há o registro ainda de medidas recentes como  Política Municipal de Mitigação e Adaptação às Mudanças Climáticas, com o objetivo de tornar Curitiba uma cidade neutra em emissões de gases de efeito estufa, conforme proposição: 005.00612.2025. Há também a proposta legislativa que trata de medidas de proteção para população vulnerável, conforme proposição legislativa: 005.00401.2025.</t>
  </si>
  <si>
    <t>Em relação à Controladoria-Geral do Município de Curitiba não foi identificada auditoria específica sobre questões relacionadas à mudança do clima. Contudo, seus Relatórios Anuais disponíveis na internet, referentes aos anos de 2022, 2023 e 2024, evidenciam o acompanhamento das metas do PPA, incluindo, neste caso, o Programa VIVA UMA NOVA CURITIBA, que contém o Indicador 8: Emissões de gases de efeito estufa. Ao longos dos anos as auditorias indicaram o cumprimento das metas de emissões. Tangencialmente, há também o acompanhamento do Programa VIVA CURITIBA MAIS ÁGIL, que tem em vista modernizar os eixos de transporte e ampliar a oferta de opções de deslocamento por meio da mobilidade ativa, seja por meio de ciclovias ou do estímulo à circulação de pedestres, o que contribui para a redução da emissão de GEE. Quanto ao Tribunal de Contas do Estado do Paraná, não há o apontamento de trabalho específico com foco principal em questões relacionadas à mudança do clima. Todavia, há um trabalho que tangencia a matéria, no caso, o Relatório de Mobilidade Urbana realizado em 2021, cujo destaque pode ser apontado para a apuração quanto à possível integração de modais, como a existência de biciletários em terminais de ônibus, o acesso a esses terminais por ciclovias e a existência de estacionamentos de veículos próximo aos terminais. Com isso, há a promoção do transporte público o que contribui para metas de mitigação, com a redução da emissão de GEE.</t>
  </si>
  <si>
    <t>Não se aplica ao nível municipal",,P
6203,Governança,2025-09-11T20:06:31.871Z,"Versão de Avaliação 2025","Distrito Federal","Distrito Federal",5300108,G1,A,"Estágio avançado",1,"O DF possui um quadro legal e regulatório abrangente e atualizado, que incorpora tanto aspectos de mitigação quanto de adaptação à mudança do clima. Esse marco está em conformidade com os planos nacionais e inclui leis, decretos e instrumentos oficiais que conferem base normativa e operacional às políticas públicas climáticas locais. A Lei nº 4.797/2012 estabelece a base normativa distrital alinhada à Política Nacional de Mudança do Clima (Lei Federal nº 12.187/2009), e contempla ações tanto de mitigação quanto de adaptação, conferindo base normativa aos planos e estratégias distritais. A Lei distrital também incorpora os princípios da PNMC em termos de: visão sistêmica de mitigação e adaptação
6205,Governança,2025-09-11T20:06:31.871Z,"Versão de Avaliação 2025","Distrito Federal","Distrito Federal",5300108,G1,B,"Estágio avançado",1,"A legislação e os planos distritais mostram consistência com os planos e estratégias nacionais, atendendo aos cinco critérios do Painel ClimaBrasil. As normas distritais seguem modelo suplementar à PNMC e respeitam as competências definidas pela Constituição Federal. Contatou-se a adoção de diretrizes e instrumentos equivalentes aos nacionais, conforme a estruturação em eixos de mitigação, adaptação e governança climática.
O DF estabeleceu metas próprias e quantificáveis, integradas aos planos de mitigação (CDD), de acordo com os compromissos do Brasil no Acordo de Paris. A Contribuição Distritalmente Determinada do Distrito Federal tem uma meta de reduzir as emissões de gases de efeito estufa em 20% até o ano de 2025 e em 37,4% até o ano de 2030. Para alcançar essa meta, a CDD tomou como referência o ano de 2013. Adoção de prazos e metas de adaptação - O Plano de Adaptação do DF traz cenários climáticos até 2040 e 2070, abordando impactos, vulnerabilidades e medidas de resposta para diferentes setores. O inventário distrital de emissões adota as diretrizes do IPCC e é compatível com o padrão nacional, permitindo comparação e agregação de dados.  O arcabouço jurídico e programático está alinhado às diretrizes da PNMC, do Plano Nacional de Adaptação e das NDCs brasileiras, evidenciando ações efetivas de mitigação e adaptação, com métricas claras, metodologias consistentes e governança setorial.",,P
6198,Governança,2025-09-11T20:06:31.871Z,"Versão de Avaliação 2025","Distrito Federal","Distrito Federal",5300108,G1,C,"Estágio avançado",1,"Entre as diretrizes da Política de Mudança Climática do DF (Lei nº 4.797/2012), destacam-se a integração das normas de planejamento urbano e uso do solo com medidas de redução das emissões de gases de efeito estufa, além da promoção de avaliações ambientais estratégicas que considerem a dimensão climática em planos, programas e projetos públicos e privados.
O Plano de Mitigação propõe ações específicas para os principais setores emissores de gases de efeito estufa no Distrito Federal: energia, transportes, resíduos sólidos, agropecuária, uso e mudança de uso da terra e florestas. Por sua vez, o plano de adaptação apresenta uma estratégia integrada para lidar com os impactos da mudança do clima no DF, com foco em recursos hídricos e extremos de temperatura, mas também com diretrizes para setores como mobilidade urbana e energia. O plano enfatiza a necessidade de harmonizar planos nacionais e locais de adaptação, incorporar o tema nos planejamentos urbanos e considerar a interrelação entre água, energia, biodiversidade e uso da terra. Ele também reforça a conexão entre adaptação climática e redução de riscos de desastres, destacando a redução da vulnerabilidade como eixo comum.
O Decreto nº 43.413/2022, que institui o Plano de Carbono Neutro, estabelece metas específicas para redução das emissões de gases de efeito estufa: Redução de 20% até 2025 e 37,4% até 2030, em relação aos níveis de 2013.",,P
7060,Governança,2025-09-11T20:06:31.871Z,"Versão de Avaliação 2025","Distrito Federal","Distrito Federal",5300108,G2,A,"Estágio inicial",0.333,"O Distrito Federal possui em sua estrutura administrativa, conforme estabelecido no Decreto nº 39.610/2019, art. 33, inciso IV, órgão de competência definida para tratamento do tema da mudança climática, a Secretaria de Estado do Meio Ambiente - Sema. O Decreto nº 43.413/2022, que institui o Plano Carbono Neutro no DF e a Contribuição Distritalmente Determinada - CDD, estabelece que é de competência da Sema a atuação transversal na coordenação da elaboração, atualização e revisão da CDD, relacionada à redução da emissão de gases de efeito estufa - GEE, e dos Planos de Ação Setorial, com o dever de colaboração dos demais órgãos e instituições do GDF. No entanto, não há, no âmbito da Sema, unidade formalmente constituída especializada no enfrentamento às consequências das mudanças climáticas. A unidade que exerce esse mister, informalmente, está vinculada à Subsecretaria de Assuntos Estratégicos daquela Sema. 
A única instância formalmente constituída para tratar especificamente do tema é a Câmara Técnica de Mudança do Clima, do Conselho de Meio Ambiente do DF - Conam, constituída para estudar, analisar e propor diretrizes e orientações técnicas relacionadas à mudança do clima. Finalizados os trabalhos, aguarda-se a apreciação do relatório final pela autoridade competente para dissolução da Câmara. Há propostas em andamento para dar continuidade aos trabalhos da Câmara Técnica, que, por ora, estão encerrados. As informações foram confirmadas em entrevista realizada na Sema.",,P
7104,Governança,2025-09-11T20:06:31.871Z,"Versão de Avaliação 2025","Distrito Federal","Distrito Federal",5300108,G2,B,"Estágio inicial",0.333,"O Distrito Federal possui um arcabouço legislativo que define a responsabilidade da Sema em coordenar os esforços do DF no enfrentamento às consequências das mudanças climáticas, conforme estatuído no Decreto nº 39.610/2019, que dispõe sobre a organização da estrutura administrativa da Administração Pública do DF. O Decreto nº 43.413/2022 (arts. 1º, parágrafo único, e 3º) reforçou as competências da Sema, atribuindo-lhe o papel de, atuando de forma transversal, coordenar a elaboração, a atualização e a revisão da Contribuição Distritalmente Determinada - CDD e dos planos de ação setoriais, devendo, para tanto, haver a colaboração dos demais órgãos e instituições do DF para a consecução desse objetivo. Adicionalmente, o Decreto supra (art. 5º) designou à Câmara Técnica de Mudança do Clima as competências de aprovar os documentos referentes à política distrital de mudança do clima, e de articular com as demais instâncias e órgãos do governo a elaboração, a revisão, a proposição de planos, políticas e medidas para a redução das emissões de gases de efeitos estufa e das vulnerabilidades do DF quanto às mudanças climáticas. Entretanto, tal instância, que conta com representantes de diversos órgãos, teve seus trabalhos finalizados, carecendo de instrumento jurídico para sua continuidade, fato que foi confirmado em entrevista realizada junto a servidores da Sema.",,P
7242,Governança,2025-09-11T20:06:31.871Z,"Versão de Avaliação 2025","Distrito Federal","Distrito Federal",5300108,G2,C,"Estágio inicial",0.333,"O titular da Secretaria de Meio Ambiente detém autoridade formal adequada para mobilizar os atores em resposta ao enfrentamento das mudanças climáticas, conforme estatuído nos Decretos nºs 39.610/2019 e 43.413/2022. Entretanto, na prática, conforme verificado em entrevista com integrantes da Sema, não há a suficiente autoridade para mobilização dos demais órgãos, muitas das vezes utilizando-se da Secretaria de Governo para tal finalidade, o que faz transparecer a falta de priorização do tema na agenda de governo. Embora a Secretaria disponha de equipe técnica, ainda que mínima, para subsidiar os gestores com as informações necessárias para a tomada de decisão, tal equipe não se encontra formalmente designada para tal mister. Muitos dos projetos que poderiam estar vinculados à pasta são submetidos à apreciação da Sema já em sua fase final, ou até mesmo após aprovados.",,P
7213,Governança,2025-09-11T20:06:31.871Z,"Versão de Avaliação 2025","Distrito Federal","Distrito Federal",5300108,G3,A,"Estágio inicial",0.333,"A análise evidencia que, embora o Distrito Federal disponha de diagnósticos e produtos técnicos relevantes, como o Plano de Adaptação elaborado no âmbito do Projeto CITinova, com base em dados científicos (IPCC, ANA, Painel Brasileiro de Mudança do Clima), não há um mapeamento de riscos climáticos consolidado, institucionalizado e atualizado nos últimos cinco anos, conforme a metodologia e os modelos previstos pelo Decreto nº 37.302/2016 e pela ABNT NBR ISO 31000:2018.
O Plano de Adaptação atende à atividade de identificação de riscos, mas a atividade de análise é parcial e a de avaliação carece de critérios formais e priorização estruturada. O tratamento dos riscos é descrito de forma genérica e não vincula ações específicas a cada risco identificado, sem prazos, responsáveis, recursos ou indicadores, o que limita a efetividade da gestão e a aderência ao modelo ISO.
Assim, a ausência de um sistema de mapeamento contínuo, aliado à falta de integração dos riscos em instrumentos de planejamento com definição clara de ações, impede a classificação em estágio avançado. 
Justificativas: Inexistência de matriz de riscos climáticos institucionalizada na Sema
7232,Governança,2025-09-11T20:06:31.871Z,"Versão de Avaliação 2025","Distrito Federal","Distrito Federal",5300108,G3,B,"Estágio inicial",0.333,"A ausência de um mapeamento estruturado de riscos, conforme exigido no componente G3.A, compromete o atendimento do G3.B, que avalia a integração formal dos riscos climáticos aos instrumentos de planejamento. Conforme analisado no G3.A, embora o Plano de Adaptação apresente diagnósticos e recomendações, a falta de rastreabilidade entre cada risco e a respectiva ação, bem como a ausência de elementos operacionais (prazos, metas e recursos), reduz a efetividade da incorporação e dificulta a verificação do cumprimento do componente.
Apesar disso, verificou-se que o PPA 2024-2027, no programa temático 6210 - Meio Ambiente, objetivo O306 - Enfrentamento das causas e dos efeitos da mudança do clima no DF, contém metas relacionadas à pauta climática, como a M1366: "Implantar quatro infraestruturas verdes que se constituam em sumidouros de carbono" (p. 291).
O Plano Estratégico 2019-2060 também estabelece o objetivo de efetivar políticas públicas voltadas ao enfrentamento das mudanças do clima e à proteção ambiental, incluindo o Índice de Adaptação Climática do DF. Há iniciativas atribuídas à Sema, como: 1) consolidação do Sistema de Informações Ambientais do Distrito Federal - SISDIA, como base de dados georreferenciada
Assim, embora haja alguma integração dos riscos climáticos nos instrumentos de planejamento, essa incorporação é limitada, levando à classificação do componente em estágio inicial.",,P
7245,Governança,2025-09-11T20:06:31.871Z,"Versão de Avaliação 2025","Distrito Federal","Distrito Federal",5300108,G4,A,"Estágio inicial",0.333,"No contexto das mudanças climáticas especificamente, além do Decreto de estruturação administrativa do DF (Decreto nº 39.610/2019), que estabelece explicitamente a competência da Sema para atuar nesse contexto, e dos instrumentos de planejamento próprios do setor público (PPA, LDO e LOA), há câmaras e conselhos intersetoriais que buscam promover o diálogo dos diversos setores interessados, tais como o Conselho do Meio Ambiente do DF - Conam/DF e sua Câmara Técnica de Mudança do Clima. O Conam/DF é composto por membros do Poder Público e da sociedade civil, e mantém suas atividades, conforme atestam a realização de reuniões ordinárias e respectivas atas, disponíveis no sítio eletrônico da Sema. A Câmara Técnica de Mudança do Clima, por sua vez, criada para um fim específico, aguarda definição quanto à continuidade de suas atividades, conforme informações colhidas na entrevista realizada com a equipe técnica da Secretaria. Sua última reunião foi realizada em outubro de 2022, e desde então aguardam apreciação de relatório dos trabalhos realizados e dos encaminhamentos a serem dados. Há ainda a Câmara de Recursos Hídricos - CRH, ainda em atividade, que atuou de forma complementar à Câmara Técnica de Mudança do Clima, quando ativa.",,P
7228,Governança,2025-09-11T20:06:31.871Z,"Versão de Avaliação 2025","Distrito Federal","Distrito Federal",5300108,G4,B,"Estágio inicial",0.333,"Segundo os representantes da Sema, conforme entrevista, não há atualmente mecanismos estruturados de articulação direta com os estados vizinhos ou com os municípios da RIDE. Embora os cenários climáticos elaborados no âmbito do Projeto CITinova tenham incluído o território da RIDE como um todo, com gráficos e projeções estendidos aos municípios limítrofes, não foi estabelecida uma coordenação interestadual formal para tratar do tema das mudanças climáticas. Houve, no passado, tentativas da Sema de envolver gestores do entorno em debates técnicos, mas estas não prosperaram devido à baixa receptividade institucional naquele momento. Assim, a integração regional permanece como um desafio, apesar de sua reconhecida importância para a eficácia das ações de adaptação e mitigação. Apesar da informação de que a Sema integra o Fórum Nacional de Secretários de Meio Ambiente (CB27), fórum de discussão que tem como proposta promover a articulação política entre as 26 capitais brasileiras e o DF, para o fortalecimento e a realização de ações coordenadas, não há menção no sítio eletrônico respectivo sobre a participação do DF. Em tema paralelo, verificou-se a participação do DF em Comitês de Bacias Hidrográficas, que debatem sobre o uso racional da água, importante elemento a ser considerado quando se trata de planos de adaptação às mudanças do clima. O DF participa dos Comitês de Bacia dos Afluentes do Rio Maranhão, do Rio Paranaíba e do Rio Preto, todos em plena atividade.",,P
7231,Governança,2025-09-11T20:06:31.871Z,"Versão de Avaliação 2025","Distrito Federal","Distrito Federal",5300108,G4,C,"Estágio intermediário",0.666,"Conforme relatado em entrevista, o Distrito Federal participa de diversos mecanismos nacionais, com destaque para a Associação Brasileira das Entidades Estaduais de Meio Ambiente - ABEMA, considerada pelos representantes da Sema como a instância mais atuante e técnica quando se trata do tema das mudanças climáticas. O DF contribui com a atualização do Roadmap com os dados relativos ao DF
6341,Governança,2025-09-11T20:06:31.871Z,"Versão de Avaliação 2025","Distrito Federal","Distrito Federal",5300108,G5,A,"Estágio inicial",0.333,"O Distrito Federal instituiu, com caráter temporário, a Câmara Técnica de Mudança do Clima por meio da Resolução nº 01/2019 do Conam/DF com o propósito de estudar, analisar e propor diretrizes e orientações técnicas relacionadas à mudança do clima. Ela contou com a participação de entidades da sociedade civil como o Fórum das ONGs ambientalistas do DF e Entorno, a Federação das Indústrias do DF, a Associação do Mercado Imobiliário e UnB.
O instrumento dedicado a desempenhar essa função foi criado com validade temporária e encontra-se inativo pelo decurso do prazo, findo em 27 de janeiro de 2023. Destaca-se que, enquanto esteve vigente, sua estrutura previu a participação paritária da sociedade civil. A falta de continuidade do principal instrumento deliberativo especialmente dedicado às mudanças climáticas prejudica o atendimento ao requerido pela questão 1, e consequentemente do restante dos questionamentos. Assim, não há mecanismo permanente formalmente instituído para a participação na concepção e implementação de políticas ou ações especificamente relacionadas com mudanças climáticas.  Entretanto, a análise das evidências permite concluir quanto a presença de iniciativas que visam permitir o amadurecimento das estruturas de participação, seja por meio da existência temporária de uma câmara específica, bem como pela sua referenciação em normas relacionadas. De forma que o cenário atual não seria bem representado por "sem progresso", mas em estágio inicial.",,P
6346,Governança,2025-09-11T20:06:31.871Z,"Versão de Avaliação 2025","Distrito Federal","Distrito Federal",5300108,G5,B,"Estágio inicial",0.333,"Conforme a avaliação do item G5-A, contatou-se a existência de uma estrutura incipiente de participação nas decisões sobre ações referentes às mudanças climáticas por meio da Câmara Técnica de Mudança Climática - CTMC, que se encontra formalmente inativa.  A composição da Câmara Técnica de Mudança do Clima, conforme detalhado na Resolução nº 01/2019 , prevê a participação de representantes dos três setores exigidos: (a) da sociedade civil, por meio do Fórum das ONGs Ambientalistas do DF e Entorno
6367,Governança,2025-09-11T20:06:31.871Z,"Versão de Avaliação 2025","Distrito Federal","Distrito Federal",5300108,G6,A,"Estágio inicial",0.333,"No Plano de Adaptação do DF, há mapeamento geográfico e ambiental, além de análises integrando os dados e fornecendo uma visão inicial de onde podem ocorrer impactos mais severos dos riscos mais passíveis de ocorrência no âmbito regional. Entretanto, não há junção com dados socioeconômicos.
No âmbito da Defesa Civil, há delimitação de áreas de risco, mas somente com relação a riscos geológicos (alagamentos, deslizamentos, enxurradas, etc). Também não há junção com dados socioeconômicos.
No Zoneamento Ecológico-Econômico do DF (ZEE), há caracterização de riscos ambientais, assim como populações vulneráveis e de baixa renda. Entretanto, tais dados não são cruzados, e não há discussão sobre justiça climática.
Portanto, há alguma caracterização da população com base em dados geológicos, econômicos, sociais, entre outros
Entretanto, há dois projetos de lei sobre o tema no âmbito do DF: PLC 64/25 (Política Distrital de Arborização Urbana e de Combate a Desigualdades Ambientais) e PL 1138/2024 (Política Distrital de Atenção às Emergências Climáticas, Prevenção aos Desastres Ambientais e Combate ao Racismo Ambiental), demonstrando preocupação inicial sobre o assunto.",,P
7107,Governança,2025-09-11T20:06:31.871Z,"Versão de Avaliação 2025","Distrito Federal","Distrito Federal",5300108,G6,B,"Sem progresso",,"Inicialmente, como não há no DF uma identificação da população vulnerável, não há como haver sua inclusão no processo de tomada de decisão.
Ademais, não foi localizada nenhuma legislação, registro, cartilha, ou qualquer documento jurídico atestando a identificação dos grupos vulneráveis e sua inclusão nos processos de decisão. A suspeita da inexistência de mecanismos ligados ao tópico presente foi confirmada em entrevista, realizada na Secretaria de Meio Ambiente, na pergunta 11.
Com base nas evidências, é possível afirmar que não existem atualmente mecanismos de inclusão da população vulnerável nos processos de decisão no Distrito Federal.",,P
7093,Governança,2025-09-11T20:06:31.871Z,"Versão de Avaliação 2025","Distrito Federal","Distrito Federal",5300108,G6,C,"Sem progresso",,"Não foi localizada nenhuma menção na legislação (quadro legal e regulatório, plano de mitigação e plano de adaptação) relacionada a estratégias, políticas ou planos climáticos que de fato deem atenção efetiva aos grupos mais vulneráveis e incorporem uma perspectiva equitativa na distribuição de benefícios. A suspeita da inexistência de mecanismos ligados ao tópico presente foi confirmada em entrevista, realizada na Secretaria de Meio Ambiente, na pergunta 11. 
Com base nas evidências, é possível afirmar que não há atualmente na legislação nenhuma estratégia ou política destinada a distribuir benefícios equitativamente entre a população mais vulnerável nos processos de decisão no Distrito Federal.",,P
2641,Governança,2025-09-11T20:06:31.871Z,"Versão de Avaliação 2025","Distrito Federal","Distrito Federal",5300108,G7,A,"Estágio inicial",0.333,"A CLDF não possui comissões permanentes ou temporárias dedicadas especificamente ao tema das mudanças climáticas nos últimos dez anos. A comissão com atribuições mais próximas ao tema é a Comissão de Desenvolvimento Econômico Sustentável, Ciência, Tecnologia, Meio Ambiente e Turismo - CDESCTMAT, que trata de meio ambiente e desenvolvimento sustentável (art. 72, RICLDF), mas seu escopo é amplo e o clima não é mencionado de forma explícita. Além disso, o tema não é transversal às demais comissões permanentes previstas no art. 59 do Regimento Interno.
Também não foram identificados registros de iniciativas recentes da CDESCTMAT voltadas ao debate sobre mudanças climáticas, como audiências públicas ou relatórios temáticos. As duas audiências sobre o tema realizadas em 2024 foram de iniciativa de deputados não vinculados à comissão.
Diante da ausência de estrutura dedicada ou atuação sistemática da CLDF sobre mudanças climáticas, conclui-se que o Poder Legislativo local apresenta baixa institucionalização do tema em sua agenda.",,P
2642,Governança,2025-09-11T20:06:31.871Z,"Versão de Avaliação 2025","Distrito Federal","Distrito Federal",5300108,G7,B,"Sem progresso",,"A análise considerou pesquisas nos relatórios publicados pela Controladoria-Geral do DF (CGDF) no período de 2021 a 2025, disponíveis em seu portal institucional, e levantamento das fiscalizações registradas no sistema SISAUDIT e no e-TCDF, incluindo pesquisa por palavras-chave como "mudanças climáticas".
As evidências reunidas demonstram que não foram identificadas auditorias nos últimos cinco anos - concluídas, em andamento ou sob avaliação - que abordem a temática climática como foco principal, componente significativo ou mesmo elemento secundário da fiscalização. Dessa forma, justifica-se tecnicamente a classificação no menor nível de maturidade.",,P
6366,Governança,2025-09-11T20:06:31.871Z,"Versão de Avaliação 2025","Distrito Federal","Distrito Federal",5300108,G7,C,"Não avaliado",,"O TCDF não possui jurisdição junto ao TJDFT.</t>
  </si>
  <si>
    <t>A Política Estadual de Mudanças Climáticas (PEMC), instituída pela Lei Estadual 9.531, de 15/9/2010, é genérica e obsoleta, uma vez que concebida sob influência do Protocolo de Quioto. Sequer incorporou as novas metas climáticas internacionais, fixadas em 2015 no Acordo de Paris. Sua elaboração ocorreu sem diagnóstico prévio indicando a situação a ser resolvida e a desejada com a intervenção estatal. Seu desenho não considerou inventários das maiores fontes e sumidouros de gases de efeito estufa (GEEs) do ES, populações e áreas mais vulneráveis e expostas às adversidades climáticos, principais impactos das alterações do clima e setores a serem prioritariamente atendidos com ações de adaptação e mitigação. Estudos com dados que deveriam embasar sua formulação foram produzidos após a instituição da PEMC, a exemplo do 1.º inventário de emissões de GEEs do ES, feito com 3 anos de atraso, em 2013 (ano-base 2006), e do 2.º, elaborado em 2022 (ano-base 2020), 10 anos depois do prazo fixado.
O conteúdo da PEMC não explicita metas, estratégias, responsáveis por sua condução, fontes de recursos, indicadores de monitoramento e avaliação, estrutura de governança e gestão.
A Política não apresenta interrelação com outras correlatas, como a de saneamento básico, e não foi regulamentada, o que inviabilizou a implementação dos 14 instrumentos que elenca para enfrentar a crise climática.
Considerou-se, pela metodologia, o quesito como intermédiário, mas estaria de fato no estágio inicial.</t>
  </si>
  <si>
    <t>A Política Estadual de Mudanças Climáticas (PEMC), de 15/9/2010, se baseia na Política Nacional sobre Mudança do Clima (PNMC), de 29/12/2009. Embora não conflite com a legislação federal relacionada ao tema, foi concebida há 15 anos, ainda na vigência do Protocolo de Quioto, encontrando-se desatualizada frente aos normativos mais recentes e aos compromissos firmados em face do Acordo de Paris, celebrado em 2015. Prevendo neutralizar suas emissões até 2050, o Governo do ES concluiu, em 2024, o Plano de Descarbonização e Neutralização das Emissões de GEE do Espírito Santo. Trata-se da vertente de mitigação do Plano Estadual de Mudanças Climáticas (que deveria ter sido elaborado até 2012). Foi construído com metodologia semelhante à do governo federal, espelhada nos inventários de 2021 do Ministério da Ciência, Tecnologia e Inovação (MCTI) e do Observatório do Clima e nas formulações de emissões recomendadas pelo Painel Intergovernamental sobre Mudanças do Clima (IPCC) de 1996 e 2006 para cada empreendimento/atividade. O Plano de Adaptação ainda está em elaboração - até o momento, apenas seu Sumário Executivo foi publicado. Assim, ainda que a PEMC não contrarie os dispositivos federais, está obsoleta. O Plano de Descarbonização alinha-se aos principais dispositivos federais, incluindo metas de neutralização das emissões de GEEs até 2050, porém o Plano de Adaptação do ES ainda não foi concluído, razão pela qual a avaliação considera este quesito no estágio inicial.</t>
  </si>
  <si>
    <t>Os instrumentos de planejamento mais recentes do ES (Planejamento Estratégico 2023-2026 e Plano de Desenvolvimento de Longo Prazo ES 500 anos) mencionam genericamente a necessidade de ações de enfrentamento à mudança do clima, com programas pontuais. Análises dos instrumentos orçamentários do Governo do ES (PPA 2024-2027 e Lei Orçamentária Anual - LOA 2025) apontam que recursos previstos para debelar a crise climática provêm majoritariamente da execução de outras políticas (agricultura e recursos hídricos, por ex.), e não de uma estratégia clara para a temática. Essas peças orçamentárias refletem, assim, que o governo estadual tem tratado a crise climática com prioridade secundária, prevendo recursos não vinculados diretamente à PEMC, mas a políticas correlatas, pois não dispõe nem de estrutura de governança para a Política, nem de plano de adaptação. No PPA 2024-27 e na LOA 2025, há possíveis programas e ações relacionados ao tema, porque a PEMC é citada com outras políticas públicas. Com a edição do Decreto Estadual 6.164-R, de 22/8/25, que instituiu o orçamento climático como instrumento de integração entre o planejamento orçamentário e as ações de mitigação e adaptação, houve um avanço institucional, ainda que recente, em direção ao fortalecimento da PEMC. Portanto, verificam-se disposições que promovem a incorporação de aspectos da mudança do clima aos instrumentos de planejamento mais relevantes do ES, apesar de incipientes, situando o Estado em estágio intermediário.</t>
  </si>
  <si>
    <t>"O Governo do ES formalizou várias instâncias para tratar de questões referentes às mudanças do clima. Como exemplos, citem-se: o Programa Capixaba de Mudanças Climáticas (PCMC), o Fórum Estadual de Mudanças Climáticas, a Comissão Estadual de Mudanças Climáticas (CEMC) e a Comissão de Acompanhamento das Metas do Plano de Descarbonização do Espírito Santo. Entretanto, além de não estarem integradas, tais instâncias ou estão iniciando sua atuação, ou não atuam, a exemplo do Fórum, cujas atividades são incipientes. Ele existia mesmo antes da PEMC, instituído por meio de sucessivos decretos: 1.651, de 3/4/2006</t>
  </si>
  <si>
    <t>A Lei Estadual 9.531/2010 cita no Art. 24 que órgãos do Sistema Estadual do Meio Ambiente devem compatibilizar suas ações com instrumentos da PEMC. Seu Art. 25 prevê que sua gestão ficará a cargo da Secretaria de Estado de Meio Ambiente e Recursos Hídricos (Seama), a qual poderá instituir estrutura consultiva para apoiar a implementação da Política. Além desses elementos, não há regulamentação da governança da PEMC. O ES não editou ato definindo agentes incumbidos da condução da PEMC e suas respectivas responsabilidades, processos de trabalho, arranjos institucionais e mecanismos de coordenação, quesitos necessários à implementação de seus instrumentos, ao seu monitoramento e à sua avaliação, além do controle interno e da gestão de seus riscos. A falta de regulamentação e de estruturação da governança da PEMC e de definição de seus atores e atribuições inviabiliza a interação entre órgãos e esferas estatais e entre Governo e municípios. A estrutura que mais se aproximaria de um sistema de governança para a PEMC é o Programa Capixaba de Mudanças Climáticas (PCMC). O decreto que o instituiu não cita a Política, nem a regulamenta, mas designa o Governador como coordenador-geral e o Titular da Seama como coordenador executivo. Comitês estratégicos compõem a estrutura do PCMC, ao qual só está vinculada a governança do Plano de Descarbonização e Neutralização das Emissões de GEE do ES, conforme Decreto 6.178-R, de 3/9/2025. Assim, na metodologia, o Estado está em estágio inicial.</t>
  </si>
  <si>
    <t>Segundo o Subitem anterior, pelo fato de o Governo do Estado não ter estruturado seu sistema de governança e gestão com identificação clara dos agentes e de suas respectivas responsabilidades no âmbito da implementação da Política Estadual de Mudanças Climáticas (PEMC), não há como apontar um protagonista com atribuições de liderar, orientar e coordenar a atuação governamental e com autoridade para mobilizar outros órgãos. A Lei Estadual 9.531, de 15/9/2010, define, em seu Art. 25, a Seama como encarregada da gestão da PEMC. O Programa Capixaba de Mudanças Climáticas (PCMC) tem, como coordenador-geral (Art. 5.º), o Governador, que também preside (Art. 2.º) o quarto Fórum Capixaba de Mudanças Climáticas (FCMC) - ente tido como consultivo e paritário, criado desde 2006, para dirimir questões climáticas. Se considerada a posição hierárquica do Governador para mobilizar os demais órgãos e entidades do Executivo estadual, o ES teria uma liderança frente à sua Política. Entretanto, como a PEMC não dispõe de uma estrutura de governança e gestão, não há como o Chefe do Executivo estadual coordenar respostas e gerir subsídios técnicos que permitam tomadas de decisão, pois não existe uma instância formalmente designada para liderar, coordenar, implementar, monitorar e dar transparência às ações climáticas. Existem vários programas e várias instâncias/instituições criadas de forma desintegrada, mas não sob a égide da PEMC e sem convergência para um órgão coordenador.</t>
  </si>
  <si>
    <t>Segundo a Resposta Técnica 30/2025 - Seama/CMC, enviada ao TCE-ES em 17/7/2025, o mapeamento de riscos no ES fundamenta-se em dados produzidos por instituições como o Serviço Geológico do Brasil/Companhia de Pesquisa de Recursos Minerais (SGB/CPRM), o Instituto Nacional de Pesquisas Espaciais (Inpe) e o Sistema Meteorológico do Paraná (Simepar) - este último contratado pela Coordenadoria Estadual de Proteção e Defesa Civil (Cepdec) para operar o sistema estadual de monitoramento meteorológico 24 horas/dia.
O Estado utiliza os estudos produzidos pelo SGB/CPRM, incluindo cartas de suscetibilidade a inundações e a movimentos de massa, para subsidiar ações de planejamento territorial e de gestão de riscos nas atividades da Defesa Civil estadual.
Embora o Centro Nacional de Monitoramento e Alertas de Desastres Naturais (Cemaden) não tenha sido explicitamente citado na Resposta Técnica, a atuação do Simepar, em conjunto com os demais insumos científicos, cumpre função equivalente no que se refere ao monitoramento contínuo e à antecipação de eventos climáticos extremos no ES. Assim, o governo estadual está bem atendido nessa área.
Contudo, apesar de ser signatário da iniciativa AdaptaClima, o Poder Executivo não apresentou mapa de outros riscos derivados do aquecimento global, como insegurança alimentar e energética, desertificação, impactos costeiros e ameaças à saúde (como incidências de novas doenças) e à agricultura (como mudanças em espécies agrícolas).</t>
  </si>
  <si>
    <t>Apesar de o Governo do ES ter instituído a Política Estadual de Mudanças Climáticas (PEMC) desde 2010, seus principais instrumentos de planejamento (sem considerar os setoriais) atualmente vigentes (Planejamento Estratégico 2023-2026, Plano de Desenvolvimento de Longo Prazo ES 500 anos e PPA 2024-27) não consideram diretamente riscos climáticos no contexto dessa temática. Tratam a questão pontualmente, com programas e ações geralmente destinados ao enfrentamento de eventos extremos (prevenção a inundações e fortalecimento da Defesa Civil) e a obras de drenagem e de contenção de encostas e zonas costeiras.
No PPA 2024-27, os programas que poderiam estar relacionados ao enfrentamento da crise climática resultam de outras políticas e sequer mencionam ou estão interligados à PEMC.
Não há evidência de que o mapeamento de riscos oriente o planejamento ou guie as estratégicas climáticas do Executivo estadual, até porque a PEMC foi elaborada sem embasamento num diagnóstico indicando os principais riscos e vulnerabilidades do Estado.</t>
  </si>
  <si>
    <t>O Fórum Capixaba de Mudanças Climáticas (FCMC), um instrumento da PEMC, foi instituído pelo Decreto Estadual 4.503, de 20/9/2019, para ser um órgão consultivo e paritário para dirimir questões atinentes à temática no ES. É presidido pelo Governador do ES e integrado por representantes de 12 órgãos públicos estaduais, de 3 federações do setor empresarial, de 4 entidades do Terceiro Setor e de 4 instituições acadêmicas.  
O FCMC prevê (Art. 5.º) a instituição da Comissão Estadual de Mudanças Climáticas (CEMC), também paritária, que deve lhe dar suporte técnico e normativo e cujos membros são designados pelo presidente do Fórum, a partir de indicação de seus integrantes.
Há ainda o Programa Capixaba de Mudanças Climáticas (PCMC), que objetiva coordenar e integrar ações voltadas à adaptação e mitigação às mudanças climáticas e prevê a criação de comitês temáticos intersetoriais.
Entretanto, não foram apresentadas evidências de que estes mecanismos estão ativos, com funcionamento regular. A evidência mais recente encaminhada pelo Governo do ES constitui o convite para a 5.ª reunião do FCMC, datada de 20/6/2023. Também foi enviada uma planilha em Excel com informações sobre as reuniões da CEMC, todas realizadas entre junho e novembro de 2021.
Infere-se que, neste quesito, o Governo do ES atende aos atributos 1 e 2 da metodologia, pois foram criados mecanismos de coordenação intragovernamental, porém eles não estão integrados à PEMC e não há evidência de que estão ativos.</t>
  </si>
  <si>
    <t>O ES tem participação formal em mecanismos de coordenação horizontal intergovernamental voltados ao enfrentamento das mudanças do clima, com destaque para sua atuação no Consórcio Brasil Verde, iniciativa lançada em 2021, durante a Conferência entre as Partes (COP 26), voltada à articulação de governos estaduais no enfrentamento da crise climática. A adesão do Estado ao Consórcio foi ratificada pela Lei Estadual 11.668, de 22/7/2022, conferindo base legal à integração com outros 21 entes federativos na promoção de ações climáticas. O Governador do ES foi reeleito em 2025 para o segundo mandato como presidente da coalizão. Há várias notícias sobre a atuação do Governador do ES à frente do Consórcio e, apesar de não ter sido identificado nenhum sítio eletrônico dessa entidade, esta foi citada no Relatório Anual da Coalização Under2.
Embora não tenha se manifestado a respeito no ofício em resposta à requisição de dados pelo TCE-ES, observou-se que o Governo do ES integra, como membro, a Coalizão Under2, bem como é associado, desde 2022, à rede Governos Locais pela Sustentabilidade (Iclei).</t>
  </si>
  <si>
    <t>Como exemplo de articulação vertical com a União, o Governo do ES, por meio da Seama, é signatário da iniciativa AdaptaClima, coordenada pelo Ministério do Meio Ambiente e Mudança do Clima (MMA) - plataforma que sistematiza e disponibiliza informações e materiais sobre adaptação à mudança do clima, viabilizando intercâmbio de informações e planejamento de políticas públicas nessa área de enfrentamento à crise climática.
Em 19/2/2025, editou o Decreto Estadual 5.968-R/2025, instituindo o Programa Cidades Resilientes (Procire) no ES, que objetiva apoiar municípios capixabas na elaboração e implementação de planos municipais de redução de risco e adaptação às mudanças climáticas, dando-lhes suporte técnico e metodológico para estruturação de ações locais, suporte à captação de recursos estaduais, federais e internacionais para financiamento de resiliência, capacitação de gestores e servidores para gestão de riscos, etc.
Desde 2019, o Governo do ES mantém o Fórum Capixaba de Mudanças Climáticas (FCMC), composto, entre outros, de 1 representante da Associação dos Municípios do ES e de 1 da Associação Nacional de Órgãos Municipais de Meio Ambiente (Anamma). Essa instância visa, entre outros, estimular a cooperação com governos e organismos internacionais no âmbito de ações de adaptação e de mitigação, apoiar a obtenção de financiamentos nacionais e internacionais e estimular a participação de entidades capixabas nas COPs. Porém, a última evidência de atuação do FCMC é de 2023.</t>
  </si>
  <si>
    <t>O  Estado do ES tem instâncias voltadas à promoção de discussões técnicas e normativas sobre a temática climática prevendo a participação de atores não governamentais, a exemplo do Fórum Capixaba de Mudanças Climáticas (FCMC) e da Comissão Estadual de Mudanças Climáticas (CEMC), esta última criada para dar suporte ao FCMC.
Além de não serem ainda instâncias comprovadamente ativas, não há evidências de que contenham mecanismos que permitam a interação dos atores não governamentais com os órgãos estaduais envolvidos na ação climática. Também não existem relatórios demonstrando se as propostas e as opiniões dos atores não governamentais foram incorporadas ou rejeitadas nas deliberações referentes às questões climáticas.</t>
  </si>
  <si>
    <t>O Fórum Capixaba de Mudanças Climáticas (FCMC) tem 12 representantes do setor público (10 de órgãos estaduais e 2 de entidades representativas dos municípios), 3 do setor empresarial, 4 de instituições acadêmicas e 4 do Terceiro Setor (2 do Conselho Estadual de Meio Ambiente/Consema e 2 do Conselho Estadual de Recursos Hídricos/CERH, sendo um representante direto da sociedade civil organizada e um do Terceiro Setor dentro do Comitê de Bacias Hidrográficas/CBH). Observa-se, portanto, proporcionalmente, menor representatividade de atores não governamentais nessa instância. O Regimento Interno (Art. 15) do FCMC diz que as decisões de suas assembleias, quando não houver consenso, serão por maioria, estando, assim, esses atores não governamentais em desvantagem.
A Comissão Estadual de Mudanças Climáticas (CEMC), criada para dar suporte técnico e normativo ao Fórum, já tem uma composição mais igualitária, com 3 representantes de órgãos públicos estaduais, 2 do setor empresarial, 2 do Terceiro Setor e 2 da academia.
A Comissão de Acompanhamento das Metas do Plano de Descarbonização do ES, à qual compete elaborar e executar o monitoramento, o relato e a verificação (MRV) daquele Plano, entre outras atribuições, compõe-se de 3 representantes de órgãos públicos estaduais, 3 do setor privado, 2 da sociedade civil e 1 da academia.
Há, nas instâncias instituídas pelo Governo do ES, uma representação de setores distintos da sociedade, mas não há evidências da atuação dessas instâncias.</t>
  </si>
  <si>
    <t>O Plano Estadual de Adaptação às Mudanças Climáticas, que está em fase de elaboração, mapeia, eu seu Sumário Executivo (já publicado), áreas de risco expostas a eventos extremos decorrentes das mudanças do clima, como secas, enchentes, inundações e deslizamentos, identificadas principalmente a partir da plataforma AdaptaBrasil.
No entanto, as populações e as suas características socioeconômicas, as suas vulnerabilidades e as suas necessidades específicas não estão contabilizadas e mapeadas.
Infere-se, dessa forma, que tanto a Política Estadual de Mudanças Climáticas foi desenhada sem o diagnóstico das populações mais vulneráveis quanto o Plano de Adaptação ainda carece de detalhamento nesse sentido.</t>
  </si>
  <si>
    <t>O Fórum Capixaba de Mudanças Clímaticas prevê, em sua composição, 4 representantes do Terceiro Setor: 2 do Conselho Estadual de Meio Ambiente (Consema), sendo um da Federação das Associações de Moradores e Movimentos Populares (Famopes) e outro, da Central Única dos Trabalhadores (CUT)
Observa-se que a representação de grupos vulneráveis no FCMC é restrita.
As outras instâncias que permitem participação da sociedade civil são a Comissão Estadual de Mudanças Climáticas (CEMC), criada para dar suporte técnico e normativo ao FCMC, onde o Terceiro Setor conta com 2 representantes: 1 do Consema e outro do CERH, mesma representatividade da Comissão de Acompanhamento das Metas do Plano de Descarbonização do ES, instituída por decreto em março de 2022.
Além dessas instâncias, não foram encontrados outros mecanismos institucionais que poderiam garantir alguma participação de populações vulneráveis nos espaços decisórios para a agenda climática. Ressalte-se a falta de evidências da atuação dessas instâncias.</t>
  </si>
  <si>
    <t>A Política Estadual de Mudanças Climáticas (PEMC) do Espírito Santo reconhece explicitamente a equidade como um de seus princípios orientadores (Inciso V do Art. 1.º, incisos V e VI do Art. 3.º, por ex.), vinculando-a à promoção da justiça social e climática. Contudo, essa diretriz permanece no plano conceitual, sem desdobramentos práticos: a Política não estabelece mecanismos operacionais, critérios objetivos ou metodologias para identificar e priorizar grupos sociais vulneráveis ao clima. Também não há metas específicas nem ações afirmativas estruturadas associadas ao princípio da equidade.
O Plano de Descarbonização e Neutralização das Emissões de GEE do ES não aponta ações voltadas a populações em maior situação de vulnerabilidade socioambiental, como comunidades tradicionais, periferias urbanas ou trabalhadores expostos a riscos climáticos.
Tampouco o Sumário Executivo, publicado como parte do Plano Estadual de Adaptação às Mudanças Climáticas (ainda em elaboração), apresenta mapeamento social, diretrizes ou ações claras voltadas a grupos vulneráveis previamente identificados e caracterizados.</t>
  </si>
  <si>
    <t>A Assembleia Legislativa do Espírito Santo (Ales) possui mecanismos institucionais relevantes, como a Comissão de Meio Ambiente, que trata de temas ambientais e, eventualmente, climáticos, e a Frente Parlamentar sobre Mudança Climática, criada em 2023 com o objetivo específico de debater e propor ações legislativas relacionadas à crise climática. 
No entanto, a transversalidade do tema ainda necessita de desenvolvimento. Um exemplo é o PL 632/2023, que propõe incluir a educação climática na Política Estadual de Educação Ambiental. Embora relevante, o projeto segue em tramitação nas comissões, sem votação em plenário, refletindo uma atuação ainda limitada.
Além disso, embora já tenham ocorrido audiências e debates sobre mudanças climáticas, essas ações são pontuais e não caracterizam uma prática legislativa estruturada ou recorrente. Também não há evidências consistentes de produção de relatórios legislativos ou de fiscalização sistemática das políticas públicas relacionadas ao clima.</t>
  </si>
  <si>
    <t>A Secretaria de Estado Controle e Transparência (Secont) dispõe de uma auditoria em andamento com foco em questões relacionadas às mudanças climáticas. A execução dos trabalhos foi concluída e, atualmente, a auditoria se encontra em fase de elaboração do relatório final. O objetivo é avaliar o ambiente de controle do processo de trabalho de Monitoramento e Alerta à População sobre Eventos Extremos, Inundações e Secas, potencializados pelas mudanças climáticas, pertencente à Coordenadoria Estadual de Proteção e Defesa Civil (Cepdec), vinculada ao Corpo de Bombeiros Militar do Espírito Santo (CBMES).
No que se refere ao Tribunal de Contas do ES, foi realizada a Fiscalização 44/2024-1 (Processo TC 6.764/2024-4), na modalidade Acompanhamento, que objetivou verificar a formulação e a implementação da Política Estadual de Mudanças Climáticas por parte do Governo do Estado. Além disso, a Corte de Contas designou, desde fevereiro de 2025, parte das atribuições de um de seus núcleos de controle externo (o de Meio Ambiente, Saneamento e Mudanças Climáticas - Nasm) à temática.
Portanto, concluiu-se que a atuação dos controles externo e interno está em estágio avançado, considerando a classificação deste quesito no Manual de Aplicação.</t>
  </si>
  <si>
    <t>"O Tribunal de Justiça do ES (TJES) tem o Plano de Logística Sustentável (PLS), alinhado à Resolução CNJ 400, de 16/6/21, que objetiva ""estabelecer e acompanhar práticas de sustentabilidade, racionalização e qualidade, para uma melhor eficiência do gasto público e da gestão dos processos de trabalho"", além de nortear as contratações do Poder Judiciário de forma sustentável. 
O TJES possui um Plano de Descarbonização, o que demonstra certa preocupação com o enfrentamento da crise climática. Também instituiu a comissão de gestão do PLS (Ato Normativo 43/2022), demonstra interesse em participar de iniciativas relacionadas à temática climática, como a ""Semana da Pauta Verde"", que aconteceu de 18 a 22/8/25, e promove capacitações, como o curso sobre descarbonização, conforme evidência enviada. Tais ações podem ser consideradas compatíveis com as previstas no Inciso II do Art. 6.º da Resolução CNJ 433, de 27/10/21.
Não se constatou, porém, atendimento às demais ações da referida resolução, a exemplo da criação de núcleos especializados na temática ambiental nos centros judiciários de solução consensual de conflitos.
Portanto, com base nas informações públicas e nos documentos encaminhados à equipe do TCE-ES, concluiu-se que o TJES se encontra em estágio inicial na implementação da Política Nacional do Poder Judiciário para o Clima e o Meio Ambiente.",,P
,Governança,,"Versão 2025",Estado,"Estados consolidados",,G1,A,,91.358518518519,,,P
,Governança,,"Versão 2025",Estado,"Estados consolidados",,G1,B,,66.665925925926,,,P
,Governança,,"Versão 2025",Estado,"Estados consolidados",,G1,C,,72.84037037037,,,P
,Governança,,"Versão 2025",Estado,"Estados consolidados",,G2,A,,77.778518518519,,,P
,Governança,,"Versão 2025",Estado,"Estados consolidados",,G2,B,,71.605555555556,,,P
,Governança,,"Versão 2025",Estado,"Estados consolidados",,G2,C,,74.074444444444,,,P
,Governança,,"Versão 2025",Estado,"Estados consolidados",,G3,A,,50.617407407407,,,P
,Governança,,"Versão 2025",Estado,"Estados consolidados",,G3,B,,44.871153846154,,,P
,Governança,,"Versão 2025",Estado,"Estados consolidados",,G4,A,,75.30962962963,,,P
,Governança,,"Versão 2025",Estado,"Estados consolidados",,G4,B,,77.777407407407,,,P
,Governança,,"Versão 2025",Estado,"Estados consolidados",,G4,C,,65.432962962963,,,P
,Governança,,"Versão 2025",Estado,"Estados consolidados",,G5,A,,56.790740740741,,,P
,Governança,,"Versão 2025",Estado,"Estados consolidados",,G5,B,,77.778518518519,,,P
,Governança,,"Versão 2025",Estado,"Estados consolidados",,G6,A,,34.567777777778,,,P
,Governança,,"Versão 2025",Estado,"Estados consolidados",,G6,B,,48.147777777778,,,P
,Governança,,"Versão 2025",Estado,"Estados consolidados",,G6,C,,34.567037037037,,,P
,Governança,,"Versão 2025",Estado,"Estados consolidados",,G7,A,,61.728518518519,,,P
,Governança,,"Versão 2025",Estado,"Estados consolidados",,G7,B,,50.618148148148,,,P
,Governança,,"Versão 2025",Estado,"Estados consolidados",,G7,C,,44.871538461538,</t>
  </si>
  <si>
    <t>Existe um Decreto sobre descarbonização (Dec. 28124/2025) e um Caderno do Plano de Ação Florianópolis Sustentável. 
A estratégia de descarbonização está apresentada no site da Prefeitura (cfe. evidência), com objetivos, escopo, pilotos, produtos e atividades previstas e prazo de finalização. Os produtos estão disponíveis na internet também, como documentos que dão suporte às ações para reduzir os GEE. 
O plano Estratégia de Descarbonização do Município de Florianópolis está formalizado no mencionado Decreto. Mas, não pode ser considerado como uma lei abrangente que trate sobre as mudanças climáticas. Trata apenas da questão da descarbonização.</t>
  </si>
  <si>
    <t>O Decreto n. 28124/2025 e os documentos que compõem a estratégia de descarbonização de Florianópolis são compatíveis com os dispositivos nacionais. Mas, como foram consideradas não abrangentes, no item G1.A, por orientação do manual de aplicação do Painel ClimaBrasil, foi classificado como sem progresso.
A estratégia de descarbonização de Florianópolis foi elaborada em consonância com a Lei Federal nº 12.187, de 2009, que institui a PNMC, e tem como objetivo principal a redução das emissões de gases de efeito estufa no Brasil, em conformidade com os compromissos assumidos internacionalmente, como a Convenção- Quadro das Nações Unidas sobre Mudança do Clima (UNFCCC) e o Protocolo de Kyoto.
Também adere ao comprometimento do governo brasileiro, via Contribuição Nacionalmente Determinada, em reduzir as emissões de gases de efeito estufa em 48% até 2025 e em 53% até 2030, em relação às emissões de 2005.</t>
  </si>
  <si>
    <t>No Plano Estratégia de Descarbonização, aprovado pelo Decreto n. 28124/2025, há disposições sobre alinhamento estratégico (item 4.2) e arranjo institucional (item 4.3). Há também disposição sobre as partes interessadas e estrutura de governança (capítulo 5). É intermediário porque o assunto tratado envolve apenas a questão da descarbonização, e todas os órgãos da Prefeitura são instados a contribuir com o objetivo do plano. Não há responsabilidades e competências específicas atribuídas a determinadas secretarias.</t>
  </si>
  <si>
    <t>De acordo com a Lei Mun. 19256/2024, a Secretaria Municipal de Meio Ambiente e Desenvolvimento Sustentável possui regimento interno aprovado pelo Decreto n. 27461/2025. Em seu regimento não há disposições para tratar dos aspectos relacionados ao clima. Mas, o município possui o PROJETO DE LEI N.º 19256/2024, que dispõe sobre as diretrizes para a elaboração do Plano Municipal de Adaptação às Mudanças Climáticas, que já foi protocolado na CÂMARA MUNICIPAL DE FLORIANÓPOLIS.
A SMMADS também elaborou um Projeto de Lei para estabelecer uma "Política Municipal do Meio Ambiente" em Florianópolis, que trata de alguns assuntos relacionados as mudanças climáticas. A minuta deste PL, a exposição de motivos, o parecer técnico e o parecer jurídico foram anexados a esta planilha. O projeto segue em trâmites internos para ser emitido à Câmara Municipal de Florianópolis.
Há a estrutura formalizada, mas ela não atua no tema pois aguarda a aprovação dos mencionados projetos de lei.</t>
  </si>
  <si>
    <t>De acordo com a Prefeitura, as responsabilidades foram expostas no PROJETO DE LEI N.º 19256/2024 que está sob revisão da SMMADS.
Ou seja, não há responsabilidades definidas no Regimento Interno da Secretaria Municipal do Meio Ambiente e Desenvolvimento Sustentável.</t>
  </si>
  <si>
    <t>De acordo com a Prefeitura, o responsável foi nomeado no PROJETO DE LEI N.º 19256/2024 que está sob revisão da SMMADS (§ 1º do art. 5º do projeto). 
Pela informação e cópia do Projeto de Lei, deduz-se que a liderança não está sendo exercida no momento.</t>
  </si>
  <si>
    <t>Fpolis tem Carta de suscetibilidade a movimentos gravitacionais de massa e inundação elaborado pelo Serviço Geológico do Brasil, editado em 2015. Em 2006 foi editado o Plano Municipal de Redução de Riscos do Município, revisado em 2014.
Ou seja, o Município possui mapeamento de riscos, mas não foi atualizado nos últimos 5 anos.</t>
  </si>
  <si>
    <t>O mapeamento de vulnerabilidade e riscos foi elaborado em 2010. 
O Plano Municipal de Redução de Riscos está sendo atualmente revisado, conforme Decreto Nº 26.762/2024, que cria o Grupo Técnico para atualização do Plano Municipal de Redução de Risco do Município de Florianópolis. Aqui encontra-se o Plano Municipal de Redução de Riscos no Município de Florianópolis/SC elaborado em 2006, e revisado em 2014.
Em síntese, há mapeamentos de risco, mas não foram identificadas nas respostas das diligências o uso desses mapeamentos em instrumentos de planejamento do Município.</t>
  </si>
  <si>
    <t>De acordo com a Prefeitura, não existe estrutura definida por lei, regulamento ou outro documento oficial, responsável para o enfrentamento dos desafios relacionados com a mudança do clima.
O município possui o PROJETO DE LEI N.º 19256/2024, que dispõe sobre as diretrizes para a elaboração do Plano Municipal de Adaptação às Mudanças Climáticas, que já foi protocolado na CÂMARA MUNICIPAL DE FLORIANÓPOLIS e atualmente está sob revisão da SMMADS (arquivo enviado em anexo).</t>
  </si>
  <si>
    <t>De acordo com a Prefeitura, não existe estrutura definida por lei, regulamento ou outro documento oficial. 
Há apenas um projeto de lei. 
Como não há estrutura, infere-se que não há participação.</t>
  </si>
  <si>
    <t>"De acordo a PMF, há o Decreto n. 26.762/2024, que cria o Grupo Técnico para atualização do Plano Municipal de Redução de Risco do Município de Florianópolis, prevê em seu artigo art. 3º a participação da sociedade civil, Universidade Federal de Santa Catarina e demais órgãos públicos das esferas municipais, estaduais e federais, e entidades da sociedade civil organizada.
Apesar dessa previsão de participação de atores externos no Decreto 26762/2024, esses atores de fora da prefeitura não tem acento no Grupo Técnico, que é formado somente por profissionais da estrutura do Governo. 
O município também possui o Conselho Municipal de Defesa do Meio Ambiente (COMDEMA), reestruturado pela lei Nº 8130/2010 que compete, também: ""propor atividades prioritárias de ação do município em relação à proteção e conservação do meio ambiente"". E em sua estrutura está assegurada a ampla participação da Sociedade Civil.
Tanto o Decreto 26762/2024, quanto a Lei 8130/2010 (do COMDEMA) não trazem disposições expressas sobre mudanças climáticas.
Em síntese: 1. existem mecanismos formais, contínuos e deliberativos. 2. Há estruturação dos mecanismos</t>
  </si>
  <si>
    <t>Conforme item G5.A., há previsão de que o Grupo Técnico envolva a sociedade civil, o setor privado e o setor acadêmico nas discussões, entretanto, esses atores não tem acento no Grupo (Decreto 26762/2024.
No CONDEMA a representação está definida e considerada suficiente pela equipe de auditoria, apesar da Universidade do Estado de Santa Catarina não integrar o Conselho.
Tanto o Decreto 26762/2024, quanto a Lei 8130/2010 (do DOMDEMA) não trazem disposições expressas sobre mudanças climáticas. A equipe de auditores analisou atas do CONDEMA.</t>
  </si>
  <si>
    <t>"A Prefeitura informa que há: Mapeamento de Vulnerabilidade e riscos
Verificou-se que no Plano Municipal de Habitação de Interesse
Social são observados os locais da cidade onde há mais vulnerabilidade aos eventos climáticos extremos e as ações previstas para proteger os grupos mais vulneráveis. 
Entretanto, no documento, não constam identificadas as necessidades específicas desses grupos, por isso não se pode considerar estágio avançado.
Em relação ao mapeamento que existe, não se constatou a identificação de fatores de exclusão social e discriminação</t>
  </si>
  <si>
    <t>De acordo com a Prefeitura, o Projeto de Lei n.º 19256/2024 que está sob revisão da SMMADS prevê em seu Art. 5º. As medidas previstas no Plano Municipal de Adaptação às Mudanças Climáticas, a ser elaborado pelo órgão municipal competente, será formulada em articulação com a sociedade civil organizada, universidades, centros de pesquisas e com os setores socioeconômicos, garantida a participação social dos mais vulneráveis aos efeitos adversos dessa mudança.
Na revisão do Plano Diretor do Município foram realizadas audiências públicas. O Plano discorre sobre a necessidade de considerar os riscos decorrentes de alterações climáticas e os dispositivos foram submetidos a apreciação das comunidades interessadas, no ano de 2023.
Assim, pode-se considerar que as audiências públicas do Plano Diretor se constituem num mecanismo formal de participação social, restrito aos aos assuntos de uso e ocupação do solo do Município.</t>
  </si>
  <si>
    <t>Conforme item G6.A, há Mapeamento de Vulnerabilidade e riscos
O Estudo de vulnerabilidade e riscos ambientais contempla aspectos sociais, ambientais, econômicos e outros. A preocupação com a equidade é tratada de forma implícita no plano. O Plano Municipal de Redução de Riscos contém ações prioritárias de defesa civil para comunidades vulneráveis instaladas em áreas de riscos. 
A equipe de auditores constatou que o Plano Municipal de Habitação de Interesse Social contempla políticas equitativas com relação a grupos em situação de vulnerabilidade a eventos climáticos. Apesar dessa informação, trata-se de uma política pontual e específica, decorrente da Lei Nacional n. 11.124/2005, que trata do Sistema Nacional de Habitação de Interesse Social - SNHIS.  O Plano se refere somente à política pública habitacional, não contemplando outras políticas públicas que também podem promover equidade no caso de mudanças climáticas. Também, não foram identificados grupos vulneráveis de outras políticas públicas que podem oferecer equidade, como exemplo, políticas de saúde,  políticas para zona costeira, entre outros.
O Plano contempla o risco de eventos climáticos extremos, embora não discorra sobre a intensificação dos eventos em razão da mudança climática.</t>
  </si>
  <si>
    <t>A Câmara Municipal de Florianópolis possui a Comissão Permanente do Meio Ambiente e no dia 16/06/2025 criou a Frente Parlamentar de Atenção as Mudanças Climáticas que aguarda a elaboração e publicação do Ato de Constituição (Sessão ordinária do dia 16/06/2025 - 1h11min12seg). 
Registre-se que a criação da Frente ocorreu depois da realização da diligência por este Tribunal de Contas. 
Como foi recém criada, não há registro de atividades legislativas específicas (audiências públicas, debates, relatórios). Por isso, considera-se no estágio inicial.</t>
  </si>
  <si>
    <t>De acordo com a Prefeitura, não foi realizada pelo Controle Interno, nos últimos 5 anos, auditoria em que constou como foco principal
alguma questão relacionada com a mudança do clima.
O TCESC realizou levantamento nos municípios do Estado acerca do uso indevido do solo frente aos desastres naturais em todos os município do Estado, inclusive Florianópolis. O TCU entende que a avaliação é limítrofe entre estado inicial e sem progresso, por isso a equipe reclassificou para sem progresso.</t>
  </si>
  <si>
    <t>Por se tratar de município, não há poder judiciário.</t>
  </si>
  <si>
    <t>Fortaleza demonstra marco legal robusto por meio do Plano Local de Ação Climática (PLAC 2020), instrumento formal que integra:
Metas concretas de mitigação e adaptação em setores-chave (mobilidade, energia, resíduos)
Alinhamento explícito com o Acordo de Paris e NDC brasileira, utilizando metodologias do IPCC para inventários
Governança estruturada, com previsão de sistemas de monitoramento e participação social
Revisão periódica (quinquenal) para atualização técnico-normativa, garantindo coerência com políticas federais e estaduais.
O PLAC ultrapassa a mera conformidade genérica ao estabelecer diretrizes setoriais detalhadas (ex.: infraestrutura verde, redução de emissões no transporte) e instrumentos operacionais (ex.: padrões de reporte, mecanismos de financiamento). A integração entre mitigação e adaptação, somada à previsão de fontes específicas de implementação (ex.: fundos climáticos), atende aos critérios de "legislação atualizada e integrada" do estágio avançado. A ausência de menção a sanções explícitas para descumprimento não invalida a classificação, dada a completude do arcabouço técnico-normativo e seu caráter vinculante pela via administrativa.</t>
  </si>
  <si>
    <t>O PLAC 2020 atende integralmente aos 5 critérios de consistência com os planos federais:
Conformidade normativa: Suplementa a PNMC sem conflitos, respeitando competências constitucionais (§1º, art. 23 CF/88)
Harmonização setorial: Replica eixos federais (mitigação/adaptação) com ações em mobilidade, energia e resíduos, adaptando-os às especificidades costeiras locais
Sinergia quantitativa: Metas de redução parametrizadas em inventário de emissões (2014-2020) compatíveis com as NDCs do Acordo de Paris (45% até 2030)
Coordenação temporal: Revisões quinquenais alinhadas aos ciclos federais (ex.: PNA 2024 e atualização NDC 2025)
Padronização metodológica: Utiliza diretrizes do IPCC para inventários (GPC) idênticas às adotadas no Sistema Sectorial Municipal (CTF/MMA).
A atualização em curso (parceria SEUMA-IPPLAN) inclui mecanismos de vinculação automática às atualizações federais. A convergência operacional com a Política Nacional de Resíduos Sólidos (biometano de aterros) e Planos Setoriais de Baixo Carbono (transporte BRT) confirma a integração sistêmica.</t>
  </si>
  <si>
    <t>A Lei nº 10.586/2017, Art. 5º, Inciso I, constitui disposição específica que estabelece a integração transversal da política climática aos instrumentos de planejamento, atendendo ao critério mínimo do "Estágio Inicial". Contudo, a norma não detalha mecanismos operacionais para efetivar essa integração (ex: como inserir metas climáticas no PPA/LDO, setores prioritários ou métricas), caracterizando generalidade que impede classificação superior. Embora o PPA 2022-2025 não explicite a vinculação climática, o componente G1C avalia exclusivamente a previsão legal, não sua implementação prática (objeto de outros eixos).</t>
  </si>
  <si>
    <t>A CECLIMA está formalmente instituída pelo Decreto 15.101/2021 e demonstra operacionalidade por meio de ações como o PLAC, Forclima e monitoramento da qualidade do ar (EMQAR), atendendo aos critérios de estrutura dedicada e atuação efetiva (manual p. 14). Programas como o Selo Empresa Amiga e o IVCC evidenciam integração parcial com setores econômicos e técnicos. Contudo, a classificação mantém-se no estágio intermediário devido à ausência de comprovação sobre:
Alocação orçamentária específica na LOA/PPA
Equipe técnica exclusiva (dados sobre servidores dedicados ou contratações)
Internalização explícita em políticas críticas como mobilidade urbana ou saúde.
Embora haja coordenação via fóruns (Forclima), não há evidências de que metas climáticas estejam formalmente inseridas em planos setoriais de outras secretarias. Para avançar, seria necessária a demonstração de recursos financeiros vinculados e integração transversal obrigatória em políticas públicas estratégicas.</t>
  </si>
  <si>
    <t>A análise do decreto (15280/2022) demonstra atribuição clara e integrada das responsabilidades na governança climática. O Gabinete de Governança Climática assume a liderança estratégica (Art. 4º, I), coordenação interinstitucional (Art. 5º) e monitoramento de metas (Art. 4º, II), com protocolos para integração multissetorial (Art. 8º). As secretarias parceiras possuem atribuições complementares em áreas como meio ambiente e infraestrutura (Art. 4º, parágrafo único), sem sobreposições críticas. A previsão de relatórios públicos (Art. 4º, IV) atende à transparência. Não há evidências de lacunas ou sobreposições não intencionais, configurando um modelo alinhado à governança multinível exigida pelo Painel ClimaBrasil.</t>
  </si>
  <si>
    <t>O Decreto nº 15.280/2022 vinculou o Gabinete de Governança Climática (GGC) à Secretaria de Urbanismo e Meio Ambiente, mantendo hierarquia equivalente às demais secretarias municipais, o que limita sua autoridade para arbitrar conflitos intersetoriais. Apesar da participação de secretários titulares no colegiado (Art. 5º, incisos I-VIII), o § 2º do Art. 5º define a representação como "honorífica", sem prerrogativas decisórias formais. A dependência da COPIFOR para articulação técnica (Art. 8º) demonstra fragilidade na autonomia operacional. Embora o Art. 3º preveja análise de projetos setoriais, não há menção a mecanismos vinculantes ou sanções por descumprimento. A remissão genérica à "Política Municipal de Mudanças Climáticas" (Art. 2º, I) carece de regulamentação específica, fragilizando o mandato. O Art. 6º, XII confere representação externa à Coordenação, mas não estabelece conexão direta com o Gabinete do Prefeito, contrariando a recomendação do manual para estruturas vinculadas ao chefe do Executivo. A ausência de previsão de assessoria técnica exclusiva ou recursos próprios reforça o caráter setorial da governança climática.</t>
  </si>
  <si>
    <t>Utiliza alertas do CEMADEN (parceria desde 2014) e integra dados da plataforma AdaptaBrasil, atendendo ao requisito de "evidências científicas".
O Plano Local de Habitação de Interesse Social de Fortaleza atualiza mapeamentos de áreas de risco socioambiental com metodologia técnica (imagens de satélite, integração ao Cadastro Único).
Lacunas críticas:
Setores não abrangidos: O mapeamento limita-se aos desastres geo-hidrológicos (inundações, deslizamentos) e infraestrutura urbana, ignorando setores obrigatórios do AdaptaBrasil como saúde, segurança alimentar, e zonas costeiras.
Abordagem não holística: Foco reativo em emergências (via Defesa Civil) sem integrar riscos de longo prazo (ex.: doenças ligadas ao clima, perda de biodiversidade).
Projeções climáticas ausentes: Não há evidência de incorporação de cenários futuros do AdaptaBrasil (ex.: aumento do nível do mar, secas prolongadas) nos planos locais.
Conclusão: Embora o ente utilize plataformas federais e atualize seu mapeamento, a falta de transversalidade setorial e a ausência de projeções climáticas integradas configuram uma aplicação incompleta do escopo exigido. O estágio avançado exigiria:
Mapeamento multissetorial completo (8 setores do AdaptaBrasil)
Metodologia que associe riscos atuais a cenários futuros
Estratégias preventivas para além de desastres imediatos.</t>
  </si>
  <si>
    <t>A Prefeitura de Fortaleza demonstra incorporação parcial de riscos climáticos em instrumentos de planejamento, alinhando-se ao Estágio Intermediário.
Argumentos técnicos:
Dois instrumentos em revisão (Plano Diretor Participativo e Sustentável de Fortaleza - PDPS e Plano de Ação Climática de Fortaleza - PAC) incluem ações estratégicas contra riscos climáticos (inundações, ondas de calor), porém ainda não concluídos.
Observatório de Riscos Climáticos fornece dados para decisões, mas sem integração comprovada a mecanismos orçamentários (PPA, LDO).
Ausência de documentos finalizados limita a avaliação de efetividade e abrangência.
Conformidade com o manual:
A falta de vínculo com orçamento e a fase embrionária dos planos (PDPS/PAC em revisão) afastam o estágio avançado, que exige "guia efetivo do planejamento" (p. 20-21).
Não conformidade crítica: O Plano Municipal de Redução de Riscos (PMRR), previsto para 2026, não foi considerado por estar em fase inicial, confirmando a falta de sistematização total.</t>
  </si>
  <si>
    <t>Os mecanismos institucionais evidenciados (Fórum FORCLIMA e FUNDEMA) cumprem integralmente os atributos:
Mecanismos formais multissetoriais - O FORCLIMA, estabelecido pelo Decreto 13.639/2015, integra 16 secretarias e órgãos municipais (SEUMA, SESEC, SEINF, CITINOVA etc.), com regras claras de operação, câmaras técnicas permanentes (mitigação, adaptação) e mandatos definidos.
Inclusão setorial - Abrange áreas-chave do enfrentamento climático: meio ambiente (SEUMA), infraestrutura (SEINF), saúde (SMS), defesa civil (SESEC/COMPDEC) e planejamento (IPLANFOR), conforme art. 3º do Decreto.
Dinâmica operacional comprovada - Previsão de reuniões regulares (Art. 9º), produção de inventários de GEE, planos municipais e relatórios técnicos (Art. 2º, II e IV). A existência de Secretaria Executiva (Art. 5º) e prazos para regulamentação reforçam a funcionalidade.</t>
  </si>
  <si>
    <t>Representação formal: Participação ativa em 14 redes/alianças (C40, ICLEI, Pacto Global de Prefeitos, CB27, entre outras), com suporte técnico institucionalizado
Evidências de interação: Projetos concretos como Urban-LEDS e MCR2030, além de relatórios públicos (ex: carbonn Registry) que comprovam engajamento contínuo
Adesão a coalizões reconhecidas: Enquadra-se em 3+ alianças citadas no manual (C40, ICLEI, Race to Zero).
Fundamentação crítica: Atende integralmente aos três critérios de verificação do manual (designação formal, participação efetiva e adesão a coalizões), alinhando-se às melhores práticas de governança multinível (Painel ClimaBrasil, p. 24-25). Não foram identificadas não conformidades.</t>
  </si>
  <si>
    <t>Fortaleza demonstra conformidade integral com os três atributos de verificação:
Participação nos mecanismos relevantes: Engaja-se ativamente em espaços interfederativos como CDP-ICLEI Track, Rede C40, ACA Brasil e Fórum CB27, alinhados ao contexto local de mudanças climáticas.
Representatividade adequada: Designa representantes formais (ex.: Secretaria Municipal de Urbanismo e Meio Ambiente) para atuar em iniciativas como o Plano Clima e a Câmara de Articulação Interfederativa (Decreto 12.041/2024), garantindo interlocução técnica qualificada.
Evidências de participação efetiva: Registra presença em reuniões da C40, oficinas do Plano Nacional de Arborização Urbana e seminários do CB27 (ex.: atas públicas e relatórios institucionais), indicando interação regular.
A atuação ultrapassa a mera formalidade, com integração a agendas nacionais (MMA) e internacionais (C40), além de articulação com mecanismos federais (Câmara de Articulação Interfederativa).</t>
  </si>
  <si>
    <t>A Prefeitura de Fortaleza demonstra conformidade integral com os quatro critérios de verificação do manual. 1) Mecanismos formais e contínuos: O FORCLIMA, os Fóruns Territoriais e os Conselhos das ZEIS são instituídos por legislação municipal (atos normativos e decretos), atuando tanto na concepção quanto na implementação de políticas climáticas. 2) Interação regular: Há evidências de reuniões periódicas (ex.: relatórios do FORCLIMA) e participação de múltiplos atores (sociedade civil, setor privado, academia), com agendas públicas e registros de debates. 3) Consideração de perspectivas: As contribuições são documentadas em relatórios técnicos (ex.: propostas encaminhadas ao poder público) e incorporadas em políticas, como resiliência urbana e habitação social. 4) Resposta institucional: A Prefeitura comprova feedback estruturado, com atas, relatórios de encaminhamentos e alterações em planos municipais, evidenciando transparência na análise das demandas. Os mecanismos atendem integralmente aos requisitos de participação deliberativa, inclusão de grupos vulneráveis (ZEIS) e impacto efetivo nas decisões, configurando um modelo consolidado de governança climática colaborativa.</t>
  </si>
  <si>
    <t>A classificação em Estágio Intermediário decorre da identificação de estruturas formais de participação, como o Fórum de Mudanças Climáticas (FORCLIMA)  -  criado pelo Decreto Municipal nº 12.341/2014, com composição multissetorial conforme Resolução FORCLIMA 001/2022  -  e o Comitê Gestor Sustentável (CGS), regulamentado pela Lei 10.210/2015, que prevê assentos paritários para ONGs, empresas e instituições técnicas. Tais mecanismos cumprem o critério de "representação formal" do manual Painel Clima Brasil. Contudo, o Art. 5º do Decreto 15.280/2022 exclui esses atores do Colegiado do Gabinete de Governança Climática (GGC), órgão decisório central, limitando sua influência a instâncias consultivas. Adicionalmente, não há evidências de mapeamento sistemático de partes interessadas ou critérios transparentes para seleção de participantes, requisitos para o Estágio Avançado.</t>
  </si>
  <si>
    <t>A Prefeitura de Fortaleza demonstra mapeamento integrado de vulnerabilidades, articulando critérios geofísicos (mapas de risco do PLAC/2022 e Plano Diretor), dados socioeconômicos (renda, infraestrutura em ZEIS) e fatores de exclusão (idosos, pessoas com deficiência). Foram identificados grupos prioritários: moradores de áreas de risco hidrológico, comunidades sob ilhas de calor, populações em habitações precárias e categorias sociais com menor capacidade adaptativa. As necessidades específicas (drenagem, saúde preventiva, infraestrutura resiliente) estão vinculadas a políticas públicas como o PLHIS e projetos de mobilidade sustentável.
A metodologia cumpre os requisitos do Painel ClimaBrasil por:
Abordagem multidimensional: Combina variáveis ambientais (Observatório de Riscos) e socioeconômicas (indicadores do PLAC).
Institucionalização participativa: Engaja conselhos representativos (ZEIS, FORCLIMA) e fóruns territoriais.
Integração com planejamento: Necessidades mapeadas orientam ações no PLAC (eixos de infraestrutura e habitação).</t>
  </si>
  <si>
    <t>A Prefeitura de Fortaleza demonstra mecanismos formais robustos de inclusão dos grupos vulneráveis no processo decisório climático, como o FORCLIMA (instituído por decreto) e fóruns territoriais vinculados ao PPA. Há evidências de representatividade múltipla (comunidades periféricas, movimentos sociais) e protocolos acessíveis (editais multilíngues, reuniões descentralizadas). Os registros de atas e propostas incorporadas comprovam influência direta nas políticas (ex.: Programa de Drenagem Sustentável originado em demanda territorial). Contudo, faltam indícios de cotas para povos indígenas nos órgãos e metodologias de validação intersetorial entre saberes técnicos e tradicionais. Recomenda-se aprimorar a participação de quilombolas e aprimorar indicadores de efetividade.</t>
  </si>
  <si>
    <t>Fortaleza demonstra integração parcial da perspectiva equitativa em políticas climáticas, atendendo critérios essenciais, mas com lacunas operacionais. Os planos climáticos (ex.: Programa Fortaleza Inclusiva, Rotas da Infância) direcionam ações a grupos vulneráveis (crianças, comunidades escolares) e incorporam salvaguardas (ex.: infraestrutura segura em áreas periféricas). Há alinhamento ao marco legal via adesão a pactos internacionais (C40, MCR 2030), que formalizam compromissos com equidade. Contudo, há limitações críticas: 
(1) Falta de metas quantitativas para redução de vulnerabilidades (ex.: nº de famílias realocadas, % de recursos para territórios periféricos)
(2) Ausência de dados públicos sobre financiamento direcionado a grupos prioritários
(3) Escopo restrito a comunidades urbanas, sem menção a povos tradicionais ou agricultores familiares. Embora haja transparência básica (links institucionais), não há relatórios de monitoramento socialmente auditáveis ou canais formais de reclamação. Conclui-se que há estruturas de equidade nos planos, mas não abrangem todos os grupos vulneráveis relevantes (ex.: LGBTQIA+ ) nem garantem prestação de contas integral, conforme exigido para o estágio avançado.</t>
  </si>
  <si>
    <t>A Câmara Municipal de Fortaleza apresenta ações pontuais na agenda climática, atendendo parcialmente aos critérios. Há uma Comissão Permanente de Política Urbana e Meio Ambiente com previsão regimental para clima (art. 58, VII, RI/CMFor), porém não exclusiva. Foram registrados 2 requerimentos de audiência pública (2024-2025) sobre educação climática e COP30, mas sem metodologia sistêmica de debates ou produtos técnicos subsequentes. Não há comissões temporárias específicas, nem mecanismos formais de transversalidade em outras comissões (Saúde, Infraestrutura etc.). A Lei Municipal 10.619/2017 (Política Climática) não consta ter sido objeto de revisão ou fiscalização legislativa.
Embora possua base normativa e ferramentas digitais (CMFor 360), não demonstra:
Alocação orçamentária específica para clima
Relatórios de monitoramento das emissões ou políticas municipais
Interação intercomissões para análise de impactos climáticos em propostas legislativas
Articulação com atores subnacionais ou protocolos de accountability
A atividade limita-se a iniciativas isoladas, sem continuidade técnica ou integração estratégica, configurando engajamento primário conforme critérios do Painel Clima Brasil</t>
  </si>
  <si>
    <t>O Tribunal de Contas do Estado do Ceará e a Controladoria e Ouvidoria Geral do Município não realizaram Ação de Fiscalização e/ou Auditoria com foco principal em alguma questão relacionada a mudança do clima.</t>
  </si>
  <si>
    <t>Não existe Poder Judiciário no Município de Fortaleza.</t>
  </si>
  <si>
    <t>O Estado de Goiás possui um arcabouço legislativo que trata de forma abrangente as mudanças climáticas, contemplando tanto ações de mitigação quanto de adaptação. A principal norma sobre o tema é a Lei nº 16.497/2009, que institui a Política Estadual sobre Mudanças Climáticas (PEMC). Essa lei estabelece os princípios, objetivos, diretrizes e instrumentos da política estadual, com foco predominante na mitigação das emissões de gases de efeito estufa. Ainda assim, a norma incorpora elementos relacionados à adaptação climática, como a consideração de variáveis ambientais, sociais e de saúde pública (art. 2º, II), a avaliação de impactos sobre o micro e macroclima (art. 5º, VIII) e a destinação de recursos de créditos de carbono para a melhoria da qualidade de vida da população do entorno dos projetos (art. 6º, parágrafo único).
Complementarmente, a Decreto nº 9.891/2021 institui o Plano Setorial para Adaptação à Mudança do Clima e Baixa Emissão de Carbono na Agropecuária. Além disso, o Estado conta com diversas normas setoriais relevantes, como as políticas estaduais de agricultura irrigada, educação ambiental, florestas, unidades de conservação e licenciamento ambiental, que reforçam a integração da agenda climática em áreas estratégicas. Considerando a existência de um marco legal consistente e formalizado, que contempla tanto mitigação quanto adaptação, inclusive por meio de legislações setoriais, classifica-se o item G1.A como estágio avançado.</t>
  </si>
  <si>
    <t>O Estado de Goiás apresenta compatibilidade formal entre sua legislação climática e os marcos federais, respeitando a repartição de competências prevista na Constituição. A Política Estadual sobre Mudança do Clima (Lei nº 16.497/2009) adota diretrizes alinhadas à PNMC, abordando os temas de mitigação e adaptação de forma conceitualmente coerente. Também se observa consonância entre as normas estaduais de recursos hídricos e ambientais com seus equivalentes nacionais, sem conflitos normativos.
Entretanto, a legislação estadual ainda carece de metas específicas de redução de emissões de gases de efeito estufa que dialoguem com os compromissos internacionais assumidos pelo Brasil, assim como de prazos estruturados para implementação de ações de adaptação. O Plano ABC+ Goiás, em fase de elaboração, poderá representar um avanço nesse sentido, mas ainda não possui diretrizes formalizadas. Além disso, o estado não publicou inventário oficial de emissões nem adota metodologias compatíveis com os padrões utilizados pelo governo federal, o que compromete a integração técnica dos dados em escala nacional.
Nesse cenário, embora haja avanços conceituais e normativos, o grau de alinhamento prático com os instrumentos federais justifica a permanência do estado na faixa classificatória correspondente ao Estágio Inicial.</t>
  </si>
  <si>
    <t>A Lei Estadual nº 16.497/2009, que institui a Política Estadual sobre Mudanças Climáticas, prevê a coordenação com outras políticas públicas (art. 4º, IV) e a cooperação federativa (art. 4º, V), em consonância com a Política Nacional sobre Mudança do Clima (Lei nº 12.187/2009) e com a Convenção-Quadro da ONU. Entre seus instrumentos estão planos setoriais, incentivos fiscais e mecanismos de desenvolvimento limpo. A Lei nº 18.995/2015 estabelece a integração da agricultura irrigada com as políticas estaduais de recursos hídricos, meio ambiente, energia e saneamento, por meio de planos por bacia hidrográfica e de conselho intersetorial. A Lei nº 22.306/2023 determina ações conjuntas entre agricultura, meio ambiente e ciência para promover práticas sustentáveis e tecnologias limpas. Esses dispositivos demonstram mecanismos formais e específicos de integração climática com políticas setoriais relevantes. Contudo, ainda não se observa a institucionalização transversal e obrigatória da integração climática nos instrumentos centrais de planejamento (como PPA, LDO e LOA), tampouco a abrangência contínua em setores como mobilidade, saúde ou defesa civil. Diante disso, a classificação mais adequada, conforme os critérios do manual, é estágio intermediário.</t>
  </si>
  <si>
    <t>O Estado de Goiás possui uma estrutura governamental formal e atuante para tratar dos aspectos relacionados às mudanças climáticas, com o tema devidamente internalizado de forma transversal nos diversos órgãos do ente. Destaca-se o art. 39 do Decreto Estadual n° 10.464/2024, que estabelece as competências e formaliza a atuação da Gerência de Mudanças Climáticas e Serviços Ecossistêmicos (Gecli), inserida na estrutura organizacional da Secretaria de Estado de Meio Ambiente e Desenvolvimento Sustentável (Semad). A Gecli demonstra transparência por meio da publicação de relatórios mensais e relatório anual de atividades (em anexo). Além disso, a Gerência tem se mostrado colaborativa, participando de encontros, debates e reuniões e de grupos de trabalho temáticos (em anexo). Outro registro que evidencia a atuação do governo são os grupos de trabalho de planos setoriais (PPCDQIF, Goiás Resiliente e Projeto REDD+ Goiás). A integração do tema com outros órgãos governamentais é promovida pelo Fórum Goiano de Mudanças Climáticas e Desenvolvimento Sustentável (Decreto Estadual n° 10.524/2024). Com essa entidade, objetiva-se debater questões relacionadas ao desenvolvimento sustentável e aos desafios das mudanças climáticas no Estado, contando com a participação de representantes do setor público, da sociedade civil e demais convidados. Sua estrutura inclui três câmaras temáticas, cada uma com seus respectivos planos de trabalho (em anexo).</t>
  </si>
  <si>
    <t>As atribuições de liderar, coordenar, implementar, monitorar e garantir a transparência das ações climáticas no Estado de Goiás estão distribuídas entre a Superintendência de Desenvolvimento Sustentável e Resíduos Sólidos, a Gerência de Mudanças Climáticas e Serviços Ecossistêmicos (Gecli), ambas vinculadas à Semad, e o Fórum Goiano de Mudanças Climáticas, que atua como instância consultiva em questões climáticas. A análise da legislação vigente identificou que essas entidades possuem competências relacionadas a liderança, coordenação, implementação, monitoramento e transparência. Contudo, foram detectadas sobreposições e lacunas que podem comprometer a eficiência das ações climáticas. Por exemplo, tanto a Gecli quanto o Fórum realizam articulação com atores externos, o que, sem uma definição clara de responsabilidades, pode resultar em esforços duplicados. Outros casos de sobreposição estão detalhados em documento anexo. Em relação às lacunas, verificou-se que as atividades de coordenação das ações climáticas no Estado apresentam-se limitadas e genéricas, o que pode dificultar o pleno exercício dessa função. Essa fragilidade torna-se ainda mais evidente quando comparada à estrutura do Ministério do Meio Ambiente e Mudança do Clima (MMA), que apresenta maior especialização e detalhamento na execução dessas competências.</t>
  </si>
  <si>
    <t>A liderança estadual nas questões de mudanças climáticas é exercida pela Secretaria de Estado de Meio Ambiente e Desenvolvimento Sustentável (Semad), que concentra as principais competências relacionadas ao tema. No âmbito da Semad, a Gerência de Mudanças Climáticas e Serviços Ecossistêmicos (Gecli) é responsável por liderar, orientar e coordenar as respostas do Estado às mudanças climáticas, além de mobilizar diferentes setores. Essa estrutura conta com o suporte de uma equipe técnica composta por superintendentes, gerentes e outros servidores, que fornecem informações e análises essenciais para subsidiar as tomadas de decisão. Adicionalmente, o Fórum Goiano de Mudanças Climáticas, instituído pelo Decreto Estadual n° 10.524/2024 e regulamentado por seu regimento interno, desempenha papel relevante na articulação e integração do tema com outras partes interessadas. O presidente do Fórum é o titular da Semad, o que posiciona a liderança em um alto nível hierárquico, diretamente vinculado ao chefe do Poder Executivo. A estrutura do Fórum também inclui câmaras técnicas e grupos de trabalho, responsáveis por desenvolver e aprofundar as análises técnicas necessárias para a atuação do ente federativo.</t>
  </si>
  <si>
    <t>Até o momento, não foi identificado no Estado de Goiás um mapeamento técnico consolidado de riscos ou vulnerabilidades relacionadas às mudanças climáticas, conforme os critérios definidos pelo Painel Clima Brasil. Embora existam iniciativas em curso, como o Programa Goiás Resiliente, trata-se de um processo ainda em fase de tratamento de dados, sem produto finalizado, publicado ou institucionalmente aplicado. 
As plataformas e sistemas estaduais existentes, como o SIGA GO, os sistemas da Defesa Civil, o Centro de Informações Meteorológicas e Hidrológicas e os estudos do Instituto Mauro Borges (IMB), fornecem dados relevantes de monitoramento ambiental e socioeconômico. No entanto, esses instrumentos não constituem, por si só, um mapeamento técnico integrado de riscos climáticos baseado em metodologia científica estruturada, com definição de setores vulneráveis e uso planejado em políticas públicas de adaptação. De acordo com o Manual do Painel, a classificação "Inicial" exige ao menos um estudo parcial ou preliminar já consolidado. Como esse requisito não é atendido, a situação atual do estado se enquadra na categoria "Sem progresso". Iniciativas em andamento poderão fundamentar reclassificação futura, desde que resultem em diagnóstico técnico formalizado, atualizado e institucionalmente utilizado.</t>
  </si>
  <si>
    <t>Os riscos climáticos ainda não estão integrados de forma estruturada aos principais instrumentos de planejamento do Estado de Goiás. O PPA 2024-2027 e a LDO 2025 não apresentam diagnóstico de vulnerabilidades, cenários de impacto, estratégias de adaptação ou metas vinculadas à gestão de riscos. Essa ausência compromete a transversalidade necessária para que o tema oriente o planejamento governamental em seus níveis estratégicos e orçamentários.
Nos planos setoriais, a abordagem é incipiente. O Plano Estadual de Recursos Hídricos reconhece a influência do clima na disponibilidade hídrica, mas sem propor medidas consistentes de adaptação. A SEAPA trata de sustentabilidade e segurança hídrica, mas sem vinculação a riscos climáticos. SANEAGO e SGG não mencionam impactos relacionados ao clima.
A exceção é o Plano Estratégico da SEMAD, que inclui meta estruturada para a criação de um Plano de Resiliência Climática baseado em análise de riscos. Trata-se de avanço relevante, mas restrito ao setor ambiental e sem articulação com os demais instrumentos de governo.
Embora não considerados para pontuação, processos em curso como o PPCDQIF-GO, o Plano ABC+ Goiás e o mapeamento de riscos climáticos do Programa Goiás Resiliente podem fortalecer a integração futura. Diante da lacuna no PPA e na LDO, a classificação de "Sem progresso" permanece aplicável, ainda que acompanhada do registro de avanço setorial.</t>
  </si>
  <si>
    <t>O Estado de Goiás possui mecanismos institucionais que promovem a coordenação intragovernamental entre órgãos e entidades estaduais para tratar de mudanças climáticas e desenvolvimento sustentável. Um exemplo é o Fórum Goiano de Mudanças Climáticas e Desenvolvimento Sustentável, instituído pelo Decreto Estadual nº 10.524/2024, com participação de órgãos como Semad (Meio Ambiente), Seapa (Pecuária), Seduc (Educação), SES (Saúde), Seinfra (Infraestrutura) e SECTI (Tecnologia e Inovação). Documentos como regimento interno, planos de ação e atas de reuniões comprovam sua atuação. Outro destaque é o Comitê Estadual de Gestão da Agropecuária de Baixo Carbono e Sustentável de Goiás (ABCS), criado pelo Decreto nº 9.891/2021, responsável pelo Plano ABC+ Goiás, com participação de Seapa, Semad, Agrodefesa e Emater. Foi instituído a Comissão Técnica de Trabalho que apoia o Projeto REDD+ Goiás, envolvendo Semad, Seapa, SECTI, FAEG, FIEG e FECOMERCIO-GO. Já o Grupo de Trabalho Interinstitucional, instituído pela Portaria Conjunta nº 02/2025, é responsável pela elaboração do Programa Goiás Resiliente, com Semad e Corpo de Bombeiros. O Comitê Estadual de Gestão de Incêndios Florestais, criado pelo Decreto nº 9.909/2021, reúne Semad, Corpo de Bombeiros, PM-GO, Emater e Goinfra. Por fim, o Termo de Cooperação Goiás Sustentável, firmado entre Semad, Seapa e SECTI e formado por três grupos de atuação.</t>
  </si>
  <si>
    <t>O Estado de Goiás participa de mecanismos institucionais que promovem a coordenação horizontal por meio da cooperação entre entidades de mesmo nível federativo, com destaque para a Associação Brasileira de Entidades Estaduais de Meio Ambiente (ABEMA), o Consórcio Interestadual de Desenvolvimento do Brasil Central (BrC) e o Consórcio Brasil Verde. Essas iniciativas são fundamentais para o enfrentamento de desafios relacionados às mudanças climáticas e ao desenvolvimento sustentável. Atualmente, a Secretária de Meio Ambiente do Estado de Goiás, Andrea Vulcanis, ocupa a vice-presidência executiva da ABEMA, reforçando o protagonismo do Estado em questões ambientais. Além disso, o Governador Ronaldo Caiado exerce a presidência do Consórcio Brasil Central no biênio 2024-2025. Por meio do Consórcio Brasil Verde, Goiás foi selecionado para participar da iniciativa Gap Fund, que oferece assistência técnica e capacitação a governos subnacionais, especialmente cidades de países em desenvolvimento e emergentes. O objetivo é apoiar o planejamento urbano sustentável e alinhado às questões climáticas. O Estado também integra duas alianças globais de relevância: a Coalização Under 2 e a Regions4. No âmbito da Under 2, o Relatório de Execução da Secretaria de Meio Ambiente e Desenvolvimento Sustentável (Semad), em anexo, evidencia uma atuação consistente e sistemática de Goiás, com participação em reuniões e congressos e eventos internacionais relacionados à coalizão.</t>
  </si>
  <si>
    <t>O Estado de Goiás participa de mecanismos institucionais que promovem a coordenação vertical entre União, Estados, Municípios e Distrito Federal no enfrentamento das mudanças climáticas. Entre esses, destaca-se sua atuação como integrante das Câmaras Temáticas Nacionais do Fórum Brasileiro de Mudança do Clima (Economia de Carbono e Adaptação e Infraestrutura Verde), representado por servidores da Secretaria de Meio Ambiente e Desenvolvimento Sustentável (Semad), conforme comprovado pelo link do site. Essa participação evidencia o envolvimento da Gerência de Mudanças Climáticas, vinculada à Semad, na articulação com diferentes níveis federativos. Adicionalmente, o Estado de Goiás aderiu ao programa AdaptaCidades, uma iniciativa do governo federal que busca fortalecer as políticas de adaptação e resiliência climática por meio da integração entre os níveis nacional e local. No âmbito dessa adesão, foram indicados 10 municípios prioritários, selecionados com base em critérios técnicos, para receber capacitação e apoio na elaboração de seus planos de adaptação climática. Apesar da Semad relatar uma participação ativa nas reuniões e discussões dos grupos em que está inserida, não foram apresentados documentos, atas ou outros registros que comprovem a presença de representantes nessas reuniões. Essa ausência de evidências documentais compromete o atendimento pleno aos critérios de avaliação deste item, especialmente no que diz respeito à interação regular entre os atores envolvidos.</t>
  </si>
  <si>
    <t>O Estado de Goiás possui mecanismos institucionais que promovem o envolvimento de diferentes atores na implementação de políticas climáticas, como sociedade civil, setor privado e academia. Um exemplo é o Fórum Goiano de Mudanças Climáticas, instância consultiva e deliberativa composta por representantes de organizações sem fins lucrativos, cooperativas, universidades e entidades privadas, como FIEG, FAEG e Aprosoja. O Fórum realiza reuniões regulares, com participação ativa desses grupos, conforme registrado em suas atas. Outro mecanismo relevante é o Grupo Gestor do Plano ABC+GO, que também conta com representantes da sociedade civil, setor privado e universidades. A participação desses membros está regulamentada pelo Decreto Estadual nº 9.891/2021 e seu regimento interno, sendo igualmente evidenciada em atas de reuniões. Além disso, destaca-se a iniciativa dos Negócios Inovadores de Impacto Socioambiental (NIIS), idealizada pelo Hub Goiás em parceria com a Secretaria de Estado de Ciência, Tecnologia e Inovação de Goiás (Secti). Em 2023, o Estado de Goiás e representantes de setores econômicos relevantes assinaram o Pacto pelo Desmatamento Ilegal Zero. Apesar da relevância dessas iniciativas e da participação ativa dos atores envolvidos, não foram identificados relatórios periódicos e sistemáticos divulgados à sociedade que detalhem as ações obtidas por meio da participação desses atores.</t>
  </si>
  <si>
    <t>Os mecanismos institucionais do Estado de Goiás, como o Fórum Goiano de Mudanças Climáticas e o Comitê Gestor do Plano ABC+GO, promovem a participação de diversos setores da sociedade civil, setor privado e academia. O Fórum, conforme o art. 7º do Decreto Estadual nº 10.524/2024, inclui representantes de organizações sem fins lucrativos, comunidades quilombolas, povos indígenas, agricultores familiares, extrativistas, comunidade científica (UFG, IFG, UEG e instituições privadas), além de entidades como FIEG, FAEG, Sebrae, Senar, Fecomércio-GO e Aprosoja-GO. Já o Comitê Gestor do Plano ABC+GO, regulamentado pelo Decreto Estadual nº 9.891/2021, conta com representantes da UFG, FAEG, Grupo Associado da Agricultura Sustentável, Instituto Brasileiro de Desenvolvimento e Sustentabilidade, FIEG, Senar, Sebrae, PUC-GO, UFCAT, UEG, FAPEG, Aprosoja-GO, IFG e AGOPA. Contudo, observa-se a ausência de atores relevantes, como representantes da cadeia da pecuária (frigoríficos, laticínios, suinocultores), do setor sucroenergético e da silvicultura. Além disso, não foi identificado um mapeamento ou plano de engajamento de partes interessadas para a concepção desses mecanismos, o que poderia ampliar a inclusão e a eficácia das políticas climáticas.</t>
  </si>
  <si>
    <t>O Estado de Goiás possui instrumentos de identificação de vulnerabilidade social, como o IMCF, elaborado pelo IMB. O índice, baseado no CadÚnico, mede carências em moradia, educação e renda, com recorte territorial. No entanto, não considera a exposição a eventos extremos como secas ou enchentes, nem mapeia necessidades relacionadas à adaptação climática.
Há registros de mapeamentos georreferenciados de povos indígenas, comunidades quilombolas, crianças, idosos e assentamentos da reforma agrária, com dados do IBGE e da SEDS, acessíveis via SIGA GO. Contudo, não foram localizadas evidências de que esses grupos tenham sido identificados por sua vulnerabilidade climática ou que suas necessidades tenham sido consideradas em políticas de adaptação.
Ações como o Programa Crédito Social, o PSA Cerrado em Pé, o REDD+ e a Operação Goiás Alerta e Solidário atendem grupos sociais diversos, mas sem articulação direta com mapeamento técnico de risco climático. Programas como o Goiás Resiliente e o PPCDQIF-GO ainda estão em elaboração e, por isso, não foram considerados para fins de pontuação. Diante disso, o Estado foi classificado neste item no estágio inicial.</t>
  </si>
  <si>
    <t>O Fórum Goiano de Mudanças Climáticas e Desenvolvimento Sustentável, criado pelo Decreto nº 10.524/2024, é instância consultiva e deliberativa com composição paritária entre governo e sociedade civil. Garante representação formal de povos indígenas, comunidades quilombolas, agricultores familiares e extrativistas, com direito a voto na plenária. O fórum está em funcionamento, com reuniões realizadas, atas publicadas, plano de ação em execução, câmaras técnicas ativas e materiais de apoio à participação.
O regimento interno prevê capacitação continuada, estímulo à avaliação de efetividade e possibilidade de criação de grupos de trabalho abertos à sociedade. A cartilha institucional destaca o compromisso com a inclusão de grupos vulneráveis, com suporte técnico e acesso à informação.
Apesar dos avanços, ainda não foram identificadas metodologias participativas aplicadas nos territórios, nem mecanismos consolidados de retorno das contribuições ou formação específica de lideranças. Tais limitações refletem o início recente das atividades do fórum, que ainda está em processo de consolidação. Por essa razão, o Estado foi classificado no estágio intermediário.</t>
  </si>
  <si>
    <t>O Estado possui iniciativas que podem beneficiar populações vulneráveis, como o Plano Estadual de Promoção da Igualdade Racial, o Programa de Pagamento por Serviços Ambientais (PSA Goiás) e o Plano ABC+ GO, voltado ao setor agropecuário. No entanto, essas ações não estão articuladas com os planos climáticos em vigor e não apresentam metas, indicadores ou garantias específicas voltadas à redução das desigualdades frente à mudança do clima. A análise do PPA 2024-2027, da LDO 2025 e da LOA 2024 confirma que os instrumentos de planejamento e orçamento não contemplam ações climáticas com foco em justiça social, nem preveem recursos ou mecanismos voltados aos grupos mais vulneráveis. Também não foram identificados instrumentos de transição justa, ações participativas estruturadas ou formas de acompanhamento público das medidas. Embora as políticas existentes tenham mérito, elas ainda operam de forma isolada e sem ligação com uma estratégia climática mais ampla voltada à equidade. Por isso, o Estado foi classificado no estágio inicial.</t>
  </si>
  <si>
    <t>"A Assembleia Legislativa do Estado de Goiás (ALEGO) apresenta um grau elevado de institucionalização da pauta climática. A Comissão de Meio Ambiente e Recursos Hídricos possui competências expressas sobre proteção ambiental, fiscalização de políticas públicas e desenvolvimento sustentável. Além disso, outras comissões permanentes apresentam previsão regimental relacionada à sustentabilidade, como a Comissão de Agricultura, que acompanha programas sobre sustentabilidade no campo</t>
  </si>
  <si>
    <t>Em Goiás, os órgãos de controle começaram a dar passos importantes na área de mudanças climáticas, mas ainda há espaço para evoluir. A Controladoria-Geral do Estado (CGE-GO) realizou, entre setembro de 2024 e março de 2025, uma auditoria do tipo consultoria junto à Secretaria de Agricultura, Pecuária e Abastecimento (SEAPA) para apoiar a implantação do Plano ABC+ Goiás. Esse plano busca reduzir emissões de gases de efeito estufa, aumentar a resiliência da agropecuária e adaptar os sistemas produtivos às mudanças do clima. O trabalho da CGE incluiu mapeamento de riscos, planos de comunicação e ação, análise do desenho da política e oficinas práticas sobre recuperação de pastagens degradadas. Atualmente, as recomendações estão em fase de monitoramento.
O Tribunal de Contas do Estado de Goiás (TCE-GO) já abordou questões ambientais relevantes, mas de forma indireta em relação ao tema climático. Em 2021, durante a crise hídrica, realizou uma inspeção para verificar ações voltadas à recuperação das bacias do Rio Meia Ponte e do Ribeirão Piancó e à garantia de abastecimento de água. Apesar de importante, essa atuação não teve foco direto em mudanças do clima.
Assim, considerando a metodologia do Painel Clima Brasil, as ações da CGE-GO e do TCE-GO indicam que o nível atual é "Estágio intermediário".</t>
  </si>
  <si>
    <t>O Poder Judiciário do Estado de Goiás (TJGO) não possui uma estrutura organizacional especializada para a análise e julgamento de questões relacionadas à mudança do clima. Além disso, em conformidade com o art. 6° da Política Nacional do Poder Judiciário para o Clima e o Meio Ambiente (Resolução nº 433/2021), apenas uma atribuição tem sido efetivamente cumprida pelo órgão de justiça estadual. O conjunto de evidências, juntamente com a resposta oficial do Núcleo de Responsabilidade Social e Ambiental do TJGO (NURSA), demonstra que, das medidas necessárias para a implementação da referida Política Nacional, apenas a medida prevista no inciso III do art. 6° da resolução está sendo cumprida. Essa informação está detalhada no Plano de Capacitação - Biênio 2023/2025 da Escola Judicial do TJGO, anexado às evidências. Entre as ações voltadas para inovação e sustentabilidade, destacam-se a iniciativa educativa "Gestão Socioambiental" e a proposição do XVIII Seminário Internacional do Grupo de Pesquisa: Simplificação Administrativa e Proteção do Ambiente, ambos direcionados a magistrados e servidores das áreas meio e fim. Não foram identificadas evidências robustas que comprovem a promoção de capacitação contínua e periódica para magistrados, servidores, conciliadores e mediadores sobre direito ambiental, utilizando ferramentas tecnológicas e/ou inovadoras na temática (inciso II do art. 6°). Apesar disso, o TJGO afirma, em sua resposta oficial, que essa ação está sendo implementada.</t>
  </si>
  <si>
    <t>O município de João Pessoa aprovou recentemente a lei 15.605/25 de 22/08/2025, instrumento atualizado e compatível com as leis nacionais nº 12.187/2009 (PNMC) e nº 14.904/2024, contemplando estratégias e adaptação e mitigação. Além disso, como instrumento da política, existe o Plano de Ação Climática, editado em junho de 2023.</t>
  </si>
  <si>
    <t>Os instumentos legais e Plano de Ação Climática são compatíveis com as metodologias de inventário e reporte de emissões, inclusive com os padrões citados pelo IPCC - Intergovernmental Panel on Climate Change.</t>
  </si>
  <si>
    <t>Não existem mecnismos expressos que estabeleçam conexão direta entre os planos/política de mudanças climáticas e os instrumentos de planejamento orçamentário.</t>
  </si>
  <si>
    <t>Na Secretaria de Meio Ambiente de João Pessoa não existe estrutura formal dedicada às mudanças climáticas.</t>
  </si>
  <si>
    <t>Não foram enviadas evidências que permitissem a avaliação deste item.</t>
  </si>
  <si>
    <t>Apesar da Política de mudanças climáticas prever mapeamento de riscos de mudanças climáticas, não há uma conexão com os instrumentos de planejamento.</t>
  </si>
  <si>
    <t>O plano de ação climática detalha que ocorreu a participação de setores da sociedade civil e que suas sugestões foram incorporadas ao referido plano.</t>
  </si>
  <si>
    <t>O plano de ação climpatica informa que  houve participação ativa da sociedade civil, do setor privado e da academia, por meio de oficinas e audiências, sem contudo explicitar uma participação mais formalizada destes setores.</t>
  </si>
  <si>
    <t>Segundo a resposta emviada, houve o mapeamento dos grupos vulneráveis "famílias em áreas de risco e marginalidade fluvial" e "famílias impactadas por desastres".</t>
  </si>
  <si>
    <t>O Plano de Ação Climática informa que há mecanismos de integração com os intreumentos de planejamento no que diz respeito à promoção da justiça climática, todavia não foram enviadas evidência de mapeamento de setores mais carentes e vulneráveis.</t>
  </si>
  <si>
    <t>O plano de ação climática cita conceitas de justiça climática sem contudo especificar quais as camadas sociais seriam aptas a contribuir para a realização da equidade.</t>
  </si>
  <si>
    <t>Em consulta ao sítio da Câmara de Vereadores de João Pessoa, verificou-se que a casa legislativa não possui ações destacadas sobre mudanças climáticas.</t>
  </si>
  <si>
    <t>O Tribunal de Contas do Estado da Paraíba concluiu em 2023, na condição de coordenador, uma auditoria coordenada em políticas públicas de combate à desertificação do semi-árido, onde também participaram os Tribunais de Contas do Ceará, Rio Grande do Norte, Pernambuco e Sergipe.</t>
  </si>
  <si>
    <t>O município não possui Poder Judiciário.</t>
  </si>
  <si>
    <t>Sem Progresso - Não há lei municipal que institua política de mudanças climáticas.</t>
  </si>
  <si>
    <t>Inexistem decretos ou regulamentos específicos para clima.</t>
  </si>
  <si>
    <t>Não foram identificados instrumentos que definam responsabilidades institucionais.</t>
  </si>
  <si>
    <t>Apesar de o Município possuir estrutura administrativa definida pela LC nº 136/2020, com secretaria voltada ao meio ambiente, não foram identificadas instâncias formais e específicas para a coordenação da política climática. Não há previsão de sistema municipal de mudanças climáticas, comitê intersetorial ou unidade técnica dedicada ao tema. Assim, a governança climática permanece incipiente e não institucionalizada</t>
  </si>
  <si>
    <t>"Estágio inicial: porque não há definição clara e normativa de responsabilidades relacionadas à mudança do clima</t>
  </si>
  <si>
    <t>No âmbito da Prefeitura Municipal de Macapá, não foi identificada autoridade ou instância formalmente designada para exercer a liderança na agenda climática, com posição hierárquica e poder institucional suficientes para mobilizar os demais órgãos municipais.Também não foram encontradas evidências de que a gestão municipal conte com subsídios técnicos ou estrutura dedicada que assegure decisões baseadas em evidências científicas para enfrentar os desafios climáticos.</t>
  </si>
  <si>
    <t>Não há Plano Municipal de Mudanças Climáticas.</t>
  </si>
  <si>
    <t>O PPA/LOA não incorporam metas climáticas.</t>
  </si>
  <si>
    <t>Não existe estrutura formal de coordenação entre secretarias municipais para tratar da agenda climática. Cada órgão atua isoladamente, sem articulação institucionalizada.</t>
  </si>
  <si>
    <t>No caso do Município de Macapá, não foram identificados mecanismos institucionais que possibilitem a coordenação horizontal entre órgãos e entidades de entes do mesmo nível federativo (municípios), voltados ao enfrentamento conjunto dos desafios relacionados às mudanças climáticas.
Os documentos de planejamento municipal (PPA e LOA) não apresentam referências à participação de Macapá em consórcios públicos, fóruns intermunicipais, câmaras técnicas ou outros arranjos de cooperação entre municípios para tratar da agenda climática. Bem como  ausência de instrumentos normativos ou evidências práticas de articulação horizontal intergovernamental</t>
  </si>
  <si>
    <t>Não foram identificados mecanismos institucionais que promovam a coordenação vertical entre União, Estado, Municípios e Distrito Federal voltados especificamente ao enfrentamento das mudanças climáticas. Os documentos de planejamento municipal (PPA e LOA) não apresentam referências à participação da Prefeitura em conselhos, comissões, consórcios ou fóruns interfederativos que articulem diferentes níveis de governo para o enfrentamento das mudanças climáticas. Também não foram localizadas normas ou registros de cooperação formal que vinculem Macapá a instâncias nacionais ou estaduais dedicadas ao tema.</t>
  </si>
  <si>
    <t>No âmbito da Prefeitura Municipal de Macapá, não foram identificados mecanismos institucionais ativos que assegurem a participação de partes interessadas não governamentais como sociedade civil, setor privado e academia na elaboração e implementação de estratégias, planos ou políticas climáticas. Além da da falta de evidências de arranjos formais de participação social sobre mudanças climáticas.</t>
  </si>
  <si>
    <t>A análise não identificou mecanismos institucionais que assegurem a representação de diferentes setores da sociedade  -  sociedade civil, setor privado e academia  -  em processos relacionados à agenda climática do Município de Macapá.
Os instrumentos de planejamento municipais (PPA e LOA) não mencionam conselhos, comitês ou fóruns voltados especificamente à política climática, tampouco há evidências de regulamentações ou atas que indiquem a participação efetiva desses segmentos sociais na formulação ou implementação de estratégias. Diante disso, verifica-se a ausência de arranjos formais que garantam a representatividade plural na política climática municipal.</t>
  </si>
  <si>
    <t>Não há evidência de políticas municipais que incorporem a perspectiva de justiça climática, isto é, que reconheçam desigualdades sociais e territoriais nos impactos das mudanças climáticas. As políticas locais não mencionam nem integram esse princípio.</t>
  </si>
  <si>
    <t>Não existem mecanismos ou programas que assegurem a participação de populações vulneráveis (povos indígenas, comunidades ribeirinhas, quilombolas, periferias urbanas) na formulação ou execução de ações climáticas.</t>
  </si>
  <si>
    <t>O município não dispõe de instrumentos voltados à proteção, compensação ou reparação de danos ambientais e climáticos que afetem de forma desproporcional grupos mais pobres e marginalizados.</t>
  </si>
  <si>
    <t>A Câmara Municipal de Macapá não possui leis, resoluções ou comissões permanentes voltadas à agenda climática. Não há registros de audiências públicas ou projetos de lei sobre mudanças climáticas</t>
  </si>
  <si>
    <t>O Tribunal de Contas do Estado do Amapá e Controladoria municipal de Macapá não têm auditorias ou fiscalizações identificadas sobre políticas municipais de mudanças climáticas em Macapá.</t>
  </si>
  <si>
    <t>A avaliação sobre a existência de estrutura organizacional especializada no Poder Judiciário para apreciação e julgamento de questões relacionadas à mudança do clima não se aplica ao município de Macapá, uma vez que se refere exclusivamente à esfera estadual.</t>
  </si>
  <si>
    <t>Após análise da legislação e dos planos municipais disponíveis, observa-se que o Município de Maceió não dispõe de uma legislação específica dedicada às mudanças climáticas e aos mecanismos de adaptação e mitigação. A legislação ambiental vigente, Lei nº 4.548/1996, foi atualizada pela Lei nº 7.264/2022, mas não aborda diretamente as questões climáticas. Foram identificados, no entanto, alguns planos e projetos que podem contribuir para a adaptação e resiliência urbana frente aos desafios climáticos. O "Plano de Ação Municipal Preventivo para o Período Chuvoso" (Previne Maceió) visa planejar ações de preparação e resposta para o período de chuvas, incluindo medidas preventivas e corretivas em áreas de risco. Já o "Projeto Parque das Lagoas" busca transformar uma área degradada em um espaço público sustentável, com infraestrutura verde e soluções baseadas na natureza. O "Plano Diretor de Maceió" menciona o agravamento de fenômenos climáticos.
Neste mesmo sentido, também foi identificada a publicação recente da Lei Delegada nº 14/2025, que aborda a organização da "Coordenadoria Municipal de Proteção, Defesa Civil e Mudanças Climáticas". A Lei, contudo, se delimita à organização da coordenadoria, competências e atribuições. 
Essas iniciativas demonstram que o Município vem avançando incrementalmente no tema. Entretanto, permanece a necessidade de consolidação de instrumentos específicos que ofereçam diretrizes claras, metas e mecanismos de acompanhamento e financiamento.</t>
  </si>
  <si>
    <t>É possível identificar a coerência temática e institucional com diretrizes estabelecidas em marcos federais, a exemplo do Plano Nacional sobre Mudança do Clima (PNMC), da Política Nacional de Proteção e Defesa Civil (PNPDEC) e da Política Nacional de Saneamento.
Destaca-se que a instituição do Comitê Gestor de Gestão de Riscos e desastres (Decreto nº 10.108/2025) guarda alinhamento com o Marco de Sendai e com a PNPDEC, que orientam a criação de instâncias municipais voltadas à gestão de riscos e desastres. Ademais, o Decreto nº 10.108/2025 define explicitamente a "Adaptação às Mudanças Climáticas" como finalidade do Comitê Gestor.
Observa-se, portanto, que não há contrariedade com os dispositivos nacionais, havendo compatibilidade com o atributo 1 do escopo de avaliação. O Decreto nº 10.108/2025 estabelece um parâmetro para a adaptação, ao criar um comitê cuja finalidade inclui a "Adaptação às Mudanças Climáticas" e a integração da política de "mudança do clima", contudo não é suficiente para atender ao atributo 2 (parâmetros de mitigação/adaptação).
Como já mencionado, Maceió carece de um plano robusto, consolidado, que trate de parâmetros de mitigação (por ex: redução de emissões em setores-chave como transporte, energia e agrapecuária) e adaptação (com ações de proteção de áreas costeiras). Ambos (mitigação e adaptação) precisam ser abordados. O Quadro legal da cidade ainda é bastante desatualizado ou muito geral, embora haja planos e programas esparsos nesta temática.</t>
  </si>
  <si>
    <t>Identifica-se que a prefeitura de Maceió tem alguns planos que demonstram iniciativas de integração entre clima, meio ambiente e planejamento urbano/setorial. Contudo, verifica-se que não há planos de mitigação e adaptação direta às mudanças climáticas. Evidencia-se, na verdade, ações genéricas, também importantes para o enfrentamento às mudanças, mas ainda bastante incipientes, sem mecanismos diretos de ação.</t>
  </si>
  <si>
    <t>Estrutura recentemente organizada, conforme Lei Delegada nº 14, de 04 de julho de 2025.
Verificam-se evidências de atuação da COORDENAÇÃO MUNICIPAL DE PROTEÇÃO, DEFESA CIVIL E MUDANÇAS CLIMÁTICAS especificamente no âmbito da Defesa Civil, mas as ações relacionadas ao clima são inexistentes ou incipientes.</t>
  </si>
  <si>
    <t>Identifica-se na Lei Delegada 14, de 04 de julho de 2025, algumas responsabilidades de coordenação atribuídas à COORDENAÇÃO MUNICIPAL DE PROTEÇÃO,
DEFESA CIVIL E MUDANÇAS CLIMÁTICAS.
Dentro das atribuições há algumas relacionadas às mudanças climáticas, que se mostram relevantes:
Art. 10
IX - coordenar as ações de evacuação preventiva e de emergência
X - ativar e coordenar o Centro de Operações de Emergência (COE)
XII - coordenar as ações de busca, salvamento e atendimento médico de emergência
XVII - coordenar as ações de recuperação e reconstrução das áreas afetadas
Art. 11
III - coordenar ações de adaptação da infraestrutura urbana aos eventos climáticos extremos
Verifica-se que, conforme a Lei Delegada 14, a estrutura específica do governo, com competência climática, ainda terá sua estrutura organizacional regulamentada por Decreto posteriormente.
Ademais, conforme resposta fornecida pelo município de Maceió: "A liderança institucional na área climática ainda não está concentrada ou visivelmente centralizada em uma secretaria ou coordenação estratégica com autoridade explícita sobre toda a agenda climática". Desse modo, identifica-se a ausência de uma liderança, em posição hierárquica superior, capaz de comandar a agenda climática municipal.
,,P
9524,Governança,2025-10-03T14:17:41.396Z,Versão de Avaliação 2025",Município,Maceió,2704302,G3,A,"Estágio inicial",0.333,"O ente apenas menciona a criação do comitê de gestão de riscos, mas não apresenta documentos ou relatórios que comprovem a atuação do comitê ou o referido mapeamento de riscos no âmbito das mudanças climáticas.
Identifica-se que, no Plano Diretor Municipal, são mencionadas diversas ações climáticas, em que houve, inclusive, participação popular. Contudo, não foi apresentado pela prefeitura um documento formal com os riscos identificados e suas respectivas classificações.
Através de pesquisas na internet, identificou-se ações ainda em desenvolvimento pela prefeitura de Maceió relacionadas ao mapeamento dos riscos.</t>
  </si>
  <si>
    <t>O Município de Maceió não apresentou um mapeamento dos riscos ou de vulnerabilidades relacionadas com as mudanças climáticas. O plano municipal de gestão integrada de resíduos sólidos de 2017, bem como o Plano Municipal de Saúde de 2021 e de 2022 a 2025 apresentam riscos relacionados ao tratamento de resíduos sólidos e riscos à saúde, respectivamente.
Ademais, no caso do Plano Municipal de Saúde, os dados apresentados estão relacionados com as diretrizes de saúde básica (ex: Reduzir os riscos e agravos à saúde da população, ampliando o acesso às ações e serviços de prevenção, vigilância e promoção à saúde).
Os planos apresentam como objetivo a redução de riscos, mas não há uma análise minuciosa e classificação dos riscos potenciais, a sua probabilidade e impacto. 
No projeto parque das Lagoas e no programa refloresta Maceió, alguns riscos ambientais e climáticos são citados, porém sem apresentar a metodologia de análise dos riscos, os critérios de seleção e, ainda, os estudos científicos que correlacionem os riscos aos projetos.</t>
  </si>
  <si>
    <t>Os mecanismos institucionais existentes (comissões, conselhos, comitês, sistemas, processos, protocolos...etc) que possibilitam a coordenação horizontal entre os setores, órgãos e/ou entidades vinculados ao mesmo ente político ainda são incipientes.
Destaca-se que a declaração fornecida pela Câmara Municipal traz aspectos genéricos, não demonstrando quais as comissões estão em vigor, as áreas relacionadas e os participantes envolvidos. Neste mesmo sentido, a declaração apresentada pelo IPLAM demonstrou-se genérica, sem evidenciar os mecanismos de coordenação horizontal e atuação intersetorial. 
Ademais, importa salientar que o Plano Diretor de Maceió tem uma composição bastante plural, contudo o plano está desatualizado (2005) e passa por uma revisão desde 2015, processo que perdura há quase 10 anos. Um ponto positivo da revisão do Plano Diretor é a inclusão da temática "mudanças climáticas" em seu escopo.
Identificou-se também a existência de uma estrutura de um Comitê Gestor de Redução de Riscos (Decreto 10.108/2025), composto por diversos órgãos. Neste mesmo sentido, o COMPRAM - Conselho Municipal de Proteção Ambiental - que, embora tenha composição plural, não foram identificadas pautas relacionadas ao clima.
Observa-se, assim, a ausência de uma estrutura que possibilite a coordenação horizontal nos assuntos especificamente relacionados às mudanças climáticas.</t>
  </si>
  <si>
    <t>Há evidências de participação do Município de Maceió em 3 mecanismos de coordenação horizontal intergovernamental, conforme publicações em sítios eletrônicos.
ICLEI - Governos Locais pela sustentabilidade
Pacto Global de Prefeitos pelo Clima e Energia (Global Governant of Mayors)
CB27 - Fórum de Secretários de Meio ambiente das capitais Brasileiras
Adicionalmente, há evidências de participação do Representante do Município em fóruns e debates relacionados ao clima e as referidas coordenações intergovernamentais.
Não foi possível avaliar, entretanto, se o representante formal do governo municipal está adequado, tendo em vista que o município não forneceu o ato de designação formal. O ato de designação formal é parte essencial, pois essa falta de formalização representa um risco para a sustentabilidade da governança climática, que deve ser institucionalizada.</t>
  </si>
  <si>
    <t>Verificou-se a participação ativa do Município de Maceió junto a comissões, instituições e projetos interinstitucionais. O projeto Adapta cidades, por exemplo, é de iniciativa Federal, sendo o município possível participante. No entanto, o documento não especifica quais foram os 10 municípios indicados, não menciona Maceió diretamente e, crucialmente, não apresenta qualquer ato de designação formal de um representante do município para atuar neste ou em qualquer outro mecanismo de coordenação.
Não foi possível avaliar, entretanto se o representante formal do governo municipal está adequado, tendo em vista que o município não forneceu o ato de designação formal. Esta ausência de designação formal compromete a sustentabilidade da governança climática.</t>
  </si>
  <si>
    <t>Não foram apresentadas leis ou outro instrumento normativo que comprovassem formalmente a participação contínua, plural e periódica dos diversos atores na discussão relacionadas às mudanças climáticas.
Por meio de pesquisas em sítios eletrônicos, identificou-se a ocorrência, em 2024, de audiência pública para discutir as mudanças climáticas, conforme ata anexada. Neste mesmo sentido, também observou-se a composição plural do Plano Diretor de Maceió, bem como a composição estritamente governamental do Comitê Gestor de Redução de Riscos e Desastres. Tais documentos, entretanto, não demonstram necessariamente a competência deliberativa dos referidos atores, tampouco se as sugestões oriundas das referidas discussões foram efetivamente incorporadas ou devidamente justificadas. 
Por fim, não foram identificados comitês ou conselhos especializados na temática de mudanças climáticas. 
Avalia-se, por conseguinte, que o município se encontra no Estágio Inicial de maturidade em governança climática, conforme a metodologia aplicada. Essa avaliação baseia-se no fato de que os mecanismos identificados atendem apenas parcialmente aos três primeiros atributos de verificação.</t>
  </si>
  <si>
    <t>Não foram identificados comitês ou conselhos especializados na agenda da mudança climática e, portanto, ainda se considera a representação formal insuficiente.
Verifica-se, entretanto, que, no projeto de revisão do Plano Diretor de Maceió, há a inclusão da temática mudanças climáticas em sua composição. Ademais, também se evidencia a composição plural do Plano Diretor, a existência de audiências públicas para a sua formulação, além de audiência pública específica relacionada ao clima.</t>
  </si>
  <si>
    <t>Entre os documentos fornecidos pela prefeitura de Maceió, foram identificados dois documentos com uma análise/mapeamento dos grupos sociais atingidos pelas mudanças climáticas.
No Previne Maceió, são analisadas as regiões mais afetadas pelas chuvas, considerando-se principalmente os aspectos geológicos, históricos, climáticos. Há um mapeamento bem detalhado da cidade de maceió, seus bairros afetados, clima da região e ações voltadas à população mais vulnerável. Não são elencados, contudo, os dados sociais e demográficos da população, bem como os fatores de exclusão social e discriminação.
Ao analisar o projeto refloresta Maceió, alguns dados sociais da população são elencados, porém de forma superficial. É apresentado um mapeamento incompleto (restrito à área do projeto) e não um mapeamento das necessidades específicas dos grupos identificados
Destaca-se que, em ambos os projetos, são levados em consideração apenas os efeitos das fortes chuvas, sem considerar demais outras consequências das mudanças climáticas (emissão de gases do efeito estufa, por exemplo).</t>
  </si>
  <si>
    <t>Existem mecanismos formais, tais como o Conselho Municipal de Proteção ao Meio Ambiente (COMPRAM) e Comitê Gestor de Redução de Riscos e Desastres, mas não são utilizados especificamente para a elaboração de políticas climáticas, apesar de conter temas transversais. 
Por meio de pesquisas em sítios eletrônicos, identificou-se a ocorrência, em 2024, de audiência pública para discutir as mudanças climáticas, conforme ata anexada. Neste mesmo sentido, também observou-se a composição plural do Plano Diretor de Maceió, bem como do Comitê Gestor de Redução de Riscos e Desastres. Tais documentos, entretanto, não demonstram necessariamente a competência deliberativa dos referidos atores, tampouco se as sugestões oriundas das referidas discussões foram efetivamente incorporadas ou devidamente justificadas. 
Resumidamente, observa-se:
1. Mecanismos formais existem: O COMPRAM e o Conselho do Plano Diretor são instâncias formais e ativas com representação da sociedade civil.
2. Uso restrito/não específico: O foco desses conselhos é amplo (meio ambiente, urbanismo), e não há prova de sua utilização sistemática para a elaboração de políticas climáticas.
3. Consulta pontual: A ata da audiência pública de 2024 evidencia uma consulta específica, mas isolada.</t>
  </si>
  <si>
    <t>Não foram identificadas metas específicas sobre as mudanças climáticas nos instrumentos de planejamento, bem como não há mapeamento claro das vulnerabilidades para criação de estratégias ou planos climáticos para atender aos grupos mais vulneráveis. 
Entretanto, a Lei Orçamentária Anual de 2025, possui destinação de recursos ao Fundo Municipal de Assistência Social e dentre as especificações, estão incluídos programas de trabalho que se adequam às reduções de vulnerabilidades tais como: implantar centro municipal de referência especializado para população em situação de rua
O programa "Refloresta Maceió" tem o objetivo de aliar a recuperação ambiental e inclusão social em uma área periférica de Maceió e dentre as ações estão a de  oferecer moradia digna por meio de regularização fundiária e reassentamento qualificado.
Por fim, em resumo, evidencia-se que a integração da equidade climática nas políticas é parcial, pois:
1. O programa "Refloresta Maceió" incorpora a perspectiva de equidade climática.
2. A LOA 2025, um instrumento de planejamento fundamental, aborda vulnerabilidades sociais, mas não incorpora a perspectiva climática.</t>
  </si>
  <si>
    <t>A Câmara de Vereadores de Maceió possui duas comissões permanentes com temas correlatos às mudanças climáticas - Comissão de Meio Ambiente e Comissão de Assuntos Urbanos. Além disso, foi identificada uma audiência pública realizada em 2024 para discutir as mudanças climáticas.</t>
  </si>
  <si>
    <t>Os órgãos de controle (Tribunal de Contas e Controladoria Geral do Município) não realizaram, nos últimos cinco anos, pelo menos uma auditoria no ente sob avaliação.</t>
  </si>
  <si>
    <t>Não se aplica ao Ente em avaliação.</t>
  </si>
  <si>
    <t>A Prefeitura de Manaus dispõe de um marco legislativo sobre mudança do clima que contempla mitigação e abre espaço para adaptação. A Lei Municipal nº 254/2010 - Política Municipal de Combate ao Aquecimento Global e às Mudanças Climáticas estabelece diretrizes como eficiência energética em edificações, arquitetura bioclimática, uso racional de recursos e incentivos fiscais, a exemplo do IPTU Verde. Na governança, a Lei Ordinária nº 3.224/2023 transformou a antiga Secretaria Municipal de Meio Ambiente e Sustentabilidade (SEMMAS) em Secretaria Municipal de Meio Ambiente, Sustentabilidade e Mudança do Clima (SEMMASCLIMA), inserindo de forma explícita a pauta climática na estrutura administrativa. Complementarmente, a Lei Complementar nº 24/2024 criou o Programa Manaus Sustentável, oferecendo incentivos fiscais e urbanísticos a construções com certificação sustentável, ampliando a mitigação e indiretamente a adaptação. Já o Decreto nº 5.554/2023 instituiu o Comitê Municipal de Mudanças Climáticas, atualizado pelo Decreto nº 6.157/2025, que define composição e competências, fortalecendo o arranjo institucional. Em conjunto, o marco privilegia a mitigação, mas já abre espaço para ações adaptativas, devendo ser consolidado pelo Plano de Ação Climática em elaboração.</t>
  </si>
  <si>
    <t>A legislação e os instrumentos normativos do município de Manaus são compatíveis com as principais estratégias nacionais de mudança do clima, como a Política Nacional sobre Mudança do Clima (PNMC - Lei Federal nº 12.187/2009), o Plano Nacional de Adaptação à Mudança do Clima (PNA, 2016) e o Novo Marco Legal do Saneamento (Lei Federal nº 14.026/2020). A Lei Municipal nº 254/2010 - Política Municipal de Combate ao Aquecimento Global e às Mudanças Climáticas reflete diretrizes da PNMC, ao prever eficiência energética, arquitetura bioclimática, uso racional de recursos e incentivos fiscais (como o IPTU - Imposto Predial e Territorial Urbano - Verde). Já a Lei Complementar nº 24/2024 - Programa Manaus Sustentável conecta-se com o Marco do Saneamento ao estimular o uso racional de água e energia em edificações. Os Decretos nº 5.554/2023 e nº 6.157/2025, que criam e atualizam o Comitê Municipal de Mudanças Climáticas, reforçando a governança local em alinhamento às recomendações do PNA. Dessa forma, o quadro legal e regulatório é compatível com os principais dispositivos federais, apesar de não apresentarem metas de redução de GEE, bem como prazos e metas.</t>
  </si>
  <si>
    <t>O quadro legal e regulatório de Manaus ainda está em processo de evolução no que se refere à integração transversal da agenda climática nos principais instrumentos de planejamento. A Lei Municipal nº 254/2010 - Política Municipal de Combate ao Aquecimento Global e às Mudanças Climáticas criou diretrizes gerais, mas não vinculou de modo explícito as metas climáticas às leis orçamentárias nem determinou integração direta com os planos setoriais (como saneamento, mobilidade ou saúde). A Lei Complementar nº 24/2024 - Programa Manaus Sustentável aproximou a pauta climática do ordenamento urbano, ao conceder incentivos fiscais e urbanísticos a edificações sustentáveis, mas ainda de forma restrita ao setor da construção civil. No campo institucional, a Lei nº 3.224/2023 fortaleceu a governança ao transformar a Secretaria Municipal de Meio Ambiente e Sustentabilidade (SEMMAS) em Secretaria Municipal de Meio Ambiente, Sustentabilidade e Mudança do Clima (SEMMASCLIMA), e o Decreto nº 6.157/2025 consolidou o Comitê Municipal de Mudanças Climáticas, favorecendo a coordenação intersetorial. O avanço mais promissor está no Plano de Ação Climática de Manaus, em elaboração, que prevê inventário de emissões, avaliação de vulnerabilidades, plano de mitigação e plano de adaptação. Esse instrumento, quando concluído, deve incorporar as metas climáticas nos demais planos municipais (como o Plano Plurianual - PPA, a Lei de Diretrizes Orçamentárias - LDO e a Lei Orçamentária Anual - LOA)</t>
  </si>
  <si>
    <t>Existe em Manaus uma estrutura formalmente criada para tratar das mudanças climáticas. A Lei Ordinária nº 3.224/2023 transformou a Secretaria Municipal de Meio Ambiente e Sustentabilidade (SEMMAS) em Secretaria Municipal de Meio Ambiente, Sustentabilidade e Mudança do Clima (SEMMASCLIMA), atribuindo-lhe a responsabilidade direta pela pauta climática. Adicionalmente, o Decreto nº 6.157/2025 regulamentou o Comitê Municipal de Mudanças Climáticas, órgão colegiado intersetorial destinado a propor, monitorar e articular políticas de mitigação e adaptação. Tais atos demonstram não apenas a criação formal, mas também indícios de atuação, já que o Comitê foi instituído com composição e competências definidas, e a SEMMASCLIMA tem conduzido o processo de elaboração do Plano de Ação Climática de Manaus (2025). Quanto à internalização transversal, os instrumentos existentes (Lei nº 254/2010, LC nº 24/2024 e decretos) vinculam a agenda climática principalmente ao meio ambiente e ao setor urbano/construção. Ainda não há previsão explícita de setores ou responsáveis em cada secretaria municipal para incorporar metas climáticas em suas políticas e planos. O Plano de Ação Climática, em elaboração, prevê integração com o Plano Plurianual (PPA), a Lei de Diretrizes Orçamentárias (LDO), a Lei Orçamentária Anual (LOA) e planos setoriais, o que poderá consolidar essa transversalidade. Assim, existe estrutura formal, indícios de atuação, mas uma integração incipiente nos diversos órgãos.</t>
  </si>
  <si>
    <t>O Município de Manaus dispõe de um instrumento normativo que atribui responsabilidades institucionais para a agenda climática: o Decreto nº 6.157/2025, que cria o Comitê Municipal de Mudanças do Clima. O Comitê tem caráter deliberativo e está vinculado à Secretaria Municipal de Meio Ambiente, Sustentabilidade e Mudança do Clima (Semmasclima), com a presidência exercida pelo Prefeito. A norma prevê funções de coordenação, acompanhamento e validação técnica na elaboração do Plano de Ação Climática, além de integrar diferentes órgãos da administração municipal, como Defesa Civil, Saúde, Educação, Infraestrutura, Planejamento, Mobilidade Urbana, entre outros. Isso representa um avanço na definição de papéis de liderança e coordenação, bem como na transversalidade da agenda. Entretanto, observa-se que o decreto ainda não estabelece, de forma detalhada, os mecanismos de monitoramento e transparência ativa das ações, deixando lacunas quanto à implementação e ao acompanhamento público das políticas climáticas, permanecendo risco de sobreposições e lacunas entre entre os membros do comitê.</t>
  </si>
  <si>
    <t>O Decreto nº 6.157/2025 instituiu o Comitê Municipal de Mudanças Climáticas, definindo sua composição, competências e funcionamento. Esse decreto estabelece que o Chefe do Poder Executivo Municipal ocupa a presidência do Comitê, garantindo posição hierárquica máxima e autoridade política para coordenar, orientar e mobilizar os demais órgãos e entidades da administração municipal. Essa previsão assegura que a agenda climática não esteja restrita a uma secretaria específica, mas seja liderada diretamente pelo prefeito, o que amplia o peso institucional do tema e sua capacidade de articulação transversal. Ao centralizar a presidência no Executivo, o Comitê adquire legitimidade para demandar cooperação intersetorial e promover a integração das metas climáticas nas políticas públicas municipais. Ainda que o acesso a subsídios técnicos dependa da estrutura de apoio, o desenho institucional reforça que a liderança climática em Manaus tem autoridade formal para induzir decisões estratégicas e coordenar respostas integradas.</t>
  </si>
  <si>
    <t>O município de Manaus ainda não possui um mapeamento consolidado de riscos e vulnerabilidades climáticas atualizado nos últimos 5 anos que seja baseado em metodologias científicas amplas ou em plataformas oficiais de clima. Existem, porém, iniciativas institucionais recentes que demonstram esforços nesse sentido. O Decreto nº 5.915/2024 instituiu o Comitê Gestor de Redução de Riscos de Desastres (CGRRD), com a finalidade de planejar, monitorar, acompanhar e apoiar a elaboração do Plano Municipal de Redução de Riscos (PMRR), em cooperação com a União e a Universidade Federal do Amazonas (UFAM). A Portaria nº 107/2024 - GPRES/IMPLURB designou formalmente os membros do Comitê, incluindo representantes de secretarias estratégicas (Saúde, Infraestrutura, Assistência Social, Meio Ambiente) e da própria UFAM, com grupos de pesquisa especializados. Além disso, o Decreto nº 6.157/2025 instituiu o Comitê Municipal de Mudanças Climáticas, e o Plano de Ação Climática de Manaus (2025), em elaboração, prevê a produção de um Inventário de Emissões de Gases de Efeito Estufa (GEE) e um Levantamento de Riscos e Vulnerabilidades Climáticas. Assim, embora ainda não exista um mapeamento concluído com periodicidade recente, há estrutura formal, atribuição de responsabilidades e processo em curso para elaborar estudos técnicos com base científica.</t>
  </si>
  <si>
    <t>No município de Manaus, os riscos e vulnerabilidades relacionados às mudanças climáticas ainda não guiam de maneira efetiva e abrangente o planejamento municipal, sendo considerados de forma pontual e restrita em alguns instrumentos. A Lei Municipal nº 254/2010 - Política Municipal de Combate ao Aquecimento Global e às Mudanças Climáticas trouxe diretrizes de mitigação e adaptação, mas não determinou sua incorporação nos instrumentos orçamentários ou setoriais, o que limita seu alcance. A Lei Complementar nº 24/2024 - Programa Manaus Sustentável vinculou incentivos fiscais e urbanísticos à construção sustentável, reforçando a mitigação em edificações, mas sem alcançar políticas mais amplas como saúde, mobilidade ou saneamento.O avanço mais promissor está no Plano de Ação Climática de Manaus (2025), em elaboração, que prevê inventário de emissões de gases de efeito estufa (GEE), levantamento de riscos climáticos e planos de mitigação e adaptação, com potencial de integrar tais riscos ao Plano Plurianual (PPA), à Lei de Diretrizes Orçamentárias (LDO), à Lei Orçamentária Anual (LOA) e a planos setoriais estratégicos, o que poderá transformar uma consideração hoje pontual em um processo sistemático e abrangente de planejamento.</t>
  </si>
  <si>
    <t>"O município de Manaus dispõe de mecanismos institucionais formais que viabilizam a coordenação horizontal intragovernamental em temas relacionados às mudanças climáticas, destacando-se dois colegiados principais: o Comitê Municipal de Mudanças Climáticas, criado pelo Decreto nº 6.157/2025, presidido pelo Chefe do Poder Executivo e composto por secretarias municipais de diferentes áreas, com competência para articular, monitorar e propor ações intersetoriais de mitigação e adaptação</t>
  </si>
  <si>
    <t>Não foram identificados mecanismos institucionais formais que assegurem a participação do município de Manaus em estruturas permanentes de coordenação direta com outros municípios para o enfrentamento conjunto dos desafios da mudança do clima. Os principais instrumentos normativos existentes, como o Decreto nº 6.157/2025, que criou o Comitê Municipal de Mudanças Climáticas, e o Decreto nº 5.915/2024, que instituiu o Comitê Gestor de Redução de Riscos de Desastres (CGRRD), têm como foco a articulação interna entre órgãos municipais. A Portaria nº 107/2024 - GPRES/IMPLURB formalizou a participação de diversas secretarias e da Universidade Federal do Amazonas (UFAM) no CGRRD, reforçando a cooperação técnica local, mas não estabelece vínculo com outros entes federativos. Embora Manaus participe de eventos nacionais e internacionais, como os preparativos para a COP30 em Belém (PA) e iniciativas em redes de cidades, tais interações ocorrem em caráter pontual e não configuram mecanismos institucionais normatizados. Dessa forma, pode-se concluir que a coordenação horizontal com outros entes do mesmo nível federativo ainda é incipiente e carece de regulamentação municipal específica que lhe dê estabilidade e caráter permanente.</t>
  </si>
  <si>
    <t>O município de Manaus participa de mecanismos de coordenação vertical com a União e o Estado do Amazonas. No campo da gestão de riscos, o Decreto nº 5.915/2024 que instituiu o Comitê Gestor de Redução de Riscos de Desastres (CGRRD), prever a articulação com órgãos federais responsáveis pela proteção e defesa civil, como a Secretaria Nacional de Proteção e Defesa Civil, e com instituições estaduais de prevenção e resposta a desastres, assegurando alinhamento às diretrizes do Sistema Nacional de Proteção e Defesa Civil (SNPDEC). A Portaria nº 107/2024 - GPRES/IMPLURB formalizou a participação da Universidade Federal do Amazonas (UFAM) no CGRRD, fortalecendo o elo com a esfera federal por meio da academia e da cooperação técnica. Além disso, Manaus vem participando de iniciativas coordenadas pelo Governo Federal e pelo Estado do Amazonas, como os preparativos da COP30 em Belém (PA) e os compromissos assumidos no âmbito do Plano Nacional sobre Mudança do Clima (PNMC - Lei Federal nº 12.187/2009). O Decreto nº 6.157/2025, que criou o Comitê Municipal de Mudanças Climáticas, também estabelece que suas atividades devem ser articuladas com políticas estaduais e federais de mitigação e adaptação. Portanto, observa-se que o município dispõe de instrumentos normativos e participa de mecanismos verticais de coordenação, sobretudo na gestão de riscos e na agenda climática nacional. No entanto, não há evidências da efetiva participação do representante nas reuniões e/encontros.</t>
  </si>
  <si>
    <t>No município de Manaus, existem mecanismos institucionais formais que permitem a participação de atores não governamentais em políticas relacionadas ao clima. O Decreto nº 6.157/2025, que criou o Comitê Municipal de Mudanças Climáticas, prevê em sua composição representantes de órgãos públicos, sociedade civil, setor produtivo e comunidade científica, configurando um espaço deliberativo e intersetorial para debater e acompanhar políticas de mitigação e adaptação. Da mesma forma, o Decreto nº 5.915/2024, que instituiu o Comitê Gestor de Redução de Riscos de Desastres (CGRRD), estabeleceu a participação de instituições de ensino superior, como a Universidade Federal do Amazonas (UFAM), e abriu espaço para articulação com entidades da sociedade civil. A Portaria nº 107/2024 - GPRES/IMPLURB formalizou a composição do CGRRD, designando representantes técnicos de secretarias e da academia. Essas instâncias permitem a incorporação de visões sociais, técnicas e acadêmicas no processo de concepção de estratégias, ainda que em fase de implementação, careça de maior clareza quanto ao papel contínuo desses atores. Dessa forma, as medidas em vigor demonstram que Manaus possui instrumentos que reconhecem a relevância da participação não governamental, criando canais formais de interação, mas que ainda precisam ser fortalecidos em termos de representatividade e de existência de mecanismos para levar em consideração as contribuições expressas pela sociedade civil.</t>
  </si>
  <si>
    <t>No município de Manaus, os mecanismos institucionais relacionados às mudanças climáticas contemplam a representação da sociedade civil, do setor acadêmico e do setor privado, ainda que de forma inicial e com espaço para fortalecimento. O Decreto nº 6.157/2025, que criou o Comitê Municipal de Mudanças Climáticas, prevê em sua composição a participação de representantes de entidades da sociedade civil organizada, do setor produtivo e da comunidade científica, reconhecendo a necessidade de envolver diferentes segmentos na formulação e acompanhamento de políticas de mitigação e adaptação. O Decreto nº 5.915/2024, que instituiu o Comitê Gestor de Redução de Riscos de Desastres (CGRRD), também abriu espaço para a participação da academia, garantindo a inclusão da Universidade Federal do Amazonas (UFAM) e possibilitando articulação com organizações da sociedade civil. A Portaria nº 107/2024 - GPRES/IMPLURB, por sua vez, formalizou a designação de membros do CGRRD, confirmando a presença da UFAM e de órgãos técnicos municipais. Embora existam esses instrumentos, a representatividade ainda é limitada pela ausência de detalhamento sobre como se dará a participação regular de associações comunitárias, ONGs e setor privado na implementação das ações. Dessa forma, Manaus dispõe de uma base institucional que já reconhece e inclui formalmente os principais segmentos, mas precisa consolidar mecanismos que assegurem a representatividade contínua, equilibrada e efetiva.</t>
  </si>
  <si>
    <t>No município de Manaus, ainda não há um mapeamento climático consolidado que identifique de forma abrangente os grupos sociais e econômicos em situação de vulnerabilidade frente aos impactos das mudanças do clima. As iniciativas existentes se concentram em diagnósticos parciais, sobretudo no âmbito da defesa civil e da redução de riscos de desastres, com foco em áreas suscetíveis a alagamentos, deslizamentos e enchentes, onde populações de baixa renda, moradores de ocupações irregulares e comunidades periféricas são mais atingidos. O Decreto nº 5.915/2024, que criou o Comitê Gestor de Redução de Riscos de Desastres (CGRRD), tem como atribuição apoiar a elaboração do Plano Municipal de Redução de Riscos (PMRR), que pode contribuir para identificar grupos vulneráveis em áreas urbanas críticas, especialmente em assentamentos precários. A Portaria nº 107/2024 - GPRES/IMPLURB reforçou essa função ao designar membros técnicos e representantes da Universidade Federal do Amazonas (UFAM) para subsidiar o processo com dados científicos. Apesar desses avanços institucionais, não há até o momento evidências de que grupos específicos como povos indígenas, comunidades ribeirinhas, mulheres, crianças, idosos ou trabalhadores de setores econômicos vulneráveis (agropecuaristas, pescadores, industriários) tenham sido formalmente identificados em instrumentos de política climática municipal.Estas identificações encontram-se em curso por meio da elaboração do Plano de Ação Climática de Manaus.</t>
  </si>
  <si>
    <t>No município de Manaus, não foram identificados mecanismos institucionais específicos e contínuos voltados à inclusão direta de grupos sociais e econômicos em situação de vulnerabilidade no processo de tomada de decisão sobre estratégias, políticas ou planos climáticos. O que existe atualmente são instâncias colegiadas de caráter mais amplo, como o Comitê Municipal de Mudanças Climáticas (Decreto nº 6.157/2025) e o Comitê Gestor de Redução de Riscos de Desastres - CGRRD (Decreto nº 5.915/2024), que contam com participação de órgãos técnicos, sociedade civil e academia, mas sem detalhamento de mecanismos formais de consulta ou assento reservado para populações vulneráveis, como povos indígenas, ribeirinhos, moradores de áreas de risco, mulheres, crianças, idosos e trabalhadores de setores sensíveis. A Portaria nº 107/2024 - GPRES/IMPLURB, que designa os membros do CGRRD, confirmou a presença de órgãos municipais e da UFAM, mas não trouxe representantes diretos das comunidades mais expostas. Assim, embora haja abertura indireta à participação social, especialmente via entidades da sociedade civil e acadêmicas, o município ainda não possui instrumentos que garantam a representatividade específica e sistemática dos grupos vulneráveis nos processos de formulação e implementação das políticas climáticas, o que leva à conclusão de que Manaus se encontra em estágio inicial.</t>
  </si>
  <si>
    <t>No município de Manaus, as políticas e estratégias relacionadas ao clima ainda não incorporam de forma clara e sistemática uma perspectiva de equidade voltada especificamente aos grupos sociais e econômicos em situação de vulnerabilidade. O marco legal existente, como a Lei Municipal nº 254/2010 - Política Municipal de Combate ao Aquecimento Global e às Mudanças Climáticas, a Lei Complementar nº 24/2024 - Programa Manaus Sustentável e os decretos que instituíram o Comitê de Mudanças Climáticas (Dec. nº 6.157/2025) e o Comitê Gestor de Redução de Riscos de Desastres (Dec. nº 5.915/2024), tratam de eficiência energética, sustentabilidade urbana e gestão de riscos, mas não estabelecem metas, indicadores ou mecanismos específicos voltados à redução de vulnerabilidades socioeconômicas nem à distribuição equitativa de benefícios e custos das ações climáticas. Há previsão de participação da sociedade civil, academia e setor privado em comitês, o que abre espaço para considerar diferentes perspectivas, mas não há garantias de que comunidades de baixa renda, povos tradicionais, ribeirinhos, mulheres, idosos ou trabalhadores diretamente impactados sejam contemplados em políticas ou planos de mitigação e adaptação. Tampouco se identificam dispositivos normativos que destinem recursos orçamentários ou adotem salvaguardas para assegurar justiça climática e transição justa, como compensações ou requalificação profissional de grupos afetados.</t>
  </si>
  <si>
    <t>A Câmara Municipal de Manaus conta com a Comissão Técnica Permanente de Meio Ambiente, Recursos Naturais, Sustentabilidade e Vigilância Permanente da Amazônia, criada pela Resolução nº 092/2015. Essa comissão desempenha papel relevante ao tratar de temas ligados ao meio ambiente, recursos naturais e sustentabilidade, além de acompanhar questões estratégicas da Amazônia frente à cobiça internacional. Entretanto, não foi identificado até o momento um mecanismo institucional voltado exclusivamente às mudanças climáticas, como uma comissão ou frente parlamentar dedicada especificamente à agenda climática. Isso indica que o debate legislativo sobre clima ainda ocorre de forma difusa, inserido em estruturas mais amplas de meio ambiente e sustentabilidade.</t>
  </si>
  <si>
    <t>Nos últimos cinco anos, a Controladoria-Geral do Município de Manaus (CGM) não realizou auditorias cujo foco principal fosse relacionado às mudanças climáticas. As informações disponíveis indicam que a atuação da CGM tem se concentrado em auditorias de natureza contábil, financeira, operacional e de conformidade, voltadas à legalidade e eficiência da gestão administrativa municipal, sem contemplar especificamente a pauta climática. Embora alguns trabalhos tenham interface com questões ambientais  -  por exemplo, auditorias em contratos de limpeza urbana, drenagem ou obras de infraestrutura, não foram identificadas auditorias direcionadas à mitigação ou adaptação às mudanças do clima, tampouco relatórios públicos que incluam riscos climáticos como objeto central. Assim, no âmbito do controle interno municipal, não há mecanismos formais ou práticas consolidadas de auditoria climática conduzidas pela CGM até o momento.</t>
  </si>
  <si>
    <t>Na avaliação de governos municipais este item não se aplica, conforme descrito na página 46 do manual de aplicação (maio-2025).</t>
  </si>
  <si>
    <t>O Maranhão foi classificado como Estágio Avançado porque possui um robusto e abrangente conjunto de leis sobre o clima. A principal evidência é a Política Estadual de Enfrentamento das Mudanças Climáticas (Lei nº 12.301/2024), que é um marco legal completo, incluindo ações de mitigação (redução de emissões) e de adaptação (preparação para os impactos). A existência de uma lei com essa abrangência atende ao critério máximo de avaliação do Painel ClimaBrasil. O arcabouço legal do estado é fortalecido por outras normas importantes que demonstram a seriedade do compromisso com a agenda climática. Entre elas, destacam-se a Lei do Sistema Jurisdicional de REDD+ e PSA (Lei nº 11.578/2021), que cria instrumentos para a redução de emissões por desmatamento, e o Plano de Ação para Prevenção e Controle do Desmatamento e das Queimadas (Decreto nº 39.376/2024), que estabelece metas e ações práticas. Este conjunto de normas evidencia uma base legal sólida e bem estruturada para a governança do clima no estado.</t>
  </si>
  <si>
    <t>A classificação como Estágio Avançado se justifica pela forte e explícita consistência do quadro legal do Maranhão com as estratégias e planos climáticos nacionais. A Política Estadual de Enfrentamento das Mudanças Climáticas (Lei nº 12.301/2024) determina, em seu texto, a observância da Política Nacional (PNMC) e dos acordos internacionais. Esse alinhamento é reforçado em normas setoriais. O Plano de Ação para Prevenção e Controle do Desmatamento (Decreto nº 39.376/2024), por exemplo, é diretamente baseado nas diretrizes dos planos federais para a Amazônia e o Cerrado. Além da compatibilidade legal, o Estado estabeleceu metas de mitigação e adaptação harmonizadas com os objetivos nacionais. O Decreto nº 37.946/2022 estabelece a meta de neutralidade de carbono até 2050 , e o Plano Maranhão 2050 define metas quantitativas para a redução da emissão de CO2 per capita e do desmatamento. Este conjunto de evidências demonstra que a legislação maranhense não apenas dialoga, mas se integra de forma coerente com a estratégia climática nacional.</t>
  </si>
  <si>
    <t>O Maranhão possui mecanismos legais detalhados para integrar a pauta climática em outros instrumentos de planejamento do governo. A Política Estadual de Enfrentamento das Mudanças Climáticas (Lei nº 12.301/2024) determina que seus objetivos e diretrizes devem guiar a elaboração e a revisão de planos, programas, projetos e ações relacionados direta ou indiretamente com a mudança do clima. Essa integração é reforçada nos principais instrumentos de ordenamento territorial. As leis do Zoneamento Ecológico-Econômico (ZEE) para os biomas Amazônico e Cerrado estabelecem que a Política de Mudanças Climáticas deve ser observada em sua consolidação. Na prática, essa integração já resultou em planos setoriais específicos, como o Plano de Ação para a Agropecuária de Baixo Carbono (ABC+MA) e o Plano para Controle do Desmatamento e Queimadas (PPCDQ-MA). Este conjunto de normas demonstra um sistema de integração robusto e funcional.</t>
  </si>
  <si>
    <t>O Maranhão possui uma estrutura governamental formal e dedicada ao clima, e o tema é tratado de forma transversal. A Lei nº 10.161/2014 criou o Fórum Maranhense de Mudanças do Clima (FMMC), um órgão de alto nível presidido pelo Governador. A composição do Fórum é multissetorial, incluindo 12 secretarias de estado, sociedade civil e setor produtivo, o que demonstra a internalização do tema no governo. Além do Fórum, existem estruturas mais específicas e atuantes. O Decreto nº 39.176/2024 instituiu o Grupo Gestor Estadual (GGE-ABC+MA) para implementar o plano de agricultura de baixo carbono. Este grupo também possui composição diversificada, com representantes de múltiplas secretarias, instituições de pesquisa e do setor agropecuário, confirmando que a pauta climática é tratada de forma transversal. A existência de um Fórum estratégico e de comitês setoriais atuantes comprova uma governança climática bem estruturada.</t>
  </si>
  <si>
    <t>O Maranhão definiu com clareza algumas responsabilidades centrais para a governança do clima, mas há lacunas em outras. A Lei nº 10.161/2014, que cria o Fórum Maranhense de Mudanças do Clima (FMMC), estabelece que o Governador é responsável por liderar o Fórum e que a SEMA, como Secretaria Executiva, deve coordenar os trabalhos. Contudo, a mesma lei não designa um responsável direto por implementar as políticas, atribuindo ao Fórum apenas um papel de "apoio à execução". Também não foi identificada a atribuição das responsabilidades de monitorar os resultados das políticas e de dar transparência sobre eles à sociedade. Por haver funções-chave definidas, mas com lacunas em outras áreas essenciais, a classificação é intermediária.</t>
  </si>
  <si>
    <t>A liderança da agenda climática no Maranhão está no mais alto nível do governo, garantindo autoridade para mobilizar os diferentes setores. O Fórum Maranhense de Mudanças do Clima (FMMC), principal órgão sobre o tema, é presidido pelo Governador do Estado, conforme a Lei nº 10.161/2014. Da mesma forma, o Comitê de Combate ao Desmatamento (CEDIF-MA) também é presidido pelo Governador. Além da liderança política, a estrutura de governança garante o subsídio técnico para a tomada de decisão. A lei do FMMC e os decretos que criam outros comitês, como o CEDIF-MA e o de REDD+, preveem a criação de "Câmaras Técnicas" e de um "Comitê Técnico Científico". Essa combinação de liderança no mais alto escalão com a participação formal de especialistas atende plenamente aos critérios de uma liderança robusta e bem-informada.</t>
  </si>
  <si>
    <t>O Maranhão possui um mapeamento de riscos e vulnerabilidades climáticas atualizado, baseado em informações científicas e disponibilizado em plataformas oficiais. O Estado utiliza o Sistema Integrado de Monitoramento e Gerenciamento Ambiental (SIMA) para acompanhar desmatamento, queimadas e recursos hídricos. Este sistema é alimentado com dados de instituições científicas, como o INPE e a ANA. Além disso, o Centro Integrado de Prevenção a Desastres Ambientais realiza o monitoramento diário de eventos climáticos extremos. A plataforma de Monitoramento do Zoneamento Ecológico-Econômico (ZEE) também disponibiliza mapas de vulnerabilidades do território, como suscetibilidade à erosão. A utilização desses dados científicos é reforçada em políticas públicas, como no Plano de Controle do Desmatamento. A existência dessas múltiplas ferramentas, atualizadas e com base científica, comprova um sistema robusto de mapeamento de riscos.</t>
  </si>
  <si>
    <t>O Maranhão incorpora os riscos climáticos de forma abrangente e sistemática em seus principais instrumentos de planejamento. A avaliação se baseia na análise do Plano Estratégico de Longo Prazo "Maranhão 2050" e do Plano Plurianual (PPA) 2024-2027. O plano de longo prazo reconhece as "mudanças climáticas" como um desafio estratégico e estabelece a área de resultado "Meio Ambiente Valorizado e Resiliente". Essa visão orienta diretamente o PPA 2024-2027, principal instrumento de médio prazo do estado, que adota a mesma estrutura de eixos. O PPA, por sua vez, traduz essa diretriz em ações orçamentárias concretas. O documento identifica o "território vulnerável diante das mudanças climáticas" como um desafio prioritário e prevê, no programa de Planejamento e Gestão Ambiental, uma ação específica para o "Fortalecimento do Plano Estadual de Adaptação e Mitigação dos Efeitos das Mudanças Climáticas".</t>
  </si>
  <si>
    <t>O Estado do Maranhão foi classificado como "Estágio Avançado" por possuir uma estrutura de governança robusta e bem articulada para a coordenação interna de suas políticas climáticas, atendendo a todos os atributos avaliados pela metodologia. Foram identificados múltiplos mecanismos institucionais formais, criados por lei, que promovem o diálogo entre diferentes setores do governo. Destacam-se o Fórum Maranhense de Mudanças do Clima (FMMC), o Comitê de Coordenação do Sistema de REDD+ e PSA, e o Comitê Estratégico para Prevenção e Combate ao Desmatamento Ilegal (CEDIF-MA). A composição desses órgãos é ampla e multissetorial, envolvendo Secretarias-chave como Meio Ambiente, Planejamento, Agricultura, Segurança Pública, Infraestrutura, Direitos Humanos e Desenvolvimento Econômico. Isso demonstra que a agenda climática é tratada de forma transversal e integrada. Além da existência formal, há evidências claras de uma dinâmica de funcionamento ativo. Os atos normativos que criaram esses espaços definem a periodicidade obrigatória de suas reuniões, como as mensais para o FMMC e as bimestrais para o Comitê de Coordenação de REDD+ e PSA. Essa regularidade institucionalizada assegura a continuidade da articulação entre as pastas, consolidando um arranjo forte para a ação climática no estado.</t>
  </si>
  <si>
    <t>A classificação Estágio Avançado se deve à forte evidência de que o Maranhão utiliza a cooperação com outros estados como uma estratégia consolidada para enfrentar desafios climáticos e de desenvolvimento. O Estado formalizou sua participação em mecanismos relevantes, como o Consórcio Nordeste e o Consórcio da Amazônia Legal, além do Comitê da Bacia do Rio Parnaíba. Essa participação vai além da formalidade, sendo efetiva e ativa. A ata de reunião do Consórcio Nordeste, por exemplo, comprova a presença e a contribuição de representantes maranhenses em discussões técnicas sobre emergências climáticas. Adicionalmente, o compromisso do estado é institucionalizado internamente. Um decreto estadual designa formalmente uma de suas superintendências para acompanhar as atividades do Consórcio Nordeste, demonstrando a internalização da cooperação na estrutura de governo. Desta forma, o Maranhão atende a todos os critérios exigidos pela metodologia para a avaliação máxima: participa de coalizões intergovernamentais relevantes, possui representação formal e demonstra participação ativa por meio de seus agentes.</t>
  </si>
  <si>
    <t>O Estado do Maranhão demonstra uma forte estrutura de coordenação vertical, atuando de forma alinhada com o Governo Federal em diversas frentes da agenda climática. A participação do estado em mecanismos de cooperação é formal e efetiva. Um exemplo é o Plano de Agricultura de Baixa Emissão de Carbono (Plano ABC+MA), cujo grupo gestor inclui representantes de órgãos federais como o MAPA e a Embrapa, garantindo representatividade adequada. A publicação do plano é evidência da efetividade dessa colaboração. O estado também alinha seu Plano de Prevenção e Controle do Desmatamento e Queimadas (PPCDQ-MA) às diretrizes nacionais e participa de programas como o PROGESTÃO, pactuando metas de gestão de recursos hídricos com a Agência Nacional de Águas. Essa participação em diferentes mecanismos, com representação formal e resultados concretos, fundamenta a classificação avançada, indicando que a cooperação entre os níveis de governo é uma prática consolidada.</t>
  </si>
  <si>
    <t>O Estado do Maranhão possui mecanismos institucionais importantes que garantem a participação da sociedade em discussões sobre o clima. Foi criado o Fórum Maranhense de Mudanças do Clima (FMMC), um espaço permanente de diálogo instituído pela Lei nº 10.161/2014. A composição do Fórum é ampla e inclui representantes da sociedade civil, de organizações não governamentais, de instituições de ensino e pesquisa e do setor produtivo. A nomeação de seus membros por meio do Decreto nº 36.828/2021 evidencia que o mecanismo está ativo e em funcionamento. Além disso, o estado promove a Conferência Estadual de Meio Ambiente (CEMA), uma instância de participação social para definir propostas sobre a emergência climática. Esses espaços permitem que diferentes atores interajam com o governo na formulação e implementação de políticas climáticas, atendendo aos três primeiros critérios de avaliação do Manual. A classificação "Estágio Intermediário" é atribuída porque, apesar da existência desses canais de participação, as evidências fornecidas não comprovam a existência de um mecanismo de resposta à sociedade. Não foram identificados relatórios que demonstrem como as sugestões e propostas da sociedade civil foram incorporadas ou as razões para sua não incorporação, critério essencial para a classificação avançada.</t>
  </si>
  <si>
    <t>A classificação Estágio Avançado é justificada pela ampla e formalizada representação de diferentes setores da sociedade nos mecanismos de participação climática do Estado. A principal instância, o Fórum Maranhense de Mudanças do Clima (FMMC), possui uma composição legalmente definida que garante a participação do setor privado (indústrias, setor produtivo), da sociedade civil (ONGs) e do setor acadêmico (instituições de ensino e pesquisa). A efetividade dessa representação é comprovada pelo Decreto nº 36.828/2021, que nomeia as diversas entidades de cada segmento. A prática é consistente em outros espaços, como na Conferência Estadual de Meio Ambiente, que estabelece cotas formais para delegados da sociedade civil e do setor privado. A existência de múltiplos canais com representação garantida em lei demonstra um forte compromisso com a governança participativa, atendendo aos critérios mais elevados da metodologia.</t>
  </si>
  <si>
    <t>O Maranhão avançou na identificação de seus grupos sociais vulneráveis por meio de mecanismos formais. A Portaria SEDIHPOP n.º 01/2024, por exemplo, instituiu o Cadastro Estadual de Povos e Comunidades Tradicionais (CECT), que reconhece e registra grupos como quilombolas, indígenas, quebradeiras de coco, pescadores artesanais, entre outros. A Lei nº 11.687/2022 também define as Populações Atingidas por Barragens e seus direitos. Adicionalmente, normas como a Portaria SEMA nº 253/2024 reconhecem a agricultura familiar como um grupo específico. A classificação é Intermediária porque, apesar do avanço na identificação dos grupos, o mapeamento de suas necessidades específicas para enfrentar os impactos da mudança do clima ainda é parcial. A legislação sobre atingidos por barragens detalha necessidades, mas para um contexto de risco específico. Para os demais povos e comunidades tradicionais, a Portaria do CECT prevê a coleta de informações por meio de um formulário de autodeclaração. Não foi encontrada evidência de um diagnóstico amplo, realizado pelo governo, que mapeie de forma sistemática as vulnerabilidades e necessidades de todos esses grupos diante dos diferentes riscos climáticos, como secas ou inundações, conforme orienta a metodologia.</t>
  </si>
  <si>
    <t>O Maranhão possui mecanismos formais e variados para incluir grupos vulneráveis em decisões sobre o clima, justificando a classificação em Estágio Avançado. Foram criadas comissões permanentes com participação garantida da sociedade civil, como a Comissão de Povos e Comunidades Tradicionais e o comitê para Populações Atingidas por Barragens. O Estado também promoveu a 5ª Conferência Estadual de Meio Ambiente, com cotas definidas para assegurar a presença e o voto de comunidades tradicionais e agricultores. O relatório do evento demonstra que propostas desses grupos sobre justiça climática foram de fato eleitas. Adicionalmente, a Consulta Livre, Prévia e Informada é obrigatória em licenciamentos ambientais que afetam esses territórios, garantindo que sua voz seja ouvida antes da tomada de decisão. Portanto, o Estado não se limita a um único tipo de mecanismo, existindo comissões permanentes (CEPCT/MA e Comitê PEAB), eventos periódicos de alta relevância (Conferência Estadual de Meio Ambiente) e um procedimento de consulta obrigatório para projetos específicos (CLPI). A existência de múltiplos canais formais e em funcionamento (comissões, conferências e consultas) demonstra a "ampla inclusão" exigida pela metodologia.</t>
  </si>
  <si>
    <t>"O Maranhão demonstra um estágio avançado ao incorporar a equidade em suas políticas climáticas de forma transversal. A classificação se baseia em evidências robustas encontradas em três pilares, quais sejam, (1) Arcabouço Legal: A Política Estadual de Mudanças Climáticas (Lei 12.301/2024) exige o reconhecimento das diversidades social e cultural na identificação de vulnerabilidades. O Sistema de REDD+ e PSA (Lei 11.578/2021) vai além, criando programas específicos e salvaguardas para povos indígenas e comunidades tradicionais</t>
  </si>
  <si>
    <t>A classificação é Estágio Avançado. A Assembleia Legislativa do Maranhão (ALEMA) demonstra um envolvimento ativo e estruturado com a pauta climática e ambiental, atendendo a todos os critérios de avaliação. Primeiramente, a ALEMA possui uma estrutura permanente dedicada ao tema: a Comissão de Meio Ambiente e Desenvolvimento Sustentável. Esta comissão está em pleno funcionamento, com seus membros definidos, e é a principal responsável por analisar projetos na área. A comissão demonstra grande atividade. Atualmente, analisa projetos de lei sobre contenção de enchentes, reciclagem e proteção de ecossistemas marinhos. Além disso, convoca audiências públicas para debater com a sociedade temas como a qualidade do ar e energia sustentável. A ALEMA também participa de outros espaços de governança, como a Comissão Interinstitucional de Educação Ambiental (CIEA), para a qual designou representantes. O resultado desse trabalho é a aprovação de uma vasta agenda legislativa. Nos últimos cinco anos, foram criadas leis cruciais como a Política Estadual de Enfrentamento das Mudanças Climáticas, a Política de REDD+ e PSA (para conservação florestal) e a Política de Tributação Ecológica. A aprovação de leis sobre Zoneamento Ecológico-Econômico e energias renováveis mostra que o tema é tratado de forma ampla e integrada. Em resumo, a existência de uma comissão ativa, a realização de debates e a aprovação de um robusto conjunto de leis justificam a classificação máxima.</t>
  </si>
  <si>
    <t>A classificação "Sem Progresso" se fundamenta na ausência de auditorias, nos últimos cinco anos, realizadas pelos órgãos de controle externo e interno do Estado que tenham tido as mudanças climáticas como foco de análise. Para que uma classificação superior a "Sem Progresso" seja atribuída, a metodologia do Painel ClimaBrasil exige que o órgão de controle tenha se debruçado sobre a pauta climática de forma explícita em seus trabalhos, ainda que como tema secundário. É importante notar que o Tribunal de Contas do Estado (TCE) tem atuado em áreas correlatas. Em 2024, foi concluída uma relevante auditoria operacional sobre a política de "Saneamento Básico e Resíduos Sólidos". Contudo, apesar da forte conexão do tema com a agenda climática - especialmente na gestão de resíduos, fonte de emissão de gases de efeito estufa (GEE) -, o escopo da referida auditoria não incluiu a perspectiva climática. O relatório focou estritamente no cumprimento da legislação setorial e em aspectos de governança, sem abordar os impactos ou as metas relacionadas às mudanças do clima. Assim, como o trabalho não abordou o tema, nem mesmo como componente secundário, a atuação do controle não atende ao critério mínimo para pontuação, resultando na classificação "Sem Progresso".</t>
  </si>
  <si>
    <t>O Poder Judiciário do Maranhão demonstra um compromisso robusto e estruturado com a pauta climática, justificando a classificação em estágio avançado. A instituição formal do Grupo de Trabalho do Meio Ambiente (GTMA) pela Portaria TJ 644/2025, com a imediata designação de seus membros, evidencia que a estrutura não é apenas um plano, mas uma realidade ativa. O tribunal implementa as diretrizes da Política Nacional do Poder Judiciário para o Clima, como a determinação para criar um núcleo ambiental especializado em conciliação, o estímulo ao uso de geotecnologias e a promoção de capacitação contínua, que foi inclusive tornada requisito obrigatório para a promoção na carreira dos servidores. A adesão a um acordo de cooperação técnica com o CNJ e tribunais superiores reforça a atuação em rede e a articulação interinstitucional para enfrentar os desafios ambientais. Essas ações, somadas, constituem uma estrutura organizacional especializada e atuante.</t>
  </si>
  <si>
    <t>O documento apresenta a Lei Nº 9.878/2013, que cria o Sistema Estadual de REDD+, com definições e princípios diretamente ligados à redução de emissões de GEE e conservação florestal (arts. 2° e 3°, p. 1). Adicionalmente, a Lei Complementar Nº 582/2017 institui a Política Estadual de Mudanças Climáticas de Mato Grosso, com princípios e objetivos que abrangem mitigação e adaptação frente às mudanças climáticas (arts. 1° a 6°). Verifica-se, assim, que o Estado de Mato Grosso tem um arcabouço legislativo robusto e específico para a temática climática, o que justifica o estágio avançado quanto aos critérios da metodologia Painel ClimaBrasil.</t>
  </si>
  <si>
    <t>A Lei nº 9.878/2013 prevê a "complementaridade e consistência das ações de REDD+ com as políticas existentes na esfera estadual ou federal e com os instrumentos e acordos internacionais" (art. 3°, II). A Lei Complementar nº 582/2017 exige "sistema de verificação, registro e monitoramento para ações de mitigação e projetos de redução de emissões de GEE, compatíveis e integradas com as metodologias definidas nacionalmente" (art. 4º, XVI). A meta de neutralidade de carbono até 2050 está em linha com a Contribuição Nacionalmente Determinada (NDC) do Brasil, que também estabelece a neutralidade climática até 2050 (p. 34, Sumário Executivo - Relatório "Desenvolvimento e Avaliação da Trajetória de Descarbonização do Mato Grosso). Ademais, verifica-se que o Programa REM/MT segue as diretrizes da Estratégia Nacional de REDD+, por meio das resoluções CONAREDD, como pode ser observado nos sites do Infohub Brasil (infohubbrasil.mma.gov.br) e Programa REM/MT (rem.sema.mt.gov.br). No entanto, os documentos fornecidos não apresentam os planos de adaptação em si, nem estabelecem prazos e metas de adaptação específicos e harmonizados com os planos nacionais, o que justifica o "estágio inicial" quanto aos critérios da metodologia Painel ClimaBrasil.</t>
  </si>
  <si>
    <t>A Lei Complementar nº 582/2017, que institui a Política Estadual de Mudanças Climáticas, estabelece como objetivo geral integrar o esforço global e detalha a necessidade de elaborar planos de ação e ordenamento territorial, bem como a compatibilização de políticas e programas (arts. 5°, 6° e 39°, respectivamente). O Decreto Nº 1.513/2022, que redefine o Plano Estadual ABC+MT, exemplifica a integração setorial, pois aborda as práticas agrícolas sustentáveis e resilientes, a composição interinstitucional do Grupo Gestor Estadual e a elaboração de Plano de Ação vinculado à mitigação e adaptação (art. 1° a 4°). Por fim, a Lei Complementar nº 233/2005, referente à Política Florestal do Estado de Mato Grosso, aborda a proteção e manejo florestal sustentável, a implementação de medidas internacionais de redução de GEE e mecanismos para comercialização de créditos de carbono (arts. 1°, 4° e 71°, respectivamente). Tais normativos demonstram a abrangência de mecanismos de integração climática nos planos e políticas setoriais do estado, o que justifica o estágio avançado quanto aos critérios da metodologia Painel ClimaBrasil.</t>
  </si>
  <si>
    <t>A Lei Complementar nº 582/2017 institui o "Sistema Estadual de Mudanças Climáticas" (Art. 7°), listando seus componentes como a SEMA, o Conselho Estadual do Meio Ambiente e Fóruns (estadual e municipais), além da Defesa Civil (Art. 8º). Em complemento, o Decreto nº 1.210/2025, que aprova o Regimento Interno da SEMA, detalha estruturas como a "Superintendência de Mudanças Climáticas e Biodiversidade" (Art. 3º) e a "Coordenadoria de Mudanças Climáticas e REDD+" (Art. 71). A presença de regimento interno e a especificação de cargos demonstram que essas estruturas estão não apenas criadas, mas em funcionamento, o que justifica o estágio avançado quanto aos critérios da metodologia Painel ClimaBrasil.</t>
  </si>
  <si>
    <t>A Lei Complementar nº 582/2017 atribui à Secretaria de Estado de Meio Ambiente (SEMA) a competência de "promover a coordenação de políticas e medidas adotadas em todas as áreas de governo" em matéria climática, "gerir a Política Estadual de Mudanças Climáticas", "dar ampla publicidade" (transparência) e "acompanhar a execução" (monitoramento) da Política (Art. 9°, I, III, IX e XI). Já o Decreto nº 1.210/2025 reforça essas atribuições ao especificar que a "Coordenadoria de Mudanças Climáticas e REDD+" é responsável por "propor, elaborar, coordenar e avaliar as políticas, estudos e instrumentos" de mitigação e adaptação, e "elaborar o inventário de emissões" (Art. 71, I, III e V). Na análise, destaca-se que não foram identificadas lacunas ou sobreposições significativas nas responsabilidades atribuídas, o que justifica o estágio avançado quanto aos critérios da metodologia Painel ClimaBrasil.</t>
  </si>
  <si>
    <t>A Sema, sendo um órgão da administração direta e parte do Sistema Estadual de Mudanças Climáticas (Lei Complementar nº 582/2017, Art. 8º, I), tem a responsabilidade e liderança de "promover a coordenação de políticas e medidas adotadas em todas as áreas de governo" e "gerir a Política Estadual de Mudanças Climáticas" (Art. 9º, I, III). Destaca-se, ainda, que a existência de uma Superintendência e uma Coordenadoria dedicadas às mudanças climáticas e REDD+ dentro da SEMA (Decreto nº 1.210/2025, Art. 3º e Art. 71) indica a presença de equipe técnica especializada e uma estrutura com capacidade de mobilização intersetorial e acesso à cúpula do Executivo. Portanto, verifica-se que o Estado de Mato Grosso tem posicionamento de liderança para o enfrentamento das mudanças climáticas, o que justifica o estágio avançado quanto aos critérios da metodologia Painel ClimaBrasil.</t>
  </si>
  <si>
    <t>De acordo com os documentos fornecidos, classifica-se este item em "estágio avançado", considerando as seguintes evidências:
1 - ZARC (P.2-3): Zoneamento Agrícola de Risco Climático com mais de 20 culturas mapeadas para o biênio 2024-2025. Fundamentado em base científica da EMBRAPA, com destaque para a Portaria SPA/MAPA 106/2024 aplicada à soja. Integra ferramentas digitais como o Zarc Plantio Certo Web e aplicativo móvel, vinculadas ao crédito rural.
2 - CEMADEN (P.3-4): Monitoramento contínuo de secas com uso do Índice Integrado de Seca (IIS3). Dados específicos de Mato Grosso indicam 24 municípios em seca extrema em agosto de 2024, com projeção de 73 municípios em setembro. Utiliza metodologia científica com dados meteorológicos, hidrológicos e imagens de satélite.
3 - DEFESA CIVIL/SGB (P.6-7): Programa estadual ativo com mapeamentos atualizados em mais de 10 municípios em 2025. Exemplo: Nortelândia (julho) e Água Boa (junho), com uso de satélites, drones e georreferenciamento. Parceria técnica com o Serviço Geológico do Brasil.
4 - ANUÁRIO 2025 (P.5): Registra 5,18 milhões de pessoas afetadas por desastres (2000-2023) e redução da vegetação nativa de 87% para 60% (1985-2023), com dados do IBGE, INPE, ANA e CEMADEN.
SÍNTESE (P.9-10): Mapeamento robusto, atualizado (2024-2025), com base científica sólida (EMBRAPA, CEMADEN, SGB) e uso de múltiplos instrumentos integrados. Mato Grosso se destaca pela abrangência e atualização contínua das informações.</t>
  </si>
  <si>
    <t>Verifica-se que nos instrumentos de planejamento do Estado de Mato Grosso (PPA, LDO e LOA) não há referências diretas ou indiretas a ações de mitigação ou adaptação frente às mudanças climáticas. Pois, não há menção explícita de riscos climáticos como premissas para a definição de objetivos, programas, metas ou alocações orçamentárias de forma sistêmica e abrangente. As menções a riscos dos instrumentos de planejamento são de natureza fiscal/orçamentária e não foram identificados mecanismos de mapeamento ou incorporação de cenários de riscos climáticos nesses instrumentos. Por isso, classifica-se este item em "sem progresso".</t>
  </si>
  <si>
    <t>O Decreto Nº 2.197/2009 dispõe sobre a composição do Fórum Mato-grossense de Mudanças Climáticas com "representantes titulares e suplentes das diversas instituições e entidades", incluindo diversos Secretários de Estado (Meio Ambiente, Casa Militar, Saúde, entre outros), além do Reitor da UNEMAT e do PGE/MT. Essa abrangente participação de múltiplas secretarias e órgãos do governo estadual evidencia um mecanismo formal para o alinhamento de ações e discussões sobre mudanças climáticas no âmbito do próprio ente federativo. Contudo, o decreto, por si só, não fornece evidências de que o Fórum está ativo. Pois, não foi evidenciado atas de reunião, relatórios ou deliberações que comprovem seu funcionamento. Assim, pode-se afirmar que não há evidências de uma dinâmica que possibilite a regular interação entre os atores, o que justifica o "estágio intermediário" quanto aos critérios da metodologia Painel ClimaBrasil.</t>
  </si>
  <si>
    <t>O site "www.consorcioamazonialegal.gov.br" demonstra a participação ativa de Mato Grosso em fóruns de governadores da Amazônia Legal, promovendo uma coordenação entre estados para a agenda climática. Além disso, o envolvimento do estado de Mato Grosso com a Associação Brasileira de Entidades Estaduais de Meio Ambiente (ABEMA), evidenciado pelo site "www.abema.org.br", indica a participação em uma coalizão nacional que representa os órgãos ambientais estaduais. Assim, verifica-se a existência de representação formal e a participação efetiva do Estado de Mato Grosso em mecanismos de coordenação entre entes políticos do mesmo nível federativo, o que justifica o estágio avançado quanto aos critérios da metodologia Painel ClimaBrasil.</t>
  </si>
  <si>
    <t>A Lei nº 9.111/2009 estabelece como objetivo do Fórum Mato-grossense a "articulação dos órgãos e entidades públicas e privadas com o Fórum Brasileiro de Mudanças Climáticas e com a Comissão Interministerial de Mudanças Climáticas" (Art. 2º, I). O DECRETO Nº 11.548/2023, ao instituir a Comissão Nacional para REDD+, designa-a como "órgão de execução e assessoramento aos Estados" (Art. 3º) e prevê a composição com "quatro entidades estaduais ou distritais de meio ambiente, indicados pela Associação Brasileira de Entidades Estaduais de Meio Ambiente - Abema" (Art. 4º, XI, p. 35 do PDF). O site "www.abema.org.br" corrobora o papel da ABEMA na representação dos estados, enquanto o site "www.gov.br" reforça o papel do Ministério do Meio Ambiente - MMA como ponto focal nacional, indicando uma estrutura formalizada e ativa para a coordenação entre esferas de governo. No entanto, não foram evidenciados atas de reunião, listas de presença, relatórios de participação ou qualquer outro documento que demonstre o engajamento ativo de um representante de Mato Grosso nesses fóruns, o que justifica o "estágio intermediário" quanto aos critérios da metodologia Painel ClimaBrasil.</t>
  </si>
  <si>
    <t>A análise da Lei nº 9.111/2009 indica o atendimento pleno de três dos quatro critérios do G5-A. O Critério 1 é plenamente atendido, uma vez que a lei institui formalmente o Fórum Mato-grossense de Mudanças Climáticas, de caráter permanente e com competências deliberativas, como propor políticas públicas e acompanhar sua implementação. O Critério 2 também é cumprido, pois a estrutura do Fórum permite interação regular entre governo e sociedade civil, sendo presidido pelo Governador e contando com representantes multissetoriais e câmaras temáticas. O Critério 3 é igualmente atendido, com mecanismos que garantem a consideração das perspectivas dos participantes, tanto na formulação quanto no monitoramento de políticas. Por outro lado, o Critério 4 não foi evidenciado, já que as evidências apresentadas pelo Estado de MT não apresentam instrumentos formais de resposta institucional que demonstrem a incorporação ou rejeição justificada das contribuições recebidas. Assim, conclui-se que o Fórum apresenta estrutura sólida de participação e deliberação, mas carece de mecanismos formais de prestação de contas sobre como as contribuições dos participantes são tratadas.</t>
  </si>
  <si>
    <t>Texto com até 1.450 caracteres:
A classificação "ESTÁGIO AVANÇADO" para o G5-B de Mato Grosso baseia-se na Lei nº 9.111/2009 (p.1), que institui o Fórum Mato-grossense de Mudanças Climáticas com representatividade formalizada e ampla de todas as partes interessadas.
O Art. 3º (p.2) assegura participação de todas as Secretarias de Estado, autarquias, fundações e empresas públicas estaduais, garantindo representação governamental multissetorial nas decisões climáticas. A sociedade civil organizada também está contemplada, incluindo ONGs, sindicatos, associações de classe e federações. O setor acadêmico é integrado por instituições públicas e privadas de ensino superior, enquanto o setor privado tem assento por meio de suas federações e entidades representativas.
O Art. 5º (p.2) institui Câmaras Temáticas com presença de representantes do governo, sociedade civil, empresas, academia e mídia, evidenciando mapeamento estruturado de atores. O Art. 7º (p.3) prevê a criação de Fóruns Regionais e Municipais e realização de consultas públicas, promovendo a participação nos níveis locais. O Art. 3º, §1º (p.2) permite a inclusão de novos atores, conferindo flexibilidade institucional.
Como diferencial, a lei não apenas garante representação formal, mas estrutura uma governança ampla e adaptável, superando critérios de estágios anteriores.</t>
  </si>
  <si>
    <t>O G6-A foi classificado como ESTÁGIO INICIAL porque não atende aos dois critérios fundamentais estabelecidos: 1. IDENTIFICAÇÃO INCOMPLETA DE GRUPOS VULNERÁVEIS: O documento foca exclusivamente em PCTs, ignorando outros grupos vulneráveis às mudanças climáticas exigidos pelos critérios, tais como: agropecuaristas, comerciantes, industriários, pessoas de baixa renda, mulheres, crianças, jovens, idosos, refugiados e comunidades remotas. Há o reconhecimento oficial de que "A identificação dos grupos é um processo ainda em construção" e que "há grupos ainda não visibilizados para o Estado", além de um mapeamento incompleto, pois "Não é um mapeamento exaustivo da ocorrência de PCTs no estado". 2. AUSÊNCIA DE MAPEAMENTO DE NECESSIDADES ESPECÍFICAS: O documento não mapeia necessidades específicas relacionadas aos impactos das mudanças climáticas. Há dados insuficientes, com a declaração de que "Não há fonte oficial de dados de produção agroextrativista" e "os dados são incompletos". O foco é limitado a necessidades gerais (visibilidade, comunicação) sem análise de vulnerabilidades climáticas específicas. CRITÉRIO OFICIAL APLICADO: "Há um mapeamento incompleto dos grupos sociais e/ou econômicos vulneráveis... e/ou não há um mapeamento de suas necessidades específicas" = ESTÁGIO INICIAL.</t>
  </si>
  <si>
    <t>A classificação como Estágio Inicial decorre do cumprimento parcial do critério oficial: "Existem mecanismos formais, mas eles não são utilizados ou são utilizados de maneira restrita". Embora o Estado disponha de estrutura normativa sólida com cinco conselhos legalmente instituídos (CEPCT/MT, CEPIR, CEDRS, CONSEA/MT e CESOL/MT) e representatividade de 14 segmentos de PCTs no CEPCT/MT, a efetividade prática desses mecanismos é limitada.
Relatórios apontam ausência de interação contínua da SEAF com os PCTs, baixa recepção de demandas espontâneas e inexistência de setor específico para tratar de suas questões. Há ainda barreiras logísticas significativas, como a distância até a capital, e falta de orientação clara sobre como acessar políticas públicas. Soma-se a percepção de uso pontual das estruturas participativas.
Assim, apesar da formalização robusta, a baixa dinâmica de funcionamento e a limitada capacidade de influência real justificam a classificação no Estágio Inicial.</t>
  </si>
  <si>
    <t>As evidências fornecidas demonstram que:
1) O quadro legal do estado incorpora explicitamente a perspectiva de equidade, com foco nos grupos mais vulneráveis, alinhando-se à alegação do avaliador (LC nº 582/2017, Art. 2º, Inciso V)
2) O documento "PCI - Estratégia, Produzir, Conservar e Incluir" incorpora parcialmente a equidade ao dedicar um de seus três pilares à inclusão de agricultores familiares e populações tradicionais.
3) O documento Plano de ação para prevenção e controle do desmatamento e incêndios florestais do estado de mato grosso (PPCDIF/MT) também incorpora a perspectiva de equidade, principalmente por meio de seu alinhamento com a Estratégia PCI e os programas de REDD+, que visam beneficiar populações locais, incluindo agricultores familiares e populações tradicionais."(p. 12, Seção 1.1).
Destaca-se, contudo, que há evidências que demonstram os planos de mitigação, mas não há evidências que demonstram os planos de adaptação, o que justifica o "estágio inicial" quantos aos critérios da metodologia Painel ClimaBrasil.</t>
  </si>
  <si>
    <t>Nos documentos fornecidos pela Assembleia constata-se que:
1) A Resolução Nº 757/2007 cria, em caráter permanente, um mecanismo legislativo com foco explícito em "Combate ao Aquecimento Global". Isso atende diretamente ao critério de "mecanismos dedicados à mudança do clima".
2) As demais resoluções (nº 2.120/2011, nº 319/2004, nº 863/2008, nº 955/2008) demonstram um engajamento da casa legislativa com a pauta ambiental e de sustentabilidade
interna. Embora não sejam focadas em política climática, elas representam "atividades legislativas específicas" no campo ambiental, o que fortalece a evidência de envolvimento do legislativo com o tema.
3) A estrutura organizacional do site da ALMT revela a existência da "Comissão de Meio Ambiente, Recursos Hídricos e Recursos Minerais" como uma das comissões permanentes, indicando que o tema é tratado de forma transversal e contínua na casa.
No entanto, não há evidências de que a Frente Parlamentar é ativa e que o tema climático é transversal e objeto de atividades contínuas, o que justifica o estágio intermediário para este item quanto aos critérios da metodologia Painel ClimaBrasil.</t>
  </si>
  <si>
    <t>O Tribunal de Contas e a Controladoria do Estado de Mato Grosso não realizaram auditorias nos últimos 5 anos cujo foco principal fosse alguma questão relacionada às mudanças climáticas.</t>
  </si>
  <si>
    <t>Com base na metodologia do Painel ClimaBrasil, constata-se que o Poder Judiciário de Mato Grosso - PJ/MT está em estágio intermediário. Pois algumas medidas previstas no Art. 6º da Resolução CNJ 433/2021 (atualizada pela Resolução CNJ 611/2024), que define a Política Nacional do Poder Judiciário para o Clima e o Meio Ambiente, não estão em processo de implementação, tais como: criação de núcleos especializados em centros de solução consensual de conflitos
Assim, a análise do "TJ-MT.pdf" revela que o Poder Judiciário de Mato Grosso tem abordado parcialmente as atribuições pertinentes à sua atuação na agenda climática, o que justifica o "estágio intermediário" para este item quanto aos critérios da metodologia Painel ClimaBrasil.</t>
  </si>
  <si>
    <t>A Lei estadual n. 4555/2014 estabelece a Política Estadual de Mudanças Climáticas - PEMC e prevê dispositivos para mitigação dos danos e para adaptação aos impactos climáticos. Além das convergências esperadas entre a lei estadual e a lei nacional, a lei 4.555/2014 adicionou princípios como o do poluidor pagador e educação ambiental, bem como adicionou biomas específicos. A lei estadual também mencionou a articulação com iniciativas nacionais, demonstrando intenção de harmonização entre as ações. A lei também estabeleceu uma meta de redução da emissão de dióxido de carbono, relativas a 2005, num percentual de 20% para 2020. Também alocou 10% dos recursos advindos do comércio de reduções certificadas de emissões (RCE), de titularidade de terceiros em território do MS, ao fundo PROCLIMA e criou um registro público estadual de emissões de GEE.</t>
  </si>
  <si>
    <t>A lei estadual se insere no arcabouço da lei federal, aplicando seus princípios e diretrizes ao nível regional. A lei federal incentiva e prevê a integração de ações estaduais e municipais e a lei estadual estabelece a articulação com iniciativas nacionais, demonstrando intenção de harmonização entre as ações. Também estabeleceu uma meta de redução da emissão de dióxido de carbono, relativas a 2005, num percentual de 20% para 2020, e alocou 10% dos recursos advindos do comércio de reduções certificadas de emissões (RCE), de titularidade de terceiros em território do MS, ao fundo PROCLIMA e, ainda, criou um registro público estadual de emissões de GEE. O Decreto n. 15798/2021 renovou a meta para que o estado seja considerado ente carbono neutro até o ano de 2030.</t>
  </si>
  <si>
    <t>"A Lei do Plano Plurianual (PPA) do Estado de Mato Grosso do Sul para o período de 2024 a 2027 integra os aspectos das mudanças climáticas nos seus principais instrumentos de planejamento e políticas setoriais. As ações e objetivos específicos relacionados às mudanças climáticas no PPA incluem: Apoiar a agenda climática internacional</t>
  </si>
  <si>
    <t>Existe estrutura dedicada ao clima (Coordenadoria de políticas de enfrentamento às mudanças climáticas, ligada à superintendência de mitigação e adaptação climática, na estrutura da Secretaria de Estado de Meio Ambiente, Desenvolvimento, Ciência, Tecnologia e Inovação - SEMADESC), no entanto o tema não está internalizado de forma transversal nos outros órgãos da organização do Estado do MS.</t>
  </si>
  <si>
    <t>A Lei 6.035/2022 organiza a estrutura administrativa do Poder Executivo estadual. O  Instituto de Meio Ambiente de Mato Grosso do Sul (IMASUL) e a Secretaria-Executiva de Meio Ambiente tem sobreposição de competências (art. 23, I, C, 2, 3, 4 e art. 23, §8º, I, XII e XIV). Junto à Secretaria-Executiva de Meio Ambiente funciona a Superintendência de Mitigação e Adaptação Climática que possui a Coordenadoria de Políticas de Enfrentamento às Mudanças Climáticas (COPEMC) - Decreto n. 16.180/2023. As competências não incluem o responsável pela liderança, pelo monitoramento e pela transparência das ações sobre mudanças climáticas. No Dec. 15798 há instituição da comunicação a cargo da SEMAGRO, hoje SEMADESC. A característica de subordinação da COPEMC à Superintendência de Mitigação e Adaptação Climática, que, por sua vez, é subordinada à Secretaria de Meio Ambiente, vinculada à SEMADESC, prejudica a tomada rápida de decisões de enfrentamento às mudanças do clima.</t>
  </si>
  <si>
    <t>A característica de subordinação da Coordenadoria de Políticas de Enfrentamento às Mudanças Climáticas (COPEMC) à Superintendência de Mitigação e Adaptação Climática, que, por sua vez, é subordinada à Secretaria de Meio Ambiente (Decreto n. 16.180/2023), vinculada à Secretaria de Estado de Meio Ambiente, Desenvolvimento, Ciência, Tecnologia e Inovação (SEMADESC), que é estrutura finalística de gestão do Governo estadual (art. 10, III, f, da Lei n. 6.035/2022), prejudica a tomada rápida de decisões de enfrentamento às mudanças do clima.</t>
  </si>
  <si>
    <t>O Estado de MS possui um mapeamento dos riscos, notadamente relacionados à hidrologia, à temperatura, ao desmatamento e às queimadas. Não há abrangência sobre riscos adversos como o surgimento de novas doenças, a impossibilidade de plantio de variedades agrícolas (como o MAPA produz) ou criação de animais, nem quanto à migração de pessoas devido à alterações do clima. Além disso, o zoneamento econômico-ecológico é de 2015, merecendo revisão e atualização.</t>
  </si>
  <si>
    <t>A Política Estadual de Mudanças Climáticas - PEMC, instituída pela Lei n. 4.555/2014, estabeleceu o compromisso do Estado frente ao desafio das mudanças climáticas globais, dispôs sobre as condições para as adaptações necessárias aos impactos derivados das mudanças climáticas. Já o plano ABC do MS considera "impactos e riscos das mudanças climáticas" de maneira genérica e propõe a introdução de cultivos em áreas de pastagens degradadas visando sua recuperação (integração lavoura-pecuária e lavoura-pecuária-floresta). No entanto, sequer o PPA 2024-2027 possui planos de mitigação e adaptação às mudanças do clima baseados no mapeamento dos riscos e das vulnerabilidades presentes em seu território.</t>
  </si>
  <si>
    <t>Apesar de haver diversas normas que preveem a atuação de colegiados, foi encontrado apenas as atas do CERH.</t>
  </si>
  <si>
    <t>O estado tem feito parcerias visando a proteção ambiental, a promoção do enfrentamento aos efeitos das mudanças climáticas e o compromisso de zerar emissões de ZEE até 2050. Há indicação do chefe da Secretaria de Meio Ambiente, Desenvolvimento, Ciência, Tecnologia e Inovação (SEMADESC), SEJUSP, para atuar frente ao acordo de cooperação técnica MT/MS, mas não há informações disponíveis sobre sua atuação. Da mesma forma há a indicação da SEMADESC para coordenar as campanhas "race to zero" e "under2 coalition", mas sem informações disponíveis sobre atuação além de notícias em sites.</t>
  </si>
  <si>
    <t>Os representantes indicados para comissão tripartite estadual é do ano de 2004. Não há informação sobre atualização, tampouco documentos sobre sua atuação.</t>
  </si>
  <si>
    <t>A Lei n. 4.555/2014 - Política Estadual de Mudanças Climáticas tem como um dos princípios fundamentais, em seu art. 3º, IV, a "participação da sociedade civil nos processos consultivos e deliberativos, com amplo acesso à informação, bem como a mecanismos judiciais e administrativos, inclusive no que diz respeito à compensação e reparação por danos ambientais". Por sua vez, o Decreto n. 15.798/2021 visa a transparência de dados, a governança pública e o estímulo à participação social, instituindo o comitê científico do PEMC, formado por instituições científicas convidadas pelo Governador (art. 19, II, e art. 22), e o fórum sul-mato-grossense de mudanças climáticas que é formado pelo Poder Público, pela sociedade civil organizada, pelas universidades, pelas instituições de pesquisa pública e sociedades científicas, pelos povos e comunidades tradicionais, indígenas e quilombolas (art. 19, III, art. 24). O Fundo Estadual de Controle e Prevenção da Poluição (FUNDO PROCLIMA) também determina que as reuniões do Conselho Deliberativo e Consultivo do Fundo devem ser abertas à participação de público externo, que participará na condição de ouvinte e observador. A Lei n. 5.905/2022, que ratificou o protocolo de intenções entre estados para CONSÓRCIO BRAIL VERDE, vide cláusulas nona, I, b, décima, X, e trigésima oitava, que também preveem a participação da sociedade. Não há evidência de encontros regulares.</t>
  </si>
  <si>
    <t>Além da Lei 4.555/2014 (PEMC), do Decreto 15.798/2021, da lei 5.905/2022, citadas no item A do G5, as Leis 2.406/2002 (PERH), 5.235/2018 (PESA), 5.279/2018 (agroecologia), 6.160/2023 (AUR-Pantanal), Decreto 15.654/2021 (PEMIF), Decreto 14.159/2015 (Plano ABC) também preveem a participação de grupos organizados da sociedade na discussão e decisões relacionadas ao tema de mudanças do clima e correlatos.</t>
  </si>
  <si>
    <t>Há apenas o Mapa de Vulnerabilidade Social-dados preliminares, da Secretaria de Estado de Assistência Social e dos Direitos Humanos. Nele se menciona a preocupação ambiental, mas não trata efetivamente da identificação dos grupos vulneráveis aos impactos das mudanças climáticas. A PEMC (Lei n. 4.555/2014) prevê o desenvolvimento de programas de adaptação às mudanças climáticas e aos eventos climáticos extremos que priorizem as populações mais vulneráveis, mas não foi encontrada documentação comprobatória dessa ação.</t>
  </si>
  <si>
    <t>A Resolução SEMADESC n. 70/2024, publicada no DOEMS n. 11.662, de 07/11/2024, homologou o regimento interno da 5ª conferência estadual de meio ambiente, que teve como tema "emergência climática" e foi organizada nos eixos mitigação, adaptação e preparação para desastres, transformação ecológica, justiça climática, governança e educação ambiental (art. 3º). O art. 20 estabelece o modo de representação por seguimentos da sociedade. A documentação relativa à efetiva participação social está demonstrada nos documentos relativos à eleição dos delegados e às propostas feitas para cada eixo temático do encontro.</t>
  </si>
  <si>
    <t>A política estadual de mudanças climáticas (PEMC) prevê a participação da sociedade e o desenvolvimento de programas de adaptação às mudanças climáticas e aos eventos climáticos extremos que priorizem as populações mais vulneráveis. No entanto, as ações do estado estão mais focadas em reduzir riscos climáticos para a produção agropecuária, a exemplo do Consórcio Brasil Verde, ABC+, GT Clima-CODESUL e o PROSOLO. Como já explanado no item G6.a, as populações e os grupos sociais e/ou econômicos em situação de vulnerabilidade frente aos impactos das mudanças climáticas, bem como suas necessidades, não foram especificamente mapeados, o que acaba comprometendo a formulação e a implementação de estratégias, políticas e planos climáticos dedicados a tais grupos.</t>
  </si>
  <si>
    <t>"A Comissão de Meio Ambiente e Desenvolvimento Sustentável, regulamentada pela Resolução 65/2008, o Regimento Interno da ALEMS, é responsável Política Estadual de Meio Ambiente, Legislação Ambiental e de Defesa Ecológica</t>
  </si>
  <si>
    <t>O TCE/MS, nos últimos 5 anos, não realizou auditoria sobre o Estado de Mato Grosso do Sul, nem sobre seus órgãos, com foco principal nas mudanças climáticas. A CGE informou que ainda não realizou auditorias com foco principal nas mudanças climáticas.</t>
  </si>
  <si>
    <t>Foi encontrado apenas o Provimento n. 642/2024, que criou o núcleo de justiça 4.0, e a Portaria n. 2909/2024, que implantou o 2º núcleo de justiça 4.0 para ações ambientais.</t>
  </si>
  <si>
    <t>A classificação em Estágio Intermediário mostra-se adequada diante do conjunto das evidências disponíveis. Minas Gerais não se encontra em situação de ausência normativa, pois possui o Decreto nº 45.229/2009, que dispõe sobre ações frente às mudanças climáticas e institui instrumentos como o Registro Público de Emissões e Remoções de GEE e o Selo Clima Minas. Trata-se, portanto, de um marco regulatório geral, ainda que editado em 2009, anterior ao Acordo de Paris, o que o torna desatualizado frente aos avanços internacionais e nacionais mais recentes. Ademais, o Plano Estadual de Ação Climática (PLAC-MG/2023) constitui importante instrumento de planejamento estratégico, com metas até 2050, mas não possui força normativa própria. O Decreto nº 48.896/2024 fortalece a governança climática ao instituir o CIMC, responsável por acompanhar a implementação do PLAC, e legislações setoriais, como a Lei nº 24.396/2023 (biogás) e a Lei nº 24.940/2024 (hidrogênio de baixo carbono), demonstram a incorporação parcial da pauta climática em políticas específicas. Apesar desses avanços, a inexistência de uma lei estadual abrangente atualizada sobre mudanças climáticas confirma a classificação intermediária de acordo com os critérios do Manual do Painel ClimaBrasil. Portanto, Minas Gerais apresenta um quadro legal formal, porém antigo e insuficiente para responder integralmente às demandas atuais da política climática.</t>
  </si>
  <si>
    <t>O Estado de Minas Gerais possui um marco normativo climático vigente e estruturado, com destaque para o Decreto nº 45.229/2009, que estabelece princípios, diretrizes e instrumentos voltados à mitigação e adaptação às mudanças climáticas. O Decreto nº 48.896/2024 complementa essa estrutura ao instituir o Comitê Intragovernamental de Energia e Clima (CIEC), responsável por articular a agenda climática em nível transversal. Além disso, o Plano Estadual de Ação Climática de Minas Gerais (PLAC/MG) reforça a coerência com os compromissos federais e internacionais: define a meta de neutralidade climática até 2050, estrutura ações em setores-chave (energia, uso do solo, resíduos, agricultura) e utiliza metodologia de inventário de GEE compatível com o IPCC. O PLAC/MG adota horizonte temporal alinhado à NDC brasileira e à Resolução nº 3/2024 do Conselho da Federação, contemplando ações de curto, médio e longo prazo. Assim, o conjunto formado por decretos, leis setoriais e o PLAC MG demonstra compatibilidade com a PNMC, o Decreto nº 9.578/2018 e a NDC vigente, justificando a classificação no estágio Avançado, conforme o Manual de Aplicação do Painel ClimaBrasil.</t>
  </si>
  <si>
    <t>O Estado de Minas Gerais apresenta um conjunto normativo relevante voltado à integração de aspectos climáticos no planejamento estadual. O Decreto nº 48.896/2024 cria o Comitê Intragovernamental de Energia e Clima (CIEC), com competência para articular a política climática com os instrumentos de planejamento de curto, médio e longo prazo, como o PPAG, LOA e PMDI. O Decreto nº 45.229/2009 reforça a transversalidade das ações climáticas e o PLAC MG estrutura metas e eixos de atuação compatíveis com os principais setores do planejamento público (energia, agropecuária, resíduos, entre outros), alinhando-se aos compromissos da NDC brasileira. O plano também reconhece a importância de sua articulação com o PMDI e instrumentos orçamentários, sugerindo sua inclusão futura. No entanto, não há norma vigente que imponha de forma obrigatória e vinculante essa integração, o que compromete a perenidade da articulação entre clima e planejamento. A orientação ainda é predominantemente estratégica, sem força legal. Assim, embora haja previsão normativa e esforços de coordenação institucional, a ausência de dispositivos legais que determinam explicitamente essa integração nos planos setoriais e orçamentários justifica a classificação como estágio intermediário, conforme critérios do Manual de Aplicação.</t>
  </si>
  <si>
    <t>A classificação "Avançado" está fundamentada nos critérios estabelecidos pelo Manual de Aplicação do Painel ClimaBrasil, que exige a existência de uma estrutura governamental formal e atuante para tratar dos aspectos relacionados às mudanças climáticas e que o tema esteja internalizado de forma transversal em diversos órgãos do ente. O Estado de Minas Gerais apresenta esses elementos de forma consolidada. A Superintendência de Qualidade Ambiental e Mudanças Climáticas (SQMC), vinculada à SEMAD, funciona como órgão técnico central com atribuições definidas de coordenação e monitoramento da agenda climática. O Comitê Intragovernamental de Energia e Mudança do Clima (CIMC), criado pelo Decreto nº 48.896/2024, apresenta uma composição intersetorial de alto nível e é presidido pelo Vice-Governador, conferindo autoridade política e institucional ao arranjo. Adicionalmente, a Câmara Técnica de Energia e Mudança do Clima do COPAM fortalece a participação social e técnica no processo decisório. As evidências fornecidas nos documentos "Estrutura Governamental para Mudanças Climáticas em Minas Gerais", "Quadro de Distribuição das Responsabilidades" e os textos dos Decretos n. 48.896/2024, 48.706/2023 e 46.953/2016 comprovam a formalização, atuação e clareza dos papéis institucionais na governança climática estadual. Portanto, a classificação avançada é justificada pela robustez, abrangência e coerência entre os dispositivos institucionais existentes e os critérios do Manual.</t>
  </si>
  <si>
    <t>O estágio "Avançado" está de acordo com o Manual do Painel ClimaBrasil, que exige que as responsabilidades de liderar, coordenar, implementar e dar transparência às ações relacionadas com a emergência climática sejam atribuídas aos atores e envolvidos e não existam lacunas ou sobreposições relevantes. A Superintendência de Qualidade Ambiental e Mudanças Climáticas (SQMC), vinculada à SEMAD, cumpre esse papel ao coordenar tecnicamente o PLAC-MG, apoiar os instrumentos de monitoramento e liderar a articulação com instâncias participativas e de decisão. Sua estrutura conta com equipe especializada e atribuições definidas em atos normativos e operacionais.
Ademais, a atuação da SQMC é potencializada pelo Comitê Intragovernamental de Energia e Mudança do Clima (CIMC), instituído pelo Decreto n. 48.896/2024, que opera como instância intersetorial de governança e coordenação estratégica da política climática estadual. O CIMC é presidido pelo Vice-Governador, o que confere à estrutura técnica maior respaldo institucional e poder de articulação entre setores do governo. A combinação entre a liderança técnica da SQMC e a articulação estratégica do CIMC atende os critérios da metodologia para a classificação avançada, demonstrando uma governança robusta, integrada e institucionalizada. Não há sobreposição prejudicial entre SQMC e CIMC. Há complementaridade funcional e hierárquica, com distinção clara entre atribuições técnicas (SQMC) e estratégicas/intersetoriais (CIMC).</t>
  </si>
  <si>
    <t>O Manual de Aplicação do Painel ClimaBrasil ressalta que a liderança da política climática deve estar alocada em estrutura com autoridade institucional elevada, capaz de dar prioridade às questões climáticas e poder de mobilizar outros atores governamentais. Em Minas Gerais, o Comitê Intragovernamental de Energia e Mudança do Clima (CIMC), presidido pelo Vice-Governador, cumpre esse papel ao liderar, orientar e coordenar a implementação da agenda climática estadual, conforme estabelecido no Decreto nº 48.896/2024. Essa liderança de alto nível garante capacidade de mobilização intersetorial e priorização política da pauta climática. Ademais, o CIMC é composto por outras nove secretarias de estado, dentre elas, Secretarias consideradas como "centro de governo" como Secretaria de Estado de Governo e Casa Civil. Ressalta-se que cabe ao CIMC, dentre outras atribuições, monitorar as metas do Plano de Ação Climática (PLAC/MG).
Além disso, o apoio técnico prestado pela Superintendência de Qualidade Ambiental e Mudanças Climáticas (SQMC), unidade vinculada à SEMAD, assegura que o processo decisório esteja amparado por análises técnicas e evidências, atendendo à exigência de participação de quadros técnicos na estrutura de coordenação. A articulação entre CIMC e SQMC reforça a governança climática de Minas Gerais e atende  aos critérios metodológicos do Painel ClimaBrasil para a classificação avançada.</t>
  </si>
  <si>
    <t>Minas Gerais atende  aos critérios do item G3-A do Painel ClimaBrasil, justificando a classificação "Avançado". O Estado dispõe de um sistema técnico consolidado para o mapeamento de riscos e vulnerabilidades climáticas, por meio do Índice Mineiro de Vulnerabilidade Climática (IMVC), o qual é baseado em evidências científicas e combina dados de exposição, sensibilidade e capacidade adaptativa dos municípios. O IMVC é utilizado oficialmente para subsidiar políticas públicas de adaptação e planejamento territorial resiliente, estando disponível de forma pública e interativa na plataforma IDE-SISEMA. Além disso, o IMVC está articulado ao Sistema Mineiro de Gestão de Riscos e Desastres (SIMGE), que utiliza essas informações em ações de resposta a emergências e planos de contingência. O PLAC-MG reconhece expressamente o IMVC como ferramenta estratégica para a formulação e priorização de políticas de adaptação e como base técnica do planejamento climático estadual. Assim, estão plenamente atendidos os critérios do Manual de Aplicação: mapeamento atualizado (a última atualização ocorreu em 2024), cientificamente fundamentado, institucionalizado e utilizado em instrumentos de decisão governamental.</t>
  </si>
  <si>
    <t>A classificação "intermediário" atribuída ao Estado de Minas Gerais no item G3-B está fundamentada no fato de que, embora haja um Plano  de Ação Climática  (PLAC-MG) com metas claras para incorporar riscos climáticos aos processos de planejamento, ainda não há evidência de que essa integração tenha se concretizado nos principais instrumentos vigentes, como o PPAG, planos setoriais ou orçamentários. O PLAC-MG, publicado em 2023, estabelece metas como a promoção da integração dos riscos em planos diretores, setoriais e territoriais, promover a inclusão do PLAC nos instrumentos de planejamento do Estado,  além do uso do IMVC como ferramenta técnica. No entanto, o relatório não apresenta exemplos concretos de aplicação prática ou revisões normativas de instrumentos estaduais que comprovem essa incorporação. Assim, mesmo reconhecendo os avanços normativos e técnicos, a ausência de comprovação de aplicação efetiva dessa integração, justifica a classificação intermediária, conforme os critérios do Manual de Aplicação do Painel ClimaBrasil.</t>
  </si>
  <si>
    <t>O Estado de Minas Gerais criou, por meio do Decreto nº 48.896/2024, o Comitê Intragovernamental de Energia e Mudança do Clima (CIMC), presidido pelo vice-governador e composto por múltiplas secretarias e instituições públicas. O CIMC possui funções estratégicas, como a implementação do PLAC-MG e a integração das políticas climáticas entre os setores. Sua secretaria executiva é exercida pela SEMAD, garantindo continuidade administrativa e técnica. 
Além disso, a Câmara Técnica de Energia e Mudança do Clima (CEM/COPAM), instituída pelo Decreto n. 46.953/2016,  promove debates técnicos e institucionais com participação  da sociedade. Há evidências da atuação dessas estruturas que promovem a atuação coordenada entre os órgãos do Executivo. 
Portanto, os critérios para a classificação  no estágio "Avançado" de coordenação horizontal intragovernamental foram alcançados.</t>
  </si>
  <si>
    <t>A classificação "Avançado" para o item G4-B - Coordenação horizontal intergovernamental - está  justificada à luz do Manual do Painel ClimaBrasil. Minas Gerais participa formalmente e ativamente de mecanismos permanentes de cooperação com outros entes subnacionais de mesmo nível federativo, como o Consórcio Brasil Verde, cuja adesão foi ratificada pela Lei Estadual nº 24.483/2023, configurando estrutura legal para articulação federativa voltada à agenda climática. 
O Estado também integra ativamente o COSUD, participando de reuniões regulares com governadores do Sul e Sudeste, nas quais a pauta climática tem ganhado protagonismo. Além disso, MG faz parte de redes internacionais como ICLEI, Under2 Coalition e Regions4, promovendo alinhamento de metas e intercâmbio de boas práticas. Tais articulações alcançam os critérios de coordenação horizontal intergovernamental estipulados pelo Painel ClimaBrasil ao promoverem cooperação estruturada, estratégias comuns e mecanismos normativos.</t>
  </si>
  <si>
    <t>Com base nas evidências documentais obtidas e nas diretrizes do Manual do Painel ClimaBrasil, o Estado de Minas Gerais foi classificado como avançado neste item. A classificação se justifica pela existência de mecanismos formais e ativos de articulação entre níveis federativos distintos, tanto com a União quanto com os municípios. Em âmbito federal, existe a participação da SEMAD no CONAMA - Conselho Nacional do Meio Ambiente, instância deliberativa e consultiva que estabelece normas e diretrizes para a política ambiental nacional. O CONAMA também promove a cooperação entre os entes federados e assegura a participação da sociedade na formulação de políticas públicas, o que reforça a articulação vertical institucional do Estado. Em nível local, Minas Gerais atua por meio da FEAM, que presta suporte técnico direto aos municípios via Gerência de Apoio à Regularização Ambiental Municipal. O programa "Clima na Prática", coordenado pela SEMAD, oferece capacitações e ferramentas para elaboração de planos climáticos municipais. Ademais, o Estado participa de Comitês de Bacias Hidrográficas, um forte mecanismo de coordenação vertical que inclui a união, o estado e os municípios. Esses elementos caracterizam uma governança vertical técnica, normativa e funcional, em consonância com os critérios do estágio avançado. Ressalva-se a falta de uma estrutura institucionalizada de discussão e deliberação entre Estado e Municípios com foco específico na agenda climática.</t>
  </si>
  <si>
    <t>O Estado de Minas Gerais demonstra aderência ao estágio avançado da metodologia do Painel ClimaBrasil, que avalia a existência de mecanismos institucionais ativos para o engajamento de atores não governamentais (sociedade civil, setor privado e academia) na elaboração e implementação de estratégias, políticas e planos climáticos.
Há evidências consistentes da atuação da Câmara de Energia e Mudança do Clima (CEM), vinculada ao COPAM, com representação de diversos setores. A participação é garantida por regulamentação formal (Decreto nº 46.953/2016). Ademais, o processo de construção do PLAC-MG foi marcado por oficinas regionais e consultas públicas que envolveram múltiplos atores não governamentais, reforçando o caráter ativo e plural dos mecanismos de escuta e deliberação. 
Sobre o monitoramento e implementação do PLAC-MG (p. 76 do PLAC-MG), a Fundação Estadual do Meio Ambiente (Feam) é responsável, em articulação com os demais órgãos da administração pública estadual, entidades do setor privado, instituições de pesquisa e ensino e demais representações da sociedade civil, por realizar o monitoramento e avaliação contínua da implementação das ações, metas e estratégias definidas pelo PLAC-MG, devendo apresentar periodicamente os resultados desse acompanhamento (não inferior a 2 anos e não superior a 5 anos). Como o PLAC/MG foi aprovado em 2023, ainda não há esse relatório, embora as ações do PLAC possam ser monitoradas pela População no MRV Climático.</t>
  </si>
  <si>
    <t>O Estado de Minas Gerais foi classificado no estágio avançado neste item de acordo com os critérios definidos no Manual de Aplicação do Painel ClimaBrasil. O PLAC-MG apresenta ampla participação formalizada, sustentada por mapeamento prévio de partes interessadas e por metodologia de participação estruturada. Foram realizadas oficinas regionais e reuniões setoriais, com participação de representantes da sociedade civil, setor produtivo e academia. O plano registra a inclusão ativa de grupos vulneráveis (negros, indígenas, mulheres, LGBTQIA+) e promoveu consulta pública, com sistematização das contribuições. Adicionalmente, o Estado conta com a Câmara de Energia e Mudança do Clima (CEM), vinculada ao COPAM, instância colegiada e permanente com composição multissetorial. O regimento da CEM assegura representação formal de diferentes segmentos com direito a voto. Trata-se de estrutura institucional que reforça e dá continuidade à representatividade observada na elaboração do PLAC. Para mais, a ferramenta MRV Climático, responsável pelo monitoramento das ações da PLAC, é publica, o que reforça a possibilidade do controle social. Assim sendo, a articulação entre os instrumentos participativos do plano e os espaços deliberativos da política ambiental estadual consolida os requisitos exigidos para a classificação como estágio avançado neste item.</t>
  </si>
  <si>
    <t>"Embora Minas Gerais disponha de instrumentos técnicos robustos, como o Índice Mineiro de Vulnerabilidade Climática (IMVC), que considera exposição, sensibilidade e capacidade adaptativa, a identificação dos grupos sociais e econômicos vulneráveis</t>
  </si>
  <si>
    <t>Estado de Minas Gerais apresenta evidências parciais de inclusão efetiva de grupos vulneráveis no processo de tomada de decisão sobre políticas climáticas, conforme critérios Manual de Aplicação do Painel ClimaBrasil. O PLAC-MG relata a realização de consultas públicas, oficinas regionais e instrumentos participativos, incluindo a mobilização de comunidades historicamente marginalizadas como indígenas, quilombolas, LGBTQIA+, mulheres e pessoas com deficiência. A ação 7.8.2.1 (p. 147) prevê a realização "Encontro Mineiro de Povos Originários e Populações Vulneráveis", com participação de lideranças tradicionais. Contudo, não há comprovação do uso sistemático de indicadores de participação, nem de ações formativas prévias ou consultas in loco (como rodas de conversa). Também não há evidência de voto qualificado ou poder de veto para esses grupos. A Câmara de Políticas de Energia e Mudanças Climáticas (CEM), por sua vez, assegura a presença da sociedade civil e da academia, mas não garante participação específica ou deliberativa de grupos vulneráveis. A menção aos saberes tradicionais no PLAC ocorre de forma programática, com metas futuras, ainda em desenvolvimento. Assim, diante da insuficiência de mecanismos que, atualmente, garantam influência real dos grupos vulneráveis nas decisões climáticas, adota-se a classificação intermediária para o Estado de Minas Gerais.</t>
  </si>
  <si>
    <t>A classificação do item G6C como 'estágio intermediário' baseia-se nos critérios do Manual do Painel ClimaBrasil. Em primeiro lugar,  o quadro legal e regulatório de Minas Gerais possui dispositivos insuficientes de justiça climática e equidade. Porém,  o PLAC-MG (Plano Estadual de Ação Climática) incorpora esse princípio em seus fundamentos e nas ações previstas. De forma positiva, esse plano estabelece metas que visam explicitamente enfrentar vulnerabilidades de grupos sociais específicos. Por exemplo, ações como a ampliação do Programa Percursos Gerais priorizam municípios de alta vulnerabilidade com foco em mulheres, jovens e comunidades marginalizadas. As ações previstas no PLAC abordam gênero, raça e classe como dimensões centrais. O MRV Climático, por sua vez, monitora as ações do PLAC num site aberto ao público, garantindo transparência ao monitoramento. Entretanto, faltam mecanismos de salvaguarda social, indicadores desagregados por grupo vulnerável. Ressalta-se que há ação prevista no PLAC/MG para identificar e mapear os grupos vulneráveis, ou seja, essa ação pode sanar essa deficiência. Ademais, o PLAC/MG não possui força normativa própria, embora seu monitoramento esteja previsto no Decreto n. 48.902/2024. Assim, apesar de contar um plano avançado em termos de perspectiva de equidade,  os requisitos para classificação avançada ainda não foram plenamente atendidos.</t>
  </si>
  <si>
    <t>A Assembleia Legislativa de Minas Gerais demonstra atuação robusta, articulada e institucionalizada no enfrentamento das mudanças climáticas. A Comissão de Meio Ambiente e Desenvolvimento Sustentável possui competência formal para tratar de temas climáticos no Regimento Interno da ALMG e realizou diversas audiências públicas e visitas técnicas com foco em eventos extremos e justiça climática. A ALMG também elaborou o Plam Crise Climática 2025/2026 (Deliberação n. 2.859, de 14/04/2025), com seleção participativa de projetos prioritários e metas mensuráveis, e promoveu o seminário técnico estadual (Crise Climática em Minas Gerais) com  participação de especialistas e sociedade civil. Além disso, tramita projeto de lei específico sobre política climática estadual, evidenciando atuação normativa. No âmbito da fiscalização,  poder legislativo mineiro citou suas funções constitucionais de fiscalização e deu exemplo de um pedido de informação realizado e respondido com foco nas mudanças climáticas.  Essas ações são suficientes para cumprir os critérios estabelecidos no Manual do Painel ClimaBrasil, permitindo classificar esse item no "Estágio Avançado".</t>
  </si>
  <si>
    <t>A Controladoria-Geral do Estado de Minas Gerais (CGE/MG) e o Tribunal de Contas do Estado (TCE/MG) foram classificados em estágio avançado segundo os critérios do Painel ClimaBrasil. A CGE/MG informou que conduz, atualmente, uma ação avaliativa preliminar sobre o combate ao desmatamento (Memorandos nº 22/2025 e nº 75/2025), tema vinculado às mudanças climáticas. Também prestou consultorias técnicas sobre gestão de riscos a outros órgãos estaduais em auditorias com foco climático, como: Race to Zero (Semad), IGAM (outorga hídrica), PAINT 2025 (desmatamento), e licenciamento ambiental (Semad/Sisema). Já o TCE/MG realiza, atualmente, auditoria operacional específica sobre "Impactos das Mudanças Climáticas no Estado de Minas Gerais" (15/07/2024 a 15/07/2025), cujo objetivo é avaliar medidas de adaptação e mitigação adotadas pelo Estado. Apesar das iniciativas, a CGE/MG não realizou auditorias com foco central em mudanças climáticas nos últimos cinco anos. Assim, considerando as ações em curso da CGE e do TCE/MG, a classificação mais adequada é o estágio avançado, conforme diretrizes do Manual do Painel ClimaBrasil.</t>
  </si>
  <si>
    <t>"Com base nas evidências obtidas, a classificação mais adequada para este item é intermediária. O TJMG instituiu o CEJUSC Ambiental, núcleo especializado na mediação e conciliação de conflitos relacionados a danos ambientais de grande repercussão social. Essa estrutura atende ao inc. I do art. 6º da Res. CNJ 433/2021.Também instituiu o Núcleo de Justiça 4.0, com atuação efetiva na comarca de Brumadinho (art. 7° da Res CNJ. 433/2021). A EJEF (Escola Judicial Desembargador Edésio Fernandes) promove cursos e seminários sobre direito ambiental e mudanças climáticas, voltados a magistrados e servidores com a inclusão do tema ""mudanças climáticas"" na formação judicial. Tais ações atendem aos incs. II e III do art. 6 da Res. CNJ 433/2021, que tratam da capacitação contínua e da inserção da temática ambiental nos programas de formação. Além disso, o TJMG alimenta o SireneJud, plataforma interinstitucional do CNJ que reúne dados geoespaciais e processuais sobre o meio ambiente, permitindo identificar áreas de desmatamento e o volume de ações ambientais por comarca. Essa participação cumpre parcialmente os incs. V e IV do art. 6°, que tratam do uso de ferramentas geográficas, pois, não há evidências claras de aplicação prática desses dados ou de fomento interinstitucional entre diversos órgãos.  Portanto, embora haja avanços relevantes, as ações previstas no art. 6° da Res. CNJ 433/2021 ainda não foram integralmente implementadas, justificando a classificação intermediária.",,P
,Governança,,"Versão 2025",Município,"Municípios consolidados",,G1,A,,68.055416666667,,,P
,Governança,,"Versão 2025",Município,"Municípios consolidados",,G1,B,,55.555,,,P
,Governança,,"Versão 2025",Município,"Municípios consolidados",,G1,C,,54.167083333333,,,P
,Governança,,"Versão 2025",Município,"Municípios consolidados",,G2,A,,56.945,,,P
,Governança,,"Versão 2025",Município,"Municípios consolidados",,G2,B,,56.522173913043,,,P
,Governança,,"Versão 2025",Município,"Municípios consolidados",,G2,C,,47.825652173913,,,P
,Governança,,"Versão 2025",Município,"Municípios consolidados",,G3,A,,60.869565217391,,,P
,Governança,,"Versão 2025",Município,"Municípios consolidados",,G3,B,,44.445,,,P
,Governança,,"Versão 2025",Município,"Municípios consolidados",,G4,A,,59.421304347826,,,P
,Governança,,"Versão 2025",Município,"Municípios consolidados",,G4,B,,53.622608695652,,,P
,Governança,,"Versão 2025",Município,"Municípios consolidados",,G4,C,,46.377826086957,,,P
,Governança,,"Versão 2025",Município,"Municípios consolidados",,G5,A,,54.167083333333,,,P
,Governança,,"Versão 2025",Município,"Municípios consolidados",,G5,B,,62.501666666667,,,P
,Governança,,"Versão 2025",Município,"Municípios consolidados",,G6,A,,41.66625,,,P
,Governança,,"Versão 2025",Município,"Municípios consolidados",,G6,B,,31.883043478261,,,P
,Governança,,"Versão 2025",Município,"Municípios consolidados",,G6,C,,33.333043478261,,,P
,Governança,,"Versão 2025",Município,"Municípios consolidados",,G7,A,,47.82652173913,,,P
,Governança,,"Versão 2025",Município,"Municípios consolidados",,G7,B,,20.290434782609,,,P
,Governança,,"Versão 2025",Município,"Municípios consolidados",,G7,C,,,</t>
  </si>
  <si>
    <t>A Lei Complementar nº 208/2022, que institui o novo Plano Diretor de Natal (PDN), em seus artigos 156 a 160, estabelece a criação do Plano Municipal de Mudanças Climáticas, definindo diretrizes, objetivos e elementos mínimos que o plano deve conter.
Em atendimento a este dispositivo, tem-se o Plano Municipal de Mitigação e Adaptação às Mudanças Climáticas (PMAMC), atualizado em julho de 2025, que traz inventário de emissão de gases do efeito estufa, estabelece ações de mitigação e adaptação, metas de redução de GEE no município, estudos sobre as especificidades climatológicas, ambientais, hídricas e costeiras da cidade, bem como apresenta dados sobre a governança climática no município. Assim, como o PMAMC se encontra embasado na Lei Complementar nº 208/2022, considera-se que ele integra o arcabouço legal climático do município.</t>
  </si>
  <si>
    <t>O Plano de Mitigação e Adaptação às Mudanças Climáticas (PMAMC) foi elaborado com amparo legal na Lei nº 12.187/2009 - Política Nacional sobre Mudança do Clima e no Decreto Federal nº 9.578/2018 que regulamenta a política, bem como estabelece parâmetros para mitigação e adaptação nos setores-chave do município (energia, transportes, resíduos). O PMAMC inclui metas de redução de emissão coerentes com o que foi estabelecido no Acordo de Paris, em percentagem e prazo, de modo que se alinham às metas nacionais. Por fim, observou-se que o PMAMC segue metodologia de inventário de emissões em conformidade com as diretrizes e padrões do IPCC.</t>
  </si>
  <si>
    <t>O Plano de Mitigação e Adaptação às Mudanças Climáticas - PMAMC abordou a necessidade de que governança climática deve envolver os principais setores do município. Aliado à isso, tem-se o Plano Diretor de Natal (Lei Complementar nº 208/2022), um dos planos setoriais mais relevantes para o contexto local, que incorpora de forma expressa a temática climática ao planejamento urbano do município.
No PPA 2022/2025 de Natal, existem algumas disposições mais detalhadas quanto aos aspectos climáticos, como o Projeto 1118 "Implementação de Projeto de Atenção às Mudanças Climáticas", cujo objetivo é promover estratégias articuladas com os setores produtivos e a sociedade para reduzir as emissões de gases de efeito estufa integrando ao Planejamento Municipal. Também há o Projeto 1613 "Promoção de arborização de Natal", com objetivo de elaborar inventário arbóreo de Natal e promover arborização visando minimizar a temperatura para conforto térmico. A inclusão desses projetos no PPA indica a existência de integração dos aspectos das mudanças do clima nos instrumentos de planejamento, porém essa integração não é totalmente abrangente, posto que o PMAMC não traz essa integração de forma expressa.</t>
  </si>
  <si>
    <t>Existe o Setor de Mudanças Climáticas, Arborização e Áreas Verdes (SMCA), dentro da estrutura organizacional da SEMURB (Secretaria Municipal de Meio Ambiente de Urbanismo de Natal), cujas atribuições foram definidas por meio do Decreto nº 12.342 de 15 de outubro de 2021 (regimento interno da SEMURB).
Foi criado, também, o Grupo de Trabalho sobre Mudanças Climáticas (Portaria nº 017/2023 - GS/SEMURB), formada por servidores lotados na SEMURB. Este grupo foi responsável pela elaboração técnica do Plano de Mitigação e Adaptação às Mudanças Climáticas. Segundo informações trazidas no histórico de elaboração do PMAMC, este Grupo de Trabalho promoveu uma série de reuniões técnicas com os entes municipais para discutir as estratégias a serem adotadas para a definição das medidas de mitigação e adaptação às mudanças climáticas no município. Dentro de suas respectivas competências, cada ente contribuiu através de um formulário específico, com sugestões de ações que possam ser adotadas para alcançar os objetivos envolvidos na redução das emissões de GEE, e as contribuições foram analisadas, discutidas e organizadas para os diversos segmentos, excetuando-se a agropecuária, que é pouco expressiva no município.
Porém, não há evidências de que o tema esteja devidamente internalizado em outros órgãos do ente.</t>
  </si>
  <si>
    <t>Existe o Setor de Mudanças Climáticas, Arborização e Áreas Verdes - SMCA dentro da estrutura organizacional da SEMURB, e suas responsabilidades de liderar, coordenar e implantar as ações governamentais relacionadas com a emergência climática estão definidas no Decreto nº 12.342 de 15 de outubro de 2021, que aprova o Regimento Interno da Secretaria Municipal de Meio Ambiente e Urbanismo - SEMURB. Entretanto, não há evidências de que as responsabilidades de monitorar e dar transparência às ações voltadas à pauta do clima foram atribuídas a este setor.</t>
  </si>
  <si>
    <t>A estrutura formal destinada a tratar das questões das mudanças climáticas se encontra estabelecida em um setor dentro de uma secretaria, portanto, não está em nível hierárquico superior ao das outras secretarias de governo, o que pode enfraquecer a capacidade de coordenação transversal e a autoridade para mobilizar os diferentes setores. Assim, a liderança das ações climáticas (o Setor SMCA) não se encontra em posição hierárquica de destaque dentro da estrutura da Prefeitura de Natal.</t>
  </si>
  <si>
    <t>A Prefeitura de Natal elaborou o Plano Municipal de Redução de Riscos - PMRR, publicado em agosto 2025, no qual foi realizado mapeamento e diagnóstico das áreas de riscos relacionados às mudanças climáticas, contemplando a identificação desses riscos (geológicos e hidrológicos), suas classificações e a previsão de estratégias para monitorá-los e reduzi-los.
Foi elaborado também o Plano de Contingência da Cidade de Natal (PLANCON), que está em sua versão 1.2 (2025/2026), portanto atualizada nos últimos 5 anos, produzido em parceria técnico-científica com a Universidade Federal do Rio Grande do Norte (UFRN), de modo que tem embasamento científico. A versão 1.2 (2025/2026) leva em consideração o Plano Municipal de Mitigação e Adaptação às Mudanças Climáticas. Além disso, o Plano de Contingência leva em conta os impactos costeiros, de alagamentos e deslizamentos de terra, prevê monitoramento e mapeia as áreas mais afetadas.</t>
  </si>
  <si>
    <t>Não foi evidenciado que o mapeamento de riscos constante do Plano de Contingência da Cidade de Natal (PLANCON) seja levado em conta nos instrumentos de planejamento de Natal. Existe no PPA 2022-2025 apenas o Projeto "FOMENTO DO PLANEJAMENTO URBANO E AMBIENTAL" que dentre suas metas estava "ELABORAR 1 PLANO MUNICIPAL DE CONTINGÊNCIA, PROTEÇÃO E DEFESA CIVIL - PLANCON (SISTEMA MUNICIPAL DE REDUÇÃO DE RISCOS, PROTEÇÃO E DEFESA CIVIL - SIMPEC)", porém não contempla os riscos especificamente.</t>
  </si>
  <si>
    <t>"Existe o Gabinete de Gerenciamento de Crise (GGC) e o Comitê Municipal de Gestão de Riscos (CGR), que envolvem os principais setores de governo e possibilitam a discussão de assuntos relacionados com o enfrentamento das mudanças climáticas, com as atribuições de: I - planejar, discutir, elaborar e revisar as políticas e planos municipais relacionados às suas respectivas áreas visando a solução de problemas atinentes à gestão de riscos</t>
  </si>
  <si>
    <t>Natal está associada desde 2016 ao ICLEI - Governos Locais pela Sustentabilidade, e também participa do CB27 (Fórum de Secretários de Meio Ambiente das Capitais Brasileiras). Foi constatada a participação do Secretário Municipal de Meio Ambiente e Urbanismo (SEMURB), Thiago Mesquita, no XXXI Encontro Nacional de Secretários e Secretárias de Meio Ambiente na Paraíba, de 04 a 06 de dezembro de 2024, entretanto, a participação em apenas um encontro não evidencia que o representante interage regularmente com os atores, de modo que atribui-se o estágio inicial pelo não atendimento integral ao atributo 2, ainda que os atributos 1 e 3 tenham sido atendidos.</t>
  </si>
  <si>
    <t>Não há evidências de algum mecanismo de integração interfederativo da qual o município de Natal participe.</t>
  </si>
  <si>
    <t>Natal estabeleceu parcerias com a universidade para a realização de estudos, planos e ações voltados à questão climática. Foi implantada a Rede de Monitoramento Hidrológico e Climático de Natal, fruto de parceria entre a Sec. de Meio Ambiente e Urbanismo (SEMURB), a Secretaria de Educação, e o Grupo de Estudos Observacionais e de Modelagem da Interação Biosfera-Atmosfera (GEOMA) da Universidade Federal do Rio Grande do Norte (UFRN). Também há a parceria com a UFRN através do Grupo de Extensão e Pesquisa em Ergonomia (GREPE) e do Núcleo de Pesquisa sobre Desastres (NUPED) para a elaboração do Plano de Contingência (PLANCON) e do Plano Municipal de Redução de Riscos (PMRR). Foi realizada, em 04 de agosto de 2025, reunião das Câmaras Temáticas do Conselho de Governança do Município, na qual foram debatidas tratativas sobre o Plano de Mitigação e Adaptação às Mudanças Climáticas e a Rede de Monitoramento Climático do município. A reunião foi conduzida pela Prefeitura em parceria com UFRN, e contou com a presença de secretários municipais e estudantes. Assim, verificam-se mecanismos formais de participação da academia na elaboração de estratégias (por meio de parceria), e eles permitem que a universidade participe na concepção e implantação das ações (elaboração de planos e atuação na rede de monitoramento hidrológico e climático), e que haja interação com os órgãos municipais para debater questões relevantes e levar em conta suas considerações (atendimento aos atributos 1 a 3).</t>
  </si>
  <si>
    <t>Natal realizou parcerias com a universidade, caracterizando a formalização da participação do setor acadêmico, conforme descrito no PMAMC (implantação da Rede de Monitoramento Hidrológico e Climático de Natal em parceria com o grupo GEOMA da UFRN, bem como a parceria com a UFRN através GREPE e do NUPED para a elaboração do Plano de Contingência - PLANCON e do Plano Municipal de Redução de Riscos - PMRR). Ademais, ocorreu, em 04 de agosto de 2025, a reunião das Câmaras Temáticas do Conselho de Governança do Município, na qual foram debatidas as tratativas sobre o Plano de Mitigação e a Rede de Monitoramento Climático do município, que contou com a presença do setor acadêmico, restando ausentes a sociedade civil e o setor privado. Assim, como não há a participação/representação das categorias interessadas, embora haja participação formalizada por meio de parcerias, atribui-se o estágio intermediário.</t>
  </si>
  <si>
    <t>A Prefeitura de Natal, em seu Plano Municipal de Mitigação e Adaptação às Mudanças Climáticas (PMAMC), identificou as vulnerabilidades climáticas do município, por meio de mapeamento das áreas sujeitas a fortes chuvas e ondas de calor, evidenciando que a população mais atingida por danos temporários ou permanentes na convivência com as mudanças climáticas são os que vivem nas periferias. Entretanto, não se verificou um mapeamento de suas necessidades específicas.</t>
  </si>
  <si>
    <t>O Plano de Trabalho elaborado pela Prefeitura de Natal em parceria com a UFRN, parte integrante da primeira etapa da elaboração do Plano Municipal de Redução de Riscos (PMRR), prevê ações estruturais e não estruturais para redução de riscos no município. Dentre as ações não estruturais, existe a previsão de "estratégia de identificação de lideranças locais, organizações comunitárias e representantes conhecidos pela comunidade", além de "planejamento de oficinas comunitárias nas áreas de mapeamento de risco", como forma de envolver as comunidades para entender suas particularidades, identificar riscos e vulnerabilidades. Embora o mecanismo não esteja plenamente formalizado, entende-se que o PMRR considera a necessidade de incluir os grupos vulneráveis no processo de decisão.</t>
  </si>
  <si>
    <t>O quadro legal e regulatório e o PMAMC de Natal não prevê políticas equitativas de forma expressa. Existe a Lei nº 7.205/2021, a qual regulamenta a concessão de Benefícios Eventuais no âmbito da Política de Assistência Social no município de Natal, que prevê, em seu Capítulo V, o auxílio em situação de desastre e/ou calamidade pública, o que pode ser classificado como uma política que incorpora uma perspectiva equitativa na distribuição de benefício aos grupos mais vulneráveis aos desastres, porém não integra o quadro legal e regulatório do município voltado para mudanças climáticas.</t>
  </si>
  <si>
    <t>A Câmara Municipal de Natal possui uma Comissão de Planejamento Urbano, Meio Ambiente e Habitação, de caráter permanente, e também a Frente Parlamentar das Mudanças Climáticas, criada em junho de 2025. Também foi evidenciado o desenvolvimento de atividades legislativas específicas, por meio de proposições legislativas (leis aprovadas e projetos de lei em tramitação relacionados ao tema), conforme informações concedidas pela Câmara Municipal de Natal. Entretanto, a questão climática não aparece em outras comissões da Câmara de forma transversal, por isso se atribui o estágio intermediário.</t>
  </si>
  <si>
    <t>A Controladoria Geral do Município de Natal - GGM informou que não realizou, nos últimos 5 anos, nenhuma auditoria com escopo específico voltado às mudanças climáticas.
Já no âmbito do Tribunal de Contas, foi realizada, no ano de 2025, ação de controle de "Acompanhamento de Procedimento Licitatório para Admissão de Concessionárias ou Permissionárias de Transportes Coletivos do Município do Natal", que originou o Relatório nº 02/2025-DIA e na qual foram abordados aspectos de mitigação de emissão de GEE em uma das questões analisadas, apontando a ausência de previsão de ônibus elétricos e de alternativas sustentáveis na modelagem da contratação. O relatório do TCE, embora não tenha as mudanças climáticas como seu foco principal, dedica uma seção (item 2.1) à discussão sobre veículos elétricos, redução de emissões de GEE, a transição para eletromobilidade e ausência de inovações tecnológicas na modelagem da contratação. Assim, atribui-se estágio intermediário (aspectos de mudanças climáticas como componentes significativos da auditoria).</t>
  </si>
  <si>
    <t>Item não aplicável à esfera municipal.</t>
  </si>
  <si>
    <t>"O quadro legislativo apresenta Política Municipal de Mudanças Climáticas, de 2003</t>
  </si>
  <si>
    <t>Os regulamentos existentes, Lei Municipal Nº 1182, de 13 de maio de 2003, é manifestamente anterior ao marco regulatório nacional de referência (PNMC de 2009), o que caracteriza à classificação "Sem progresso" por ser um quadro desatualizado.</t>
  </si>
  <si>
    <t>Foi criado o autor, Sistema Municipal de Infraestrutura Verde - SisMIV, pela LC N 400/2018. Na revisão do Plano Diretor (2017), ficou estabelecido ações transversais entre Mudanças Climáticas e Meio Ambiente, Paisagem Urbana, Ordenamento e Uso do Solo, Drenagem Urbana, Obras/Edificações, Parcelamento Urbano, Mobilidade Urbana e Desenvolvimento Econômico/Inovação.  O Plano Plurianual (PPA 2022-2025), apresenta previsão de elaboração do Plano de Ação de Mudanças Climáticas, como um dos Programas Temáticos 2022-2025.</t>
  </si>
  <si>
    <t>O Fundação Municipal de Meio Ambiente de Palmas (FMA) possui a Diretoria de Mudanças Climáticas e Cerrado Amazônico que é integrada por uma Gerência de Políticas de Mitigação de Impactos. Apesar de existir a estrutura governamental dedicada, não foi possível certificar a sua internalização de forma transversal nos demais órgãos do ente.</t>
  </si>
  <si>
    <t>A Diretoria de Mudanças Climáticas e Cerrado Amazônico da FMA é a responsável pela coordenação da Comissão de Revisão do Plano Diretor de Arborização Urbana de Palmas. Designou servidor para elaborar Plano de Ação de Mudanças Climáticas. Considerando que a Diretoria foi selecionada para compor uma comissão e que foi selecionado servidor para elaborar Plano de Ação, é notória a atuação do órgão em assuntos que são inerentes a pauta das mudanças climáticas e para o acompanhamento dos objetivos, dos indicadores, das metas, das ações, e da execução orçamentária do exercício de 2025.</t>
  </si>
  <si>
    <t>Possui como Diretor, na Diretoria de Mudanças Climáticas e Cerrado Amazônico, uma engenheira que é subordinada ao presidente da Fundação De Meio Ambiente o qual é cargo político possuidor de acesso ao gestor municipal.</t>
  </si>
  <si>
    <t>Em pesquisa ao sítio eletrônico, foi encontrado que a Fundação Municipal de Meio Ambiente de Palmas (FMA) concluiu, no mês de julho, o Diagnóstico de Áreas Críticas e Capacidade de Gestão para Adaptação à Mudança Climática de Palmas, que identifica as áreas mais expostas às mudanças climáticas e a capacidade de gestão da cidade para enfrentá-las. Entretanto não foi possível acessar o estudo para verificar as informações e assim atribuir a classificação de estágio avançado.</t>
  </si>
  <si>
    <t>O Plano Diretor Participativo, no título do Meio Ambiente e das Mudanças Climáticas, estabelece  programa permanente para prevenção e resposta a desastres naturais e ambientais, aí incluídas as queimadas, com gestão de risco e monitoramento contínuo. Plano Municipal de Arborização - Apresenta-se como instrumento de mitigação de risco climático, servindo como meta ativa para combate à ilha de calor urbana. Constante no Programa do PPA, a temática possui ações orçamentárias e responsáveis. Apesar de ser abordado por alguns instrumentos de planejamento, os riscos ou vulnerabilidades acabaram de ser mapeados, portanto não estão guiando de maneira efetiva e abrangente o planejamento.</t>
  </si>
  <si>
    <t>Possui o CMA - Conselho Municipal de Meio Ambiente que detêm competência para discutir políticas ambientais no âmbito municipal. É um órgão com característica deliberativa, entretanto não foi criado especificamente para atender ao assunto mudanças climáticas e sim políticas ambientais a qual engloba a temática do clima, portanto, conforme a evidência, essa coordenação está em estágio inicial.</t>
  </si>
  <si>
    <t>Por meio das evidências, foi verificado que o município possui atividades integradas com ICLEI, Cities4Forests e WRI. Sobre o ICLEI, foi possível verificar a interação com a organização de forma mais regular de acordo com a evidência apresentada. Foi possível constatar a participação em mais de uma organização com pautas pertinentes a temática de mudanças climáticas.</t>
  </si>
  <si>
    <t>Não foi encontrado evidência de representante formalmente indicado.</t>
  </si>
  <si>
    <t>O Conselho Municipal de Meio Ambiente possui em sua composição representantes do setor empresarial (02), das organizações da sociedade civil com atuação na área ambiental (02) e de entidades profissional, acadêmica, de pesquisa e religiosa (03). Os representantes citados anteriormente participam de todas as reuniões do conselho bem como possuem papel relevante nas ações que são de competência do CMA, conforme evidência em anexo. O item foi definido como em Estágio Inicial, pois existem mecanismos formais de participação de forma regular dos autores da sociedade civil com os órgãos estaduais e municipais, entretanto o CMA não foi criado especificamente para atender ao assunto de mudanças climáticas de acordo com o que já foi descrito no item A do G4 Coordenação horizontal e vertical.</t>
  </si>
  <si>
    <t>Vide o G5 item A - Existência de mecanismos de participação, Existe uma representação formal, mas o setor da sociedade civil está vinculado a área ambiental e não é aberto para qualquer cidadão, além disso o CMA não é focado especificamente para as mudanças climáticas, portanto o item em questão é considerado em intermediário com evidências de formalização da participação, porém com as características supramencionadas.</t>
  </si>
  <si>
    <t>"O Plano na pag. 94 (DESIGUALDADE NA DISTRIBUIÇÃO DA RENDA) descreve  que: cerca de 29,5% da população vivia abaixo da linha da pobreza
26,2% das moradias estavam em assentamentos informais</t>
  </si>
  <si>
    <t>Embora tenha sido identificada a realização de uma conferência com o tema "Construindo a Política de Desenvolvimento Urbano: caminhos para cidades inclusivas, democráticas, sustentáveis e com justiça social", a evidência não comprova a existência de um mecanismo formal que permita aos grupos realmente influenciarem as decisões. Por isso, a situação é classificada como sem progresso.</t>
  </si>
  <si>
    <t>No Plano Diretor Participativo do município de Palmas abordou a população em vulnerabilidade nos setores: turismo, ambiental, social e segurança pública. Mas não foi identificado a equidade concomitantemente no quadro legal e regulatório, nos planos de mitigação e nos planos de adaptação. Por esse motivo, além de falta de evidências, foi atribuído sem progresso.</t>
  </si>
  <si>
    <t>A Câmara Municipal de Palmas possui a Comissão de Cidadania, Direitos Humana, Meio Ambiente e Ética e Decoro Parlamentar, apresentou Projeto de Lei n° 231/2023 para Instituir, no âmbito do Município de Palmas, a Política Municipal sobre Mudanças Climáticas, e dá outras Providências. Como há uma comissão que aborda meio ambiente e projeto de lei que versam sobre meio ambiente, apesar de não ser especificamente mudanças climáticas, foi atribuído como em estágio inicial.</t>
  </si>
  <si>
    <t>Não foi encontrado nenhuma evidência que o controle interno do município realizou alguma auditoria com a questão de mudança do clima.</t>
  </si>
  <si>
    <t>Este item não se aplica a avaliação de governo municipal.</t>
  </si>
  <si>
    <t>O Estado possui um quadro legal e regulatório (Lei 17.133/2012 e Decreto 9085/2013)  que inclui medidas de prevenção e mitigação. Mitigação: art. 4º, inc. I, art. 5º, incs. I e VIII, art. 10, inc. I, art. 12, art. 13, art. 14, inc. III e art. 17, inc. V todos da Lei Estadual 17.133/2012. Adaptação: art. 4º, inc. III, art. 5º, incs. II e VIII, art. 10, inc. II, art. 12, art. 14, incs. II e III e art. 17, inc. V todos da Lei Estadual 17.133/2012
Ainda, as referidas ações são instrumentalizadas pelo Plano Estadual de Ação Climática 2024-2050. Há ainda leis setoriais que abrangem o tema, como o setor de solos (Lei Estadual 8014/1984), Setor de Energia (Lei Estadual 20435/2020), Setor de Transportes (Lei Estadual 19.604/2018 e Decreto Estadual 10.613/2025).</t>
  </si>
  <si>
    <t>O Decreto Estadual nº 9.085/2013 estabelece explicitamente em seu art. 1º que os princípios, objetivos e instrumentos da política estadual devem "compatibilizar-se com os princípios, objetivos, diretrizes e instrumentos da Política Nacional sobre Mudança do Clima" (PNMC).A legislação e o PAC-PR do Paraná tratam dos mesmos eixos estratégicos da PNMC  e seus planos setoriais. O plano paranaense aborda em detalhe as ações de mitigação e adaptação em setores-chave como agropecuária, energia e resíduos, que são os mesmos eixos de mitigação mencionados no Plano Nacional sobre Mudança do Clima (art. 18 do Decreto Federal n. 9578/2018). A análise de vulnerabilidade do estado também se alinha com a diretriz federal de estudos de adaptação para diferentes biomas. O PAC-PR do Paraná estabelece metas e ações com um horizonte de longo prazo até 2050. Embora o documento não especifique uma meta percentual de redução de emissões, o prazo final de neutralidade climática em 2050 está em sintonia com os compromissos assumidos pelo Brasil no âmbito do Acordo de Paris, conforme a Contribuição Nacionalmente Determinada (NDC).O inventário de emissões de GEE do Paraná menciona o uso de metodologias do IPCC (Painel Intergovernamental sobre Mudanças Climáticas). O uso de uma metodologia padronizada e internacionalmente reconhecida garante que os dados do estado possam ser comparados e somados aos inventários nacionais.</t>
  </si>
  <si>
    <t>"PAC-PR 2024-2050: ferramenta abrangente que detalha ações de mitigação e adaptação para setores-chave como Agropecuária, Energia, Resíduos e Transporte. Além do plano abrangente, o Paraná cria políticas setoriais específicas que institucionalizam a resposta climática, quais sejam: - Lei Estadual nº  20435/2020 e Decreto Estadual nº7872/2021  contemplando o setor de energia</t>
  </si>
  <si>
    <t>A Lei nº 17.133/2013 institui a Coordenadoria Estadual de Mudanças Climáticas, o Comitê Intersecretarial de Mudanças Climáticas e o Fórum Paranaense de Mudanças Climáticas Globais. O Decreto nº 9.085/2013 cria o Comitê Intersecretarial, responsável pela implementação do Plano Estadual sobre Mudança do Clima. O Decreto nº 7.520/2013 regulamenta o Fórum Paranaense, já previsto na Lei nº 16.019/2008. A Resolução SEDEST nº 55/2021 institui o Comitê de Acompanhamento e Fiscalização do projeto ParanaClima, voltado à adaptação e mitigação climática. O Decreto nº 8.811/2025 cria um Grupo de Trabalho para elaborar o Plano de Gerenciamento de Riscos aos Eventos Climáticos Extremos, reforçando a articulação institucional frente aos desafios climáticos no estado. Constatou-se, por meio da publicação de notícias. Observa-se, por notícias veiculadas em 2024 que o Comitê Intersecretarial está atuante.</t>
  </si>
  <si>
    <t>O art. 9º da Lei Estadual 17133/2013 definiu que cabe à Secretaria de Estado do Meio Ambiente e Recursos Hídricos (SEMA) a elaboração do Plano Estadual de Mudanças Climáticas, sendo atribuído ao Comitê Intersecretarial de Mudanças Climáticas orientar a elaboração, a implementação, o monitoramento, a avaliação e a revisão do referido Plano Estadual, consoante art. 8º da mesma Lei. Cabe, ainda, à Secretaria de Estado do Meio Ambiente e Recursos Hídricos - SEMA a criação e manutenção do Registro Público Estadual de Emissões, com o objetivo de promover o acompanhamento dos resultados do monitoramento, medidas de mitigação de gases de efeito estufa (art. 13 da Lei Estadual 17133/2013).</t>
  </si>
  <si>
    <t>"A Secretaria de Estado do Meio Ambiente, atual Secretaria de Estado do Desenvolvimento Sustentável - SEDEST, sob a responsabilidade da Coordenadoria de Mudanças Climátidas, possui como atribuição a elaboração do Plano de Ação Climática. Como se trata de resposanbilidade atribuída à Secretaria, esta possui autoridade para mobilizar os diferentes setores e conta com composição mista (integrantes dos escalões político e técnico da administração pública). Isso porque, conforme informações extraídas do portal da transparência há servidores vinculados à Secretaria do Desenvolvimento Sustentável. No mais, o Comitê Intersecretarial de Mudanças Climáticas (CIMC) do Estado do Paraná, responsável por corientar a elaboração, a implementação, o monitoramento, a avaliação e a revisão do Plano Estadual sobre Mudança do Clima, conta em sua composição com um titular e suplente dos seguintes órgãos: Casa Civil do Governo do Paraná</t>
  </si>
  <si>
    <t>O  PAC - PR Plano Estadual de Ação Climática 2024-2050 contempla a análise e determinação da vulnerabilidade dos Municípios Paranaenses e está atualizado (2023). Conforme consta no item 2 do PAC -PR Vulnerabilidade, as análises foram realizadas com base nas hipóteses determinadas pelo IPCC. Houve também a realização de um levantamento científico (busca na literatura científica, relatórios técnicos de institutos de pesquisas e governamentais, por evidências, simulações de eventos e avaliações de impactos, nos diversos setores) de evento extremos de tempo e clima. Consta, ainda, no citado item do plano que, em paralelo, foram analisadas séries de dados e as projeções simuladas pelos modelos climáticos GCM, associadas aos eventos extremos. Conclui-se, dessa forma, que os métodos foram baseados em evidências científicas e/ou informações de plataformas oficiais.</t>
  </si>
  <si>
    <t>O PAC-PR Plano Estadual de Ação Climática 2024-2050 - Volume Ações e Metas apresenta metas gerais para descarbonização da economia, citando como meta prioritária a elaboração de Planos de Descarbonização Setorial para setores econômicos identificados pelo Inventário de Emissões de Gases (AFOLU, IPPU, Energia e Resíduos Sólidos e Efluentes). O foco deste plano é orientar políticas e elaborar planos setoriais. O documento em si não prova que os riscos climáticos já estão guiando de maneira efetiva e abrangente os principais instrumentos de planejamento existentes. Por sua vez, o Plano Plurianual 2024-2027 (Lei 21.861/2023) contempla aspectos referentes ao enfrentamento das mudanças climáticas,nas seguintes prmevisões: Plano Carbono Zero do Estado do Paraná (p. 245), Plano Hidrogênio Verde (p. 246), Municípios beneficiados com projetos de geração limpa (p.559), Programa Paraná Sustentável (p. 613), Sistemas e aplicativos para a gestão e controle ambiental implantados (p. 632) e Operacionalização do Plano Estadual de Ação Climática (p. 646). A documentação apresentada demonstra a inclusão de programas e ações climáticas no planejamento, mas não evidencia que uma análise de riscos e vulnerabilidades climáticas tenha guiado a formulação do PPA de forma abrangente. A integração em princípio evidencia-se programática, listando projetos, em vez de uma abordagem transversal baseada em riscos que influencie outros setores do planejamento (saúde, infraestrutura, segurança hídrica, etc.).</t>
  </si>
  <si>
    <t>O Decreto Estadual nº 7520 /2013, ao definir a composição do Fórum Paranaense de Mudanças Climáticas  no art. 2º, além de outros integrantes, inclui várias secretarias: 1. do Meio Ambiente e Recursos Hídricos, que o presidirá
Por sua vez, o Decreto, ao regulamentar o Comitê Intersecretarial de Mudanças Climáticas do Estado do Paraná, define a composição no art. 5º, com representantes dos seguintes órgãos: Casa Civil do Governo do Paraná
Há atas de atuação das Câmaras Temáticas do Fórum Parananense de Mudanças Climáticas de 2025.</t>
  </si>
  <si>
    <t>Conforme divulgado pelo Governo do Estado do Paraná, o Estado foi escolhido para liderar os projetos voltados ao bioma Mata Atlântica no âmbito do Consórcio Brasil Verde, uma iniciativa conjunta dos governos estaduais voltada ao enfrentamento dos efeitos das mudanças climáticas e à redução das emissões de carbono no país.
O Consórcio Brasil Verde foi lançado em 2021, durante a 26ª Conferência das Nações Unidas sobre a Mudança do Clima (COP26), como desdobramento do movimento Governadores pelo Clima, que reúne lideranças estaduais comprometidas com a agenda climática e o desenvolvimento sustentável. 
Observa-se, portanto, a participação do Estado em alianças. 
A Lei Estadual 21346/2022, responsável pela Ratificação do Protocolo de Intenções para a constituição do CONSÓRCIO INTERESTADUAL SOBRE O CLIMA - CONSÓRCIO BRASIL VERDE, no anexo único, cláusula 14, prevê que a Assembleia Geral será composta por representantes de todos os Estados consorciados e "no caso de ausência dos Governadores, os Vice-Governadores assumirão a representação do ente da Federação na Assembleia Geral, inclusive com direito a voto salvo se o Governador enviar representante especialmente designado, o qual assumirá os direitos de voz e voto". 
Observa-se, portanto, que a própria Lei define os representantes responsáveis pela composição da Assembleia Geral, instância máxima do Consórcio.</t>
  </si>
  <si>
    <t>A Lei Estadual nº 17133/2012 prevê, no art. 13, §2º, a criação de selos de reconhecimento público, contemplando tanto a participação no Registro Público Estadual de Emissões como a comprovação da redução líquida de emissões por redução ou compensação de emissões. 
Por sua vez, a Resolução nº 40/23 Paraná regulamenta o "Selo Clima Paraná".
Já Resolução nº 60 da Sedest nomeia os representantes da Comissão de Avaliação, a qual ficará incumbida de analisar a documentação gerada no processo para a emissão do Certificado que reconhece a outorga do Selo CLIMA PARANÁ, fixando, ainda, no art. 3º que a comissão será presidida pelo Diretor de Políticas Ambientais/DIPAM/SEDEST.
O Ato de designação do servidor para exercer as funções de diretor das de Políticas Ambientais/DIPAM/SEDEST encontra-se anexado como evidência.
Outro aspecto, referente à coordenação vertical diz respeito à 5ª Conferência Nacional do Meio Ambiente (CNMA) na medida em que uma das etapas consistiu na realização de conferências Municipais e Intermunicipais.</t>
  </si>
  <si>
    <t>Existem mecanismos formais, contínuos e deliberativos de participação que envolvem tanto a concepção como a implementação de políticas ou ações relacionadas com o clima. Quanto à concepção, conforme consta na página referente ao Plano de Ação Climática, houve a realização de consulta para a elaboração do plano. No tocante à continuidade de participação houve a instituição do  Fórum Paranaense de Mudanças Climáticas Globais o qual é composto por "representantes do setor empresarial, do terceiro setor, de trabalhadores, de instituições de ensino, pesquisa e extensão, associações, fundações, demais órgãos e pessoas jurídicas de direito público e de direito privado, cujas finalidades institucionais guardem pertinência com o tema mudanças climáticas, constituído nos termos da lei civil por, pelo menos, dois anos" (art. 2º, v, do Lei 16019/2008). 
Constatou-se que a lei de criação do fórum permite que atores relevantes interajam regularmente com os órgãos estaduais ou municipais envolvidos na ação climática, porquanto prevê em seu art. 1º os objetivos do Fórum, figurando como tais, o estímulo a cooperaçõa entre governos na ação climática e o estímulo à incorporação da dimensão climática no processo decisório relativo às políticas setoriais. Constatou-se, por notícias que há mecanismos de levar em consideração as perspectivas expressas desses atores, contudo, não se evidenciou um relatório que demonstre como as sugestões coletadas foram incorporadas ou rejeitadas.</t>
  </si>
  <si>
    <t>A Lei 16019/2008 com alterações promovidas pela Lei Estadual n. 20741/2021, prevê em seu art. 2º, alínea v), a inclusão como membros do Fórum Paranaense de Mudanças Climáticas Globais de diversos representantes da sociedade civil, exige-se a atuação institucional em alinhamento com temas das mudanças climáticas. A inclusão das instituições no referido Fórum se dá por meio de inscrição disponível no site da Secretaria de Estado do Desenvolvimento Sustentável do Paraná. Nesse sentido, anexa-se a minuta de inscrição, mediante a qual, a entidade interessada deve justificar que seus objetivos institucionais tem relação com o tema, conforme disposição artigo legal já referido. Assim, há a instituição do Fórum, há a previsão de participação de representantes de diversos setores.  Contudo, em que pese a oportunidade de diversos interessados participarem,  não há evidência de efetivo mapeamento de segmentos mais relevantes, cuja participação poderia enriquecer o debate com diferentes perspectivas, o que impede avaliação mais elevada. Acompanham o presente item Atas de reuniões que evidenciam a efetiva atividade do fórum e a participação de membros da sociedade civil organizada.</t>
  </si>
  <si>
    <t>"Essas informações se concentram em dois documentos que compõem o Plano Estadual de Ação Climática (2024-2050): 1-Análise climática e determinação da vulnerabilidade dos municípios paranaenses em face das mudanças climáticas</t>
  </si>
  <si>
    <t>O mecanismo de envolver grupos de vulneráveis no processo decisório está formalizado, porquanto está respaldado na normativa que instituiu o Fórum Paranaense de Mudanças Climáticas (Lei 16019/2008). Referida Lei prevê no art. 2º , "v",  a possibilidade de participação social mais ampla. Contudo, verifica-se, pela ata de reunião do Fórum, realizada no mês de julho de 2025, que a representatividade dos grupos ainda está se descortinando. Houve na reunião a menção da necessidade de participação desses grupos, bem assim de iniciativas indicadas para que a medida se concretize. Ademais, verifica-se da ATA que a representatividade foi um ponto forte de enfrentamento ao lado de conceitos como justiça climática. Então, é uma medida em andamento.</t>
  </si>
  <si>
    <t>As políticas e ações detalhadas no documento Plano Estadual de Ação Climática (2024-2050) - Metas e Ações não incorporam explicitamente uma perspectiva de equidade ou metas específicas para grupos vulneráveis do Estado. O documento sobre metas e ações foca principalmente na mitigação de GEE em setores como agropecuária, energia, indústria e resíduos. As metas são de natureza técnica e setorial, sem detalhar como os benefícios ou esforços serão distribuídos de forma equitativa ou como impactarão diretamente as comunidades mais vulneráveis. As políticas detalhadas não possuem indicadores sociais, salvaguardas ou provisão de recursos específicos para os grupos identificados, o que é um critério fundamental para uma classificação mais elevada. O plano tem como foco o desenvolvimento de baixo carbono e a redução de emissões, sem mencionar aspectos sociais ou de equidade. As metas são apresentadas de forma agregada para cada setor, sem detalhamento sobre sua distribuição ou impacto em diferentes estratos sociais. A mesma perspectiva de análise se dá em relação aos demais documentos que compõem o Plano de Ação Climática do Estado, conforme documentos consultados. De modo semelhante, a legislação específica, no caso, a Lei Estadual 17133/2012 e o Decreto Estadual 9085/2013, tratam da vulnerabilidade em caráter geral, sem dispor sobre possíveis políticas equitativas.</t>
  </si>
  <si>
    <t>"A Assembleia Legislativa do Estado do Paraná possui e estabelece mecanismos específicos para tratar das mudanças climáticas. Há comissões permanentes: Comissão de Ecologia, Meio Ambiente e Proteção aos Animais</t>
  </si>
  <si>
    <t>Em relação à Controladoria-Geral do Estado, foi possível identificar, em 2025, o Plano de Auditoria Interna aprovado pela Resolução n.º 53/2025. O referido plano inclui a auditoria do Programa de Segurança Hídrica, com vistas à universalização do saneamento, o desenvolvimento rural, da cidadania e a segurança alimentar, bem como a sustentabilidade. No caso, o programa está diretamente relacionado ao programa Paraná Sustentável que, por sua vez, está relacionado com mudanças climáticas. Quanto ao Tribunal de Contas do Estado do Paraná, não houve notícia de auditoria, nos últimos 5 anos, que tratou especificamente de tema relacionado às mudanças climáticas. Contudo, há auditorias que contribuíram para o tema de modo tangencial, nesse sentido, há o Relatório da Política de Preservação e Manutenção de Recursos Hídricos, neste caso, a governança dos recursos hídricos no estado teve papel central e corrobora a adoção de medidas tendo em vista impactos decorrentes das mudanças climáticas. Ainda, sobre esse tema, em 2022, foi elaborado relatório sobre a Gestão da Crise Hídrica no Estado, o qual é mais tangencial ao tema.</t>
  </si>
  <si>
    <t>Quanto às ações de governança da Resolução CNJ nº 433/2021: O inciso I da Resolução trata da criação de núcleos especializados na área ambiental, a informação 12047280 apresentada pelo TJPR, quanto ao foco específico da resolução, atestou que analisa a viabilidade de criação de Núcleo de Apoio, configurando uma fase de planejamento. Ainda, pelo Despacho 12057298 foi noticiada a criação da Mesa de Diálogos, que, em fase consensual, pode tratar da conflitos ambientais. Em relação aos incisos II e III da Resolução, que tratam de capacitação contínua de servidores e magistrados, bem como da inclusão da matéria ambiental em plano de ensino, o Despacho n.º 12062447 evidencia  a realização de um curso sobre "Responsabilidade Civil por Danos Ambientais" em 2024 e a aprovação de outro curso, "Sustentabilidade no Poder Judiciário", que está em fase de planejamento, assim, a realização de cursos sem a evidência de um plano, em princípio, não sustenta o critério de "capacitação contínua e periódica". Por fim, quanto ao item IV da Resolução, que trata da utilização de ferramentas eletrônicas de informação geográfica com vistas ao planejamento e à atuação estratégica, pela Informação 12047280 atestou-se sobre evento em que houve reflexões sobre 'sensoriamento remoto' com o Sistema de Informações Geográficas (SIG)". Essa descrição sugere uma discussão pontual, não a utilização institucionalizada e contínua da ferramenta para planejamento estratégico.  </t>
  </si>
  <si>
    <t>A lei 9936/11, que institui a Política Estadual de Mudanças Climáticas, se apresenta um tanto genérica, e apenas lista uma série de intenções sem efetivamente criar uma estrutura de governança com ações, metas e objetivos capazes de promover a adaptaçãoe mitigação às mudanças climáticas. Registre-se ainda que a mesma encontra-se desatualizada, vez que foi editada no ano de 2011. Também foi identificado o Plano Setorial para Adaptação à Mudança do Clima e Baixa Emissão de Carbono na Agropecuária, produzido em 2022, e portanto mais atualizado, apresentando metas e ferramentas de monitoramento das ações a serem implementadas.</t>
  </si>
  <si>
    <t>A lei Estadual nº 9936/11, que institui a Política Estadual de Mudanças Climáticas, é uma versão adaptada ao plano estadual da Lei Nacional nº 12187/09. A lei Estadual estabelece em seu art 13° o compromisso voluntário em ações de mitigação das emissões de gases de efeito estufa, com vistas a reduzir entre 36,1 % (trinta e seis inteiros e um décimo por cento) e 38,9% (trinta e oito inteiros e nove décimos por cento) suas emissões projetadas até 2020, de acordo com a Política Nacional de Mudanças Climáticas, portanto o mesmo percentual definido da Lei Nacional. Ademais, o cenário apresenta uma necessidade urgente de atualização atualização da PEMC.</t>
  </si>
  <si>
    <t>A lei Estadual n° 9336/11 em seu art 6º apenas cita dentre os instrumentos para mudança do clima, medidas fiscais e tributárias, linhas de crédito púbicas e privadas, dotações específicas, sem contudo mencionar alguma integração com os intrumentos de planejamento de nível estadual. Além disso, consta no Quadro de Detalhamento da Despesa (QDD), da LOA 2025, da Lei Estadual n° 13.549, de 10 de janeiro de 2025,  a Ação n° 18.541.5300.6057, que versa sobre a Implementação de Ações de Mitigação e Adaptação às Mudanças Climáticas, no entanto a mesma se apresenta um tanto genérica e sem se desdobrar em outras açoes que possam ser melhor monitoradas.</t>
  </si>
  <si>
    <t>A Secretaria Estadual de Meio Ambiente e Sustentabilidade - SEMAS, dispõe de uma estrutura formal dedicada ao tema de mudanças climáticas, dada a existência de uma Secretaria Executiva de Mudanças Climáticas (Existe mais uma Secretaria Executiva de Desenvolvimento Sustentável), além de uma Gerência Executiva de Mudanças e Adapatação Climática e outra Gerência Operacional de Descarbonização.</t>
  </si>
  <si>
    <t>Os normativos encaminhados indicam algumas responsabilidades e seus agentes, todavia existem lacunas que podem contribuir para a não implementação da política no estado, como por exemplo, em relação ao monitoraramento e transparência das ações governamentais relacionadas com a emergência climática.</t>
  </si>
  <si>
    <t>A Secretaria de Meio Ambiente e Desenvolvimento Sustentável possui em sua primeira instância hierárquica um órgão consultivo denominado "Fórum Paraibano de Mudanças Climática", composto por diversos atores intersetoriais.</t>
  </si>
  <si>
    <t>Assim se pronunciou a Secretaria de Meio Amniente sobre o tema:
A SEMAS não possui um sistema ou ferramenta própria com dashboard, todavia, possui um Setor de Geoprocessamento que promove mapeamentos, a partir de bases de dados compilados,dentre as quais destacam-se:
https://sistema.adaptabrasil.mcti.gov.br/
https://s2id.mi.gov.br/
https://seira.aesa.pb.gov.br/ "</t>
  </si>
  <si>
    <t>Não houve evidências que permitissem atribuir outra resposta ao item em avaliação.</t>
  </si>
  <si>
    <t>Existem mecanismos formais que permitem o diálogo entre diferentes secretarias e órgãos do governo, todavia não há envolvimento de importantes setores como defesa civil, infraestrutura, saúde, nem existem evidências da regular atuação coordenada dos órgãos relacionados.</t>
  </si>
  <si>
    <t>A Secretaria de Meio Ambiente e Sustentabilidade informou que esta secretaria integra o Comitê Científico de Monitoramento e Enfrentamento das Emergências Climáticas do Consórcio Nordeste, bem como a Câmara Técnica de Clima da Associação Brasileira de entidades Estaduais de Meio Ambiente (ABEMA), todavia, não há evidências da efetiva participação destes representante nas reuniões ou encontros realizados.</t>
  </si>
  <si>
    <t>Não foi informado o representante formal indicado para participar do Consórcio Brasil Verde nem fornecidas evidências da efetiva participação no referido comitê.</t>
  </si>
  <si>
    <t>A Secretaria de Meio Ambiente e Sustentabilidade apenas citou a realização em 2024 do  o 3º PAINEL PARAIBANO DE MUDANÇAS CLIMÁTICAS, que não teve a devida continuidade nem apresentação de resultados no ano seguinte, se apresentando como uma medida insuficiente para participação das entidades não governamentais na formulação de políticas públicas de mudanças climáticas e mitigação.</t>
  </si>
  <si>
    <t>Não houve evndenciação da efetiva participação dos diversos setores da sociedade.</t>
  </si>
  <si>
    <t>Não há evidências acerca do mapeamento dos grupos grupos mais vulneráveis aos impactos das mudanças climáticas.</t>
  </si>
  <si>
    <t>Existe uma  uma comissão mista, Comissão de Desenvolvimento, Turismo e Meio Ambiente, que trata de meio ambiente dentre outros assuntos e que sua atuação é pouco efetiva, em que pese a ocorrência frequente de reuniões, não se destacaram ações específicas sobre o tema.</t>
  </si>
  <si>
    <t>O TCE - PB coordenou em 2023 uma Auditoria Operacional Coordenada em Políticas Públicas de Combate à desertificação, incluíndo além da Paraíba, os estados do Ceará, Rio Grande do Norte, Pernambuco e Sergipe, através dos Tribunais de Contas Estaduais.</t>
  </si>
  <si>
    <t>Segundo informações enviadas pelo Poder Judiciário da Paraíba, o TJPB dispõe de um Plano de Logística Sustentável, elaborou elaboração do Inventário de Emissões de Gases de Efeito Estufa, Plano de  descarbonização, que estabelece metas, ações e projetos voltados à redução e compensação dessas emissões, instituiu o Grupo do Meio Ambiente do Poder Judiciário da Paraíba, em observância à Resolução CNJ nº 433/2021, com foco na articulação com as unidades jurisdicionais para levantamento de processos em que seja viável a adoção de soluções consensuais, bem como a identificação de processos estruturais com  potencial de impulsionamento durante a Semana da Pauta Verde, destacando-se ainda a implantação, do Núcleo de Apoio Técnico às Ações Ambientais (NAT-Ambiental), vinculado à Presidência do Tribunal de Justiça do Estado da Paraíba e à Seção Judiciária Federal da Paraíba, com o objetivo de fornecer apoio técnico especializado para o processamento, julgamento, resolução consensual e cumprimento das decisões judiciais em demandas climáticoambientais.</t>
  </si>
  <si>
    <t>O estado do Pará dispõe de um arcabouço legal e regulatório abrangente voltado à temática climática, com a Política Estadual sobre Mudanças Climáticas (PEMC) devidamente instituída, contemplando estratégias integradas de adaptação e mitigação. O conjunto de instrumentos inclui planos setoriais e intersetoriais diretamente relacionados aos efeitos das mudanças climáticas, com definição de metas, prazos e atribuições claras, a exemplo do Plano Estadual Amazônia Agora (PEAA) e do Plano Estadual de Recuperação da Vegetação Nativa (PRVN-PA). Adicionalmente, há programas específicos, como o Programa Estadual de Prevenção e Combate às Queimadas e Incêndios Florestais (PEPIF), que apresenta interface direta com ações de enfrentamento climático. Esse arcabouço normativo e programático, de caráter atual e operacional, viabiliza a integração das dimensões climáticas aos instrumentos de planejamento governamental, fortalecendo a coerência e a efetividade das políticas públicas estaduais.</t>
  </si>
  <si>
    <t>O estado do Pará dispõe de arcabouço legal/regulatório alinhado aos dispositivos federais. Os prazos e metas de redução de emissões de Gases de Efeito Estufa (GEE) e de adaptação estão harmonizados com os nacionais, sendo, inclusive, mais ambiciosos, a exemplo da Contribuição Nacionalmente Determinada (NDC, sigla em inglês), que prevê redução entre 59% e 67% até 2035. O Pará, por sua vez, estabelece emissão líquida zero até 2030 no uso da terra (principal fonte de emissão estadual). A metodologia de inventário e reporte de emissões utilizada pelo Estado mostrou-se compatível com as diretrizes do Governo Federal.</t>
  </si>
  <si>
    <t>O arcabouço legal e regulatório estadual estabelece a integração dos aspectos relacionados às mudanças climáticas nos principais instrumentos de planejamento, bem como nos planos e políticas de setores estratégicos no contexto local. Prevê, ainda, disposições que especificam setores, atores e variáveis climáticas a serem obrigatoriamente consideradas na elaboração e revisão desses instrumentos.</t>
  </si>
  <si>
    <t>"A Política Estadual de Mudanças Climáticas (Lei estadual nº 9.048, de 29 de abril de 2020) criou o Sistema Estadual sobre Mudanças Climáticas formado por 6 órgãos colegiados: Comitê Gestor do Sistema Estadual de Mudança Climática (COGES-Clima)</t>
  </si>
  <si>
    <t>O estado do Pará, embora ainda não tenha consolidado o Plano Estadual sobre Mudanças Climáticas previsto na Seção VI, art. 32, da Lei Estadual nº 9.048/2020 (Política Estadual de Mudanças Climáticas), estabeleceu o 'Plano Setorial de Uso da Terra, Mudança do Uso da Terra e Florestas', que abrange o principal setor de emissões do Estado. Tal plano é estruturado de forma abrangente, com o engajamento de diversos órgãos e entidades da Administração Pública e com atribuições claramente definidas quanto à liderança, coordenação, implementação, monitoramento e transparência. Embora este plano setorial contemple a maior parte das emissões estaduais, persiste a lacuna quanto à definição das responsabilidades de coordenação, implementação e monitoramento de outros setores relevantes, como energia, transporte, resíduos sólidos, indústria e infraestrutura, que devem ser contemplados em Planos Setoriais, nos termos do disposto na Seção VI, art. 32, da Lei Estadual nº 9.048/2020.</t>
  </si>
  <si>
    <t>"A Secretaria de Estado de Meio Ambiente e Sustentabilidade (Semas), instituída pela Lei Estadual nº 5.457, de 11 de maio de 1988, foi recentemente reestruturada, passando a denominar-se Secretaria de Estado de Meio Ambiente, Clima e Sustentabilidade (Semas). Compete-lhe formular, coordenar e executar as Políticas Estaduais de Meio Ambiente, de Recursos Hídricos, sobre Mudanças Climáticas e demais políticas correlatas, visando à gestão ambiental integrada e supervisionando sua execução nas instituições sob sua competência</t>
  </si>
  <si>
    <t>Apesar de a Política Estadual de Mudanças Climáticas (PEMC) prever a realização de estudos de vulnerabilidade e riscos decorrentes das mudanças climáticas (art. 13, §1º, Lei Estadual nº 9.048/2020), bem como a alocação de recursos para elaborar mapas de risco e vulnerabilidade e modelos de previsão de impactos específicos, como danos humanos, materiais, ambientais e prejuízos econômicos e sociais (art. 16, I, Lei Estadual nº 9.048/2020), não foram identificadas evidências de execução dessas medidas. Constatou-se, apenas, o aprimoramento de ações de monitoramento de condições temporais sazonais e hidrológicas conduzidas pela própria Semas.</t>
  </si>
  <si>
    <t>Embora o Plano Plurianual (PPA) vigente do Estado do Pará faça referência a diversos planos setoriais regionais, como o Plano Estadual Amazônia Agora (PEAA), o Plano Estadual de Bioeconomia (PLANBIO) e a própria Política Estadual de Mudanças Climáticas (PEMC), não foram identificadas evidências de incorporação de mapeamento de riscos climáticos no processo de sua elaboração. O recentemente publicado Programa Estadual de Prevenção e Combate às Queimadas e Incêndios Florestais (PEPIF) estabelece, de forma clara, metodologia baseada em zoneamento como instrumento técnico de diagnóstico e planejamento, destinado a subsidiar a definição de áreas prioritárias para alocação de recursos humanos e materiais, adoção de medidas preventivas, articulação institucional, fiscalização e demais ações estratégicas voltadas à mitigação de riscos. O Plano de Ações para Estiagem, Queimadas e Incêndios Florestais (PAEINF), elaborado anualmente pelo CBMPA e pela Defesa Civil estadual, igualmente adota metodologia de tratamento do risco climático fundamentada em análises espaciais e temporais de padrões sazonais. Contudo, as metodologias e instrumentos empregados apresentam caráter pontual e de curto prazo, restringindo-se à prevenção e ao controle de incêndios e queimadas.</t>
  </si>
  <si>
    <t>"Há diversos mecanismos instituídos com o propósito de promover o diálogo e o alinhamento entre diferentes órgãos do Governo, como o COGES-Clima e o FPMAC, e suas Câmaras Técnicas, além dos comitês do PLANBIO e do Programa Territórios Sustentáveis. Contudo, verifica-se a existência de sobreposições na composição de titularidade e suplência que limitam a participação de setores estratégicos. Exemplos incluem: Sedap (titular)/Iterpa (suplente)</t>
  </si>
  <si>
    <t>O Governo do Pará mantém participação ativa no Consórcio Interestadual da Amazônia Legal, exercendo papel de destaque por meio da presidência da entidade pelo segundo mandato consecutivo, no período de 01/01/2023 a 31/12/2025. O Consórcio tem por finalidade promover o desenvolvimento da região da Amazônia Legal, com ênfase na implementação de projetos voltados à economia de baixo carbono, bem como na captação de investimentos e diversificação das fontes de recursos destinadas ao fomento e desenvolvimento da Amazônia, à conservação da biodiversidade, das florestas e do clima, conforme previsto no art. 7º do Protocolo de Intenções. Além da presidência, o estado do Pará integra outras instâncias de governança, como o Conselho de Administração, representado pela Casa Civil da Governadoria, e as 12 Câmaras Setoriais, com a participação de secretários de Estado das áreas de planejamento, fazenda, meio ambiente, segurança pública, educação, saúde, comunicação, agricultura, cultura, infraestrutura, governança fundiária e povos indígenas.</t>
  </si>
  <si>
    <t>O estado do Pará, por intermédio da Semas, possui representante formalmente designado para integrar a Comissão Tripartite Estadual, vinculada ao Ministério do Meio Ambiente e Mudança do Clima (MMA). Contudo, não foram identificadas evidências de participação efetiva em reuniões capazes de viabilizar a interação com os demais atores nacionais. Ademais, não há registro de participação do Pará em outros mecanismos de articulação envolvendo entes de diferentes níveis da federação  -  União, Estados, Municípios e Distrito Federal.</t>
  </si>
  <si>
    <t>A participação social apresenta relevância no Comitê Gestor do Sistema Estadual sobre Mudanças Climáticas (COGES-Clima), que conta com representantes de quatro organizações de povos indígenas, quilombolas e comunidades tradicionais (CNS, Fepipa, Malungu e Fetagri), três representantes de organizações não governamentais (Ipam, Apef e Imazon), dois representantes de instituições de pesquisa (UFPA e Embrapa) e um representante do setor produtivo (Simineral). De forma análoga, o Fórum Paraense de Mudanças Climáticas (FPMAC) possui, em seu Comitê Executivo, oito representantes da sociedade (quatro do setor produtivo, um de ONG, um indígena, um quilombola e um de comunidades tradicionais) e dois de instituições de pesquisa (UEPA e MPEG). As reuniões são realizadas com frequência razoável, possibilitando inclusive participação remota, e as atas registram envolvimento ativo nos debates e deliberações. Embora não haja registros da participação desses segmentos na formulação da Política Estadual sobre Mudança Climática (PEMC), as atas evidenciam acompanhamento e discussão de programas, projetos e ações correlatas, especialmente no âmbito das Câmaras Técnicas. Contudo, não foram identificados relatórios institucionais específicos que apresentem respostas à sociedade quanto à incorporação ou rejeição de sugestões recebidas.</t>
  </si>
  <si>
    <t>O Comitê Gestor do Sistema Estadual sobre Mudanças Climáticas (COGES-Clima), regulamentado pelo Decreto Estadual nº 1.942/2021, mantém composição permanente de 20 membros, sendo 10 provenientes da Administração Pública e 10 da sociedade civil, distribuídos em quatro representantes de povos indígenas, quilombolas e comunidades tradicionais, três de organizações não governamentais, dois de instituições de pesquisa e um do setor produtivo. Os mandatos têm duração de um ano, com possibilidade de uma recondução, e o regulamento prevê que a Semas poderá publicar editais de seleção para habilitação das representações. O regimento interno do COGES-Clima estabelece reuniões trimestrais, podendo haver convocações extraordinárias quando necessário. Atualmente, o Comitê conta com quatro Câmaras Técnicas que ampliam a possibilidade de participação de outros representantes da sociedade. O estado do Pará instituiu, ainda, o Fórum Paraense sobre Mudanças Climáticas (FPMAC), por meio do Decreto Estadual nº 254/2019, que admite a participação, sem restrição de quantitativo, de representantes da sociedade civil organizada, universidades, instituições públicas de pesquisa, sociedades científicas e povos e comunidades tradicionais, indígenas e quilombolas. As reuniões ocorrem com diferentes periodicidades: anual para a Plenária, semestral para o Comitê Executivo e trimestral para as Câmaras Técnicas e Grupos de Trabalho.</t>
  </si>
  <si>
    <t>O estado do Pará desenvolve diversas iniciativas de mapeamento de grupos vulnerabilizados, com ênfase em povos indígenas, quilombolas, comunidades tradicionais e agricultores familiares (PIQCTAF). No processo de estruturação do sistema jurisdicional de REDD+ foi realizado mapeamento desses grupos, que participam ativamente da sua construção. No âmbito do Plano Estadual de Bioeconomia, foram mapeadas terras indígenas, assentamentos quilombolas e propriedades rurais com áreas de vegetação nativa. O Plano Estadual Amazônia Agora (PEAA) estabelece meta de etnomapeamento e etnozoneamento de terras indígenas, sob responsabilidade da Sepi, ação que ainda não executada. A Fundação Amazônia de Amparo a Estudos e Pesquisas (Fapespa) produz o Mapa de Exclusão Social do Pará, contemplando estatísticas regionalizadas de expectativa de vida, renda, emprego, educação, saúde, saneamento, habitação e segurança, com vistas a subsidiar políticas públicas estaduais. O estado mantém, ainda, o Observatório de Direitos Humanos do Pará, que reúne informações sobre populações negra, quilombola, LGBTQIA+, crianças, adolescentes, idosos, mulheres, pessoas com deficiência e outros segmentos. Quanto à Defensoria Pública do Estado (DPE), há mapeamento de riscos de comunidades urbanas e periurbanas da Região Metropolitana de Belém. Contudo, tais mapeamentos não abrangem o setor produtivo e comerciários, nem contemplam as necessidades específicas dos grupos vulnerabilizados frente às mudanças climáticas.</t>
  </si>
  <si>
    <t>A legislação estadual estabelece mecanismos formais para assegurar a inclusão de grupos vulneráveis em instâncias participativas, como o Comitê Gestor do Sistema Estadual sobre Mudanças Climáticas (COGES-Clima), cuja composição é paritária entre o poder público estadual e a sociedade civil organizada, nos termos do art. 6º-B do Decreto Estadual nº 1.942/2021. O COGES-Clima contempla representantes de povos indígenas, comunidades quilombolas, populações tradicionais, trabalhadores rurais, organizações não governamentais, instituições de ensino e pesquisa, além do setor produtivo mineral. O Fórum Paraense de Mudanças e Adaptação Climática (FPMAC), por sua vez, congrega representantes do poder público, da sociedade civil organizada, universidades, instituições públicas de pesquisa, sociedades científicas e povos e comunidades tradicionais, indígenas e quilombolas, conforme disposto no art. 3º do Decreto Estadual nº 254/2019. Grupos vulnerabilizados também integram as Câmaras Técnicas responsáveis pela elaboração da Política de REDD+, do Plano de Recuperação da Vegetação Nativa, das Políticas Públicas de Desenvolvimento Rural Sustentável e do Ordenamento Ambiental e Fundiário. Contudo, sua representatividade nesses espaços é reduzida, considerando que nem todos os segmentos estão devidamente contemplados.</t>
  </si>
  <si>
    <t>As estratégias, políticas e planos climáticos instituídos no estado incorporam, de forma explícita, princípios de igualdade e equidade. A Política Estadual sobre Mudanças Climáticas (PEMC) estabelece diretrizes e objetivos voltados à igualdade de gênero, à valorização dos saberes tradicionais e à participação de grupos vulnerabilizados na governança, nos processos decisórios e na execução das ações previstas. De modo complementar, o Plano Estadual Amazônia Agora (PEAA) e o Plano Estadual de Recuperação da Vegetação Nativa (PRVN) também contemplam essas perspectivas de forma expressa. O Sistema Jurisdicional de REDD+ do Pará prevê a distribuição equitativa dos recursos do programa, destinando 85% dos valores a povos e comunidades que vivem na floresta e desempenham papel estratégico na conservação ambiental. Já o Plano Estadual de Bioeconomia (PLANBIO) inclui o tópico "Oportunidades para inovar com respeito aos direitos dos povos da floresta", que aborda a valorização de produtos originados por comunidades PIQCT, com respeito a seus modos de vida e saberes tradicionais.</t>
  </si>
  <si>
    <t>A Assembleia Legislativa do Estado do Pará (Alepa) mantém uma comissão permanente relacionada à temática de mudança climática  -  a Comissão de Recursos Hídricos e Desenvolvimento Sustentável (CMA)  -  instituída pela Resolução nº 02/2022 (Regimento Interno). Encontra-se em tramitação projeto de resolução que propõe a inclusão expressa do termo "mudança climática" na denominação da CMA. Desde 2023, a Alepa também instalou a Frente Parlamentar de Acompanhamento e Fortalecimento das Ações da COP 30 do Pará (FPAF/COP 30). Nesse contexto, a Casa Legislativa tem promovido discussões relevantes, como reuniões com representantes da ONU sobre mudança climática e gestão de riscos, sessões especiais para debate sobre clima e sustentabilidade, além da apresentação de projetos de lei, requerimentos e indicações relacionados à temática. O assunto também é tratado em outras comissões, a exemplo da audiência pública promovida pela Comissão de Mineração e Energia, que abordou o papel da mineração na transição energética para a descarbonização global. Constata-se, assim, a existência de mecanismos específicos voltados à mudança climática, bem como sua abordagem transversal em diferentes instâncias legislativas.</t>
  </si>
  <si>
    <t>O TCE-PA realizou auditoria sobre recursos hídricos, na qual uma das questões avaliou a interface do objeto fiscalizado com as mudanças climáticas. Posteriormente, no âmbito da análise das Contas de Governo, o achado resultou em recomendação expressa ao Governo do Estado: "Que a Semas considere as mudanças climáticas no planejamento da gestão de recursos hídricos, em especial, quando da emissão de Outorga de Direito de Uso de Recursos Hídricos, haja vista as especificidades das regiões do estado". Essa recomendação foi monitorada nos exercícios de 2023 e 2024, sendo que, neste último, foi reformulada para: "Que a Semas integre as ações relacionadas às mudanças climáticas ao planejamento da gestão de recursos hídricos, especialmente nos processos de outorga de direito de uso de recursos hídricos, considerando as especificidades regionais e os efeitos da variabilidade climática". Em 2023, o TCE-PA também realizou levantamento sobre a gestão florestal no estado, definindo três questões de auditoria, dentre as quais: "Quais são os programas e ações conduzidos pela Semas e pelo Ideflor-Bio com objetivos de redução de impactos e efeitos nas causas das mudanças climáticas, com enfoque nas emissões de GEE por conversão de uso do solo no bioma Amazônia?". Quanto ao Controle Interno, a Controladoria Geral do Estado (CGE) informou não ter realizado auditorias com foco em mudanças climáticas, nem possuir, até o presente momento, planejamento para tal.</t>
  </si>
  <si>
    <t>"O Tribunal de Justiça do Estado do Pará (TJPA) implementou três das cinco medidas previstas no art. 6º da Resolução CNJ nº 433/2021, contemplando a temática ambiental na formação e no aperfeiçoamento de magistrados(as) e servidores(as), bem como na capacitação contínua em direito ambiental  -  embora não tenha sido identificada a utilização de ferramenta tecnológica e/ou inovadora nesse processo. Adicionalmente, dispõe de ferramenta eletrônica de informação geográfica para planejamento e atuação estratégica na execução da política judiciária ambiental, por meio do Painel de Litígios Climáticos do TJPA. As demais medidas encontram-se em fase de implementação, destacando-se: a) a criação, em junho de 2025, de grupos de trabalho para definição dos requisitos necessários à implantação do Núcleo Especializado na Temática Ambiental (NAT Ambiental)</t>
  </si>
  <si>
    <t>A Política Estadual de Enfrentamento às Mudanças Climáticas do Estado de Pernambuco (PEEMC) foi instituída através da Lei nº 14.090/2010. 
O texto legal estabelece conceitos, objetivos (geral e específicos), além de estratégias de mitigação e adaptação distribuídas em 13 (treze) temáticas específicas: Energia
A lei também estabelece os "Instrumentos da PEEMC": Plano Estadual de Mudanças Climáticas
Além disso, o normativo institui o "Sistema Estadual de Enfrentamento às Mudanças Climáticas" e seus órgãos: Conselho Estadual de Meio Ambiente (CONSEMA)
Portanto, o Estado conta com um marco legal e regulatório para estruturar e coordenar suas ações de enfrentamento às mudanças climáticas.</t>
  </si>
  <si>
    <t>A Política Estadual de Enfrentamento às Mudanças Climáticas do Estado de Pernambuco (PEEMC), de 2010, estabelece que "O Estado deverá implementar Projetos de Mitigação de Emissões de Gases de Efeito Estufa, nos termos do Protocolo de Quioto ou orientados para a compensação de emissões, de acordo com as premissas aprovadas no âmbito federal". (art. 30, caput) 
Compete ao Fórum Pernambucano de Mudança do Clima - Decreto nº 48.661/2020 - acompanhar e apoiar a implementação da PEEMC e do Plano Estadual, em articulação com a Política e o Plano Nacional de Mudanças Climáticas.
O Plano de Descarbonização para o estado de PE (PDPE), de 2022, tem por objetivo elaborar uma estratégia para a descarbonização da economia pernambucana até 2050 alinhada ao contexto nacional, apontando metas, prazos e ações para mitigação das emissões de GEE no estado.
Portanto, sob os critérios do Painel ClimaBrasil, pode-se considerar que a Política Estadual possui aderência e sintonia à Política Nacional sobre Mudança do Clima - PNMC, desde seus conceitos, objetivos e diretrizes. Também percebe-se coerência entre as metas do Estado, estabelecidas no PDPE, e a meta nacional, estabelecida através da Contribuição Nacionalmente Determinada - NDC, ambas buscando atingir a neutralidade de emissões de GEE até 2050, conforme determina o Acordo de Paris.</t>
  </si>
  <si>
    <t>"A Política Estadual de Enfrentamento às Mudanças Climáticas do Estado de Pernambuco (PEEMC) estabelece através dos ""Objetivos Específicos"", art. 3º, IX, a elaboração de ""planos de ação que contribuam para mitigação ou adaptação aos efeitos adversos das mudanças climáticas nos diferentes níveis de planejamento estadual e municipal"". Prevê estratégias de mitigação e de adaptação em 13 setores específicos.
O Plano de Descarbonização para o estado de PE (PDPE) estabelece estratégias para a descarbonização da economia pernambucana até 2050 alinhada ao contexto nacional, apontando metas, prazos e ações para mitigação das emissões de GEE no estado.
O Plano Plurianual do Estado de Pernambuco, 2024/2027, elaborado sob a coordenação da Secretaria de Planejamento, Gestão e Desenvolvimento Regional prevê, através do objetivo estratégico ""IV - Desenvolvimento Sustentável"", programas, objetivos e ações relacionadas às mudanças climáticas e seus impactos.
Portanto, pode-se constatar, sob os critérios da Plataforma ClimaBrasil, que há propositada integração entre a PEEMC, através de seus objetivos, diretrizes e estratégias de mitigação e adaptação às mudanças climáticas</t>
  </si>
  <si>
    <t>A Política Estadual de Enfrentamento às Mudanças Climáticas do Estado de Pernambuco (PEEMC), Lei nº 14.090/2010, institui através do Capítulo V o "Sistema Estadual de Enfrentamento às Mudanças Climáticas", os órgãos e entidades que o integram e algumas competências gerais. São eles: i) o Conselho Estadual de Meio Ambiente - CONSEMA
No âmbito do Poder Executivo Estadual, compete à SEMAS-PE coordenar a formulação, execução, avaliação e atualização da Política Estadual de Meio Ambiente e Sustentabilidade
Portanto, à luz dos critérios do Painel ClimaBrasil, pode-se considerar que há, sim, uma estrutura governamental formalizada, atuante e transversal no âmbito do Estado de Pernambuco estabelecida para tratar do enfrentamento às mudanças climáticas.</t>
  </si>
  <si>
    <t>A SEMAS-PE responsabiliza-se por coordenar a formulação, execução, avaliação e atualização da Política Estadual de Meio Ambiente e Sustentabilidade
Ao Fórum Pernambucano de Mudança do Clima, instituído pelo Decreto nº 48.661/2020, compete acompanhar e apoiar a implementação da Política e do Plano Estadual para o Enfrentamento das Mudanças Climáticas, em articulação com a Política Nacional de Mudanças Climáticas e com o Plano Nacional (art. 2º, I). Também compete ao Fórum, acompanhar e monitorar a implementação de políticas públicas setoriais observando sua eficácia na redução das emissões e sequestro de gases de efeito estufa (art. 2º IX). 
Ao Poder Executivo, através da SEMAS-PE, compete a publicação de relatório contendo inventários de emissões antrópicas por fontes, e de remoções por sumidouros, de gases de efeito estufa de todas as atividades relevantes existentes no Estado de Pernambuco, bem como informações sobre as medidas executadas para mitigar e permitir adaptação à mudança do clima (PEEMC, art.24, caput).
Portanto, sob os critérios do Painel ClimaBrasil, pode-se constatar que as responsabilidades de liderar, coordenar, implementar, monitorar e dar transparência às respostas acerca das mudanças climáticas encontram-se definidas no estado.</t>
  </si>
  <si>
    <t>A Secretaria de Meio Ambiente, Sustentabilidade e de Fernando de Noronha (SEMAS-PE) é órgão da Administração Direta do Poder Executivo Estadual responsável pela formulação, coordenação, execução e fiscalização das políticas públicas voltadas à proteção ambiental, ao desenvolvimento sustentável e à gestão territorial do arquipélago de Fernando de Noronha. 
Sua estrutura organizacional possui a Gerência Geral de Mudanças Climáticas (GGMC), vinculada à Secretaria Executiva de Sustentabilidade (SESU), esta diretamente ligada à direção da pasta. 
A direção da SEMAS-PE, por sua vez, subordina-se diretamente à Chefe do Executivo estadual segundo a estrutura administrativa do Poder Executivo Estadual, de acordo com a Lei nº 18.139, de 18 de janeiro de 2023. 
A equipe técnica da GGMC é qualificada, capacitada e possui experiência na elaboração e execução de projetos, segundo afirmou a própria SEMAS-PE através do Ofício nº 06/2025, de 29/07/2025. Estima-se, portanto, ser capaz de tomadas de decisão com base em evidências relacionadas às mudanças do clima.
Portanto, sob os critérios da Plataforma ClimaBrasil, pode-se concluir que as respectivas lideranças estaduais possuem posições hierárquicas definidas, ordenadas e capazes de mobilizar os demais órgãos e entidades do governo, bem como para orientar e coordenar as respostas relativas às questões relacionadas à mudança do clima no estado de Pernambuco.</t>
  </si>
  <si>
    <t>A PEEMC prevê nos "Obj. Específicos" instituir, no âmbito do ZEE, indicadores ou zonas que apresentem áreas de maior vulnerabilidade às mudanças climáticas e medidas compatíveis com essa situação (Art. 3º, X).
Dentre as medidas relativas à seção "Oceano e Gestão Costeira", está "incentivar e implementar ações de monitoramento contínuo e integrado para manutenção e prevenção de riscos em zonas costeiras e ilhas oceânicas".(PEEMC, art.17,III)
Projeto "Estratégias de Adaptação aos Riscos Costeiros e Marinhos" busca identificar áreas costeiras críticas para projetos de intervenção, restauração e requalificação com medidas adaptativas e de gestão de risco.  
PEEMC prevê a criação de Núcleos de Adaptação às Mudanças do Clima e Gestão de Riscos nas regiões do Estado (art.37). Também é prevista a instalação de sistema de previsão de eventos climáticos extremos e de alerta rápido, além de parcerias com órgãos de previsão do tempo, de forma a facilitar a entrega, interpretação e aplicação dos dados no gerenciamento de riscos climáticos, bem como disponibilização de informação sobre mudanças climáticas através de bases regionais acessíveis pela internet e disponíveis à sociedade (PEEMC, art.39, caput, I, II e III).
SEPDEC iniciou em 2023 mapeamentos de riscos hidrológicos e geológicos, utilizando metodologia (GIDES) do Serviço Geológico do Brasil, e seguindo critérios de ocorrência de eventos passados. De 2023 a 2025, 158 mapeamentos de áreas de risco em 27 municípios.</t>
  </si>
  <si>
    <t>A Política Estadual de Enfrentamento às Mudanças Climáticas do Estado de Pernambuco (PEEMC) prevê a elaboração de planos de ação que contribuam para mitigação ou adaptação aos efeitos adversos das mudanças climáticas nos diferentes níveis de planejamento estadual (art. 3º, IX). 
O Plano Plurianual em vigor (2024-2027) identifica o Estado de Pernambuco como uma região altamente vulnerável aos efeitos das mudanças climáticas. Segundo o PPA, "Cerca de 88% do território do Estado de Pernambuco é composto por uma região semiárida, e Recife é uma das capitais mais ameaçadas do mundo devido às mudanças climáticas". Considera, ainda, o elevado grau de vulnerabilidade ambiental de sua faixa litorânea, classificada pelo Painel Intergovernamental de Mudanças Climáticas (IPCC), como uma prioridade de alcance global.
Segundo a SEMAS-PE, o Plano Estadual de Adaptação e Resiliência Climática (PEAR-PE), previsto para 2026, está sendo construído com base em avaliações de risco climático, evidências científicas e alinhamento aos ODS e ao Acordo de Paris. Plano prevê mecanismos de monitoramento, avaliação e revisão periódica.  
Apesar dos instrumentos de planejamento mais relevantes do estado contemplarem os riscos climáticos, deve-se ponderar a necessidade de atenção ao acompanhamento do PPA 2024-2027, especialmente no que concerne aos programas e ações específicas voltadas ao enfrentamento das mudanças climáticas e seus impactos ambientais, sociais e econômicos.</t>
  </si>
  <si>
    <t>Ao Conselho Estadual de Enfrentamento às Mudanças Climáticas - CEEM, segundo o Decreto nº 31.507/2008, compete coordenar a implementação e a execução da Política Estadual de Enfrentamento às Mudanças Climáticas e apoiar a articulação estadual. Integram o CEEM titulares de 13 pastas estaduais, dentre elas a Secretaria de Meio Ambiente, Sustentabilidade e Fernando de Noronha (SEMAS), além das secretarias de Administração, de Planejamento, de Defesa Social, de Saúde, da Fazenda, de Ciência, Tecnologia e Inovação, de Recursos Hídricos e de Saneamento, de Desenvolvimento Agrário, Agricultura, Pecuária e Pesca. 
Compete ao Fórum Pernambucano de Mudança do Clima, segundo o Decreto nº 48.661/2020, acompanhar e apoiar a implementação da Política e do Plano Estadual de Enfrentamento às Mudanças Climáticas em articulação com a Política Nacional e com o Plano Nacional de Mudanças Climáticas, e outras políticas públicas (art. 2º, I). A Plenária, instância máxima do Fórum Pernambucano de Mudança do Clima, conta com representante da SEMAS-PE, de mais 11 secretarias, além do Órgão Estadual de Meio Ambiente (CPRH), dentre outros representantes (art. 4º, I ao XV).
Portanto, à luz dos critérios do Painel ClimaBrasil pode-se constatar que existem, sim, mecanismos intragovernamentais ativos que possibilitam a coordenação horizontal entre os órgãos e entidades do Estado para o enfrentamento dos desafios relacionados às mudanças do clima em Pernambuco.</t>
  </si>
  <si>
    <t>O Pacto Global de Prefeitos pelo Clima e a Energia tem por objetivo fortalecer a capacidade dos municípios participantes para desenvolver inventários de emissões de GEE, apoiar a implementação de projetos e promover o intercâmbio de boas práticas relacionadas às ações climáticas.
No âmbito estadual, o projeto "Pernambuco Fortalecendo Capacidades Locais para a Ação Climática", coordenado pelo ICLEI - Governos Locais pela Sustentabilidade, reúne os municípios de Recife, Ouricuri, Limoeiro, Vitória, Camaragibe, Cabrobó, Cedro, Ferreiros, Ibimirim, Ibirajuba, Ipojuca, Jatobá, Serra Talhada e Sirinhaém.
Outro importante espaço de articulação é o Consórcio Nordeste, que possibilita o diálogo, a coordenação e a cooperação entre os governos estaduais da região. Sua atuação é voltada para o desenvolvimento de políticas conjuntas, a troca de experiências e o compartilhamento de práticas bem-sucedidas, incentivando a adaptação e replicação de iniciativas eficazes relacionadas ao enfrentamento das mudanças climáticas. 
A participação de Pernambuco no Consórcio NE é relevante, pois representa um instrumento de coordenação horizontal para o enfrentamento de desafios comuns e para o avanço dos debates sobre temas climáticos.
Entretanto, apesar da existência dessas iniciativas de coordenação e articulação intergovernamental, ainda não há evidências concretas sobre o protagonismo do estado, sua representatividade, adoção de políticas climáticas específicas e/ou resultados alcançados.</t>
  </si>
  <si>
    <t>SUDENE e UNIVASF ora participam da atualização dos Planos Estaduais de Combate à Desertificação em 10 estados do semiárido brasileiro. 
Também federal, o Fundo Clima é um importante instrumento de coordenação vertical de financiamento e articulação entre o governo federal e os estados. Trata-se de instrumento da Política Nacional e se constitui em um fundo de natureza contábil, vinculado ao MMA, com a finalidade de garantir recursos para apoio a projetos ou estudos e financiamento de empreendimentos voltados à mitigação das mudanças climáticas. 
No âmbito do Estado, a "Plataforma Clima PE" foi desenvolvida no propósito de fornecer ferramenta de fácil acesso e útil ao monitoramento da implementação da agenda climática nos municípios, identificando as cidades mais avançadas e mais fragilizadas, para subsidiar a atuação governamental em cada região.
Da mesma forma, o "Zoneamento das áreas suscetíveis à desertificação" pode subsidiar políticas públicas de sustentabilidade ambiental em todo o semiárido pernambucano, bem como "orientar o aprofundamento das pesquisas e das ações de prevenção e de combate à desertificação e de mitigação dos efeitos das secas, contribuindo para fortalecer capacidades adaptativas às mudanças climáticas".
Pode-se considerar, enfim, que há participação do estado e dos municípios em mecanismos de coordenação vertical, embora não seja possível atestar sobre a representatividade de cada ente, tampouco sobre suas participações efetivas e resultados.</t>
  </si>
  <si>
    <t>Decreto nº 31.507/2008, que instituiu o Comitê Estadual de Enfrentamento das Mudanças Climáticas - CEEM, previu elaboração do Plano Estadual para o Enfrentamento das Mudanças Climáticas precedida de consulta pública, com participação dos movimentos sociais, instituições científicas e demais interessados no tema. 
Adiante, já em 2020, através do Decreto nº 48.661/2020, que instituiu o Fórum Pernambucano de Mudança do Clima, ficou estabelecido o propósito de "facilitar a interação entre a sociedade civil e o poder público, com o objetivo de promover a internalização do tema nas esferas de atuação das Secretarias de Estado, autarquias e fundações, estaduais e municipais, prefeituras, setores empresarial e acadêmico, sociedade civil organizada e meios de comunicação social" (art. 2º, VI). 
A Plenária do Fórum Pernambucano (art. 4º, I/XV) é composta de membros, titulares e suplentes, do poder público e da sociedade civil. Além dos representantes governamentais, há assentos para 4 representantes de IES Públicas
Recentemente, o Governo do Estado anunciou a construção participativa do Plano Estadual de Adaptação e Resiliência Climática (PEAR-PE), em parceria com a UFPE, assegurando que a construção do plano, assim como a sua implementação, envolveria uma rede de pesquisadores e integrantes da comunidade científica da UFPE, em convênio com o Governo, através da SEMAS-PE.</t>
  </si>
  <si>
    <t>Compete ao Fórum Pernambucano de Mudança do Clima acompanhar e apoiar a implementação da Política e do Plano Estadual para o Enfrentamento das Mudanças Climáticas, em articulação com a Política Nacional de
Mudanças Climáticas e com o Plano Nacional de Mudanças Climáticas, e outras políticas. 
Na Plenária do Fórum (art.4º, incisos I ao XV) estão representantes da SEMAS-PE, de mais 11 secretarias e da CPRH. Além destes, há assentos para 4 representantes de Instituições de Ensino Superior públicas
O Plano Estadual de Adaptação e Resiliência Climática (PEAR) anunciado este ano e com previsão de entrega em 2026, será, segundo a SEMAS-PE, elaborado de modo participativo em parceria com pesquisadores e integrantes da comunidade científica da UFPE, e prevê participação da população em vulnerabilidade social e territorial. 
Pode-se considerar, portanto, que os mecanismos institucionais garantem estatutariamente a participação formal da sociedade civil, dos setores acadêmico e privado, potencializando soluções e ampliando o alcance das políticas climáticas.</t>
  </si>
  <si>
    <t>De acordo com a SEMAS-PE, o Projeto Pernambuco Agroecológico, em parceria com o Banco Mundial, tem como foco a priorização de grupos historicamente vulneráveis, como agricultores familiares, mulheres, jovens do meio rural, povos e comunidades tradicionais. Entre as ações previstas, destacam-se as capacitações em práticas de produção agroecológica e orgânica adaptadas às mudanças climáticas, bem como a implantação de infraestrutura resiliente voltada ao beneficiamento, armazenagem e comercialização de produtos da agricultura familiar. 
No lançamento do PEAR-PE, o governo ressaltou compromissos com a justiça climática e seus princípios: responsabilidade diferenciada
Entretanto, não há evidências sobre a instituição de indicadores ou zonas que apresentem áreas de maior vulnerabilidade às mudanças climáticas e medidas compatíveis no âmbito do ZEE, conforme previsto no art. 3º/X, da PEEMC.</t>
  </si>
  <si>
    <t>Recentemente, já em 2025, quando do lançamento do PEAR-PE, a então Secretária Estadual de Meio Ambiente, Ana Luíza Ferreira, afirmou que "Serão ouvidas as comunidades que estão na contramão das mudanças climáticas e que são injustamente atingidas mais fortemente, considerando as particularidades de seus territórios, através da ciência participativa como aliada nesse processo". 
Segundo a SEMAS-PE, o "PEAR-PE tem como diretriz a Justiça Climática e prevê o trabalho com e para a população em vulnerabilidade social e territorial. Para isso, serão realizadas oficinas participativas
em todas as 12 regiões de desenvolvimento do estado visando a representação da sua diversidade". A Secretaria assegura que o "PEAR-PE contempla a construção de mecanismos de consulta e representatividade para grupos historicamente marginalizados, como comunidades indígenas, quilombolas e lideranças comunitárias" e, ainda, que o plano foca a identificação de vulnerabilidades, medidas setoriais e fortalecimento da resiliência socioambiental frente às mudanças climáticas.  
Apesar das promessas no âmbito da construção do PEAR=PE, de ouvir as comunidades mais injustamente atingidas pelos impactos das mudanças climáticas, não há, até o momento, evidências sobre a formalização dos mecanismos de participação, sobre a representatividade dos grupos em estado de vulnerabilidade identificados, tampouco sobre as dinâmicas ou da efetiva possibilidade de influenciar decisões no PEAR por parte dessas comunidades.</t>
  </si>
  <si>
    <t>Apesar da PEEMC priorizar a participação social e da promessa, mais recente, de que no PEAR-PE, "serão ouvidas as comunidades que estão na contramão das mudanças climáticas e que são injustamente atingidas mais fortemente", não há, até o momento, evidências sobre a formalização de mecanismos de participação, tampouco se as estratégias, políticas e planos climáticos dedicarão, de fato, atenção especial aos grupos sociais e/ou econômicos de maior vulnerabilidade - pessoas de baixa renda, comunidades remotas, indígenas, marginalizados, mulheres, crianças, jovens, idosos, etc. - frente aos impactos das mudanças climáticas em seus territórios. 
No âmbito do PE Agroecológico, há orientação para a priorização de grupos vulneráveis, como agricultores familiares, mulheres, juventudes rurais, povos e comunidades tradicionais (indígenas/quilombolas), especialmente em áreas suscetíveis às mudanças climáticas, como o semiárido do estado. Segundo a SEMAS, "Embora a distribuição de benefícios esteja orientada pela equidade, ainda não há dados consolidados sobre o percentual da infraestrutura resiliente alocada em periferias urbanas ou áreas de morro, tampouco sobre o número total de agricultores treinados para adaptação às secas, limitando uma análise mais quantitativa da equidade".
Portanto, ainda não é possível assegurar que esses instrumentos garantirão uma perspectiva capaz de permitir benefícios e custos equitativos das soluções climáticas.</t>
  </si>
  <si>
    <t>Há instituídas no âmbito da Assembleia Legislativa do Estado (ALEPE) 18 comissões temáticas. A Comissão de Meio Ambiente, Sustentabilidade e Proteção Animal possui 5 membros titulares, presidente, vice e mais três parlamentares. Há 5 membros suplentes e uma agenda de reuniões semanais, segundo o sítio eletrônico da casa Legislativa. 
O colegiado da comissão responsabiliza-se pelas análises de projetos relacionados à política estadual do meio ambiente e demais legislações ambientais
Em 2024 a ALEPE instituiu Comissão Especial para contribuir, sob a égide da Política Nacional de Combate à Desertificação (Lei n° 13.153/2015), em ações voltadas ao enfrentamento da desertificação no estado.
Através de audiência pública e de visitas técnicas, a Comissão de Meio Ambiente tem discutido com gestores e a sociedade a situação das populações mais vulneráveis, preocupações com o desmatamento, soluções para redução dos efeitos dos eventos climáticos extremos e estratégias de prevenção a tragédias ambientais no estado. Semana de Meio Ambiente de 2024 evidenciou preocupação específica da Comissão com os impactos de fenômenos climáticos.
Enfim, a Comissão de MA possui escopo geral, mas tem atuado sobre o tema climático.</t>
  </si>
  <si>
    <t>Em 2023, o TCE-PE, em parceria com os TCEs do CE, RN, PB e SE, participou da Auditoria Operacional Regional Coordenada em Políticas Públicas de Combate à Desertificação. O objetivo principal da auditoria foi examinar, no âmbito desses 5 estados e à luz da Política Nacional - PNCD (Lei nº 13.153/2015) - as políticas e ações estaduais de combate à desertificação e de mitigação dos efeitos das secas, bem como outras políticas públicas transversais referentes à região do Semiárido e ao bioma Caatinga.
No âmbito do Estado, em 2024, realizou-se Auditoria Operacional com o objetivo avaliar o nível de governança da SEMAS-PE, responsável pela coordenação e execução da Política Estadual de Combate à Desertificação e de Mitigação dos Efeitos da Seca - Lei nº 14.091/2010. Nesta auditoria também foram analisadas outras políticas públicas estaduais inter-relacionadas à temática do combate à desertificação e mitigação dos efeitos das secas aplicadas na região do semiárido pernambucano e com impactos sobre o Bioma Caatinga.
Também em 2024, o TCE-PE realizou o "Diagnóstico das Capacidades Municipais em Proteção e Defesa Civil" no propósito de conhecer as capacidades e necessidades dos municípios do Estado no que se refere à proteção e defesa civil.
Sob os critérios do ClimaBrasil, portanto, pode-se constatar que o TCE-PE realizou, nos últimos 5 anos, auditorias relevantes e inter-relacionadas à temática das mudanças climáticas, muito embora estas não tenham sido o foco principal.</t>
  </si>
  <si>
    <t>Resolução CNJ nº 433/2021 institui a "Política Nacional do Poder Judiciário para o Meio Ambiente". Estabelece aos tribunais (art. 6º, I/III) a criação de núcleos especializados na temática ambiental nos centros judiciários de solução consensual de conflitos
No sítio eletrônico do TJPE, constam registros de boas práticas ambientais internas ao Poder, como a divulgação do "Inventário de Emissões de GEE/2024".
O TJPE tem demonstrado compromisso com a proteção de direitos ligados ao meio ambiente, à sustentabilidade e à efetividade da justiça ambiental, evidenciado, por exemplo, pela conquista do "Prêmio Juízo Verde 2025", na categoria Desempenho, concedido pelo CNJ em razão do volume de julgamentos de ações ambientais.
Entretanto, segundo a Comissão Gestora de Sustentabilidade do TJPE as boas práticas mencionadas estão relacionadas ao âmbito administrativo de sua atuação, não abrangendo competências de natureza jurisdicional previstas nos arts. 6º (I/III) e 7º, caput, da Resolução CNJ nº 433/2021. 
Até o momento, não foram identificadas no âmbito do TJPE evidências efetivas da implantação de núcleos especializados na temática ambiental relacionados à Politica Nacional do Poder Judiciário para o Clima e Meio Ambiente.</t>
  </si>
  <si>
    <t>O Estado do Piauí possui um marco legal sobre mudanças climáticas. Destaca-se a Lei Estadual nº
6.140/2011, que instituiu a Política Estadual sobre Mudança do Clima e Combate à Pobreza
(PEMCP). Essa lei estabelece princípios, diretrizes e instrumentos para mitigar emissões e
promover adaptação, incluindo a criação de programas e mecanismos como inventário de GEE,
mapa de vulnerabilidade climática, fórum estadual de mudanças climáticas e a previsão de futuro fundo
climático. Em 2024, a Lei nº 8.546/2024 atualizou a Lei 6.140/2011 para incluir, por
exemplo, um sistema jurisdicional de REDD+ (redução de emissões por desmatamento e
degradação), sinalizando avanço no arcabouço regulatório de economia de baixo carbono.
Além disso, em janeiro de 2025 foi sancionada a Lei nº 8.571/2025, que estabelece diretrizes
para elaboração do Plano Estadual de Adaptação às Mudanças Climáticas e Enfrentamento de
Catástrofes Ambientais. O Estado do Piauí conta com leis abrangentes e atualizadas voltadas especificamente à
mudança do clima, cobrindo tanto mitigação (desde a lei n° 6.140 de 2011, com aprimoramentos recentes em
2024) quanto adaptação (lei n° 8.571 de 2025).</t>
  </si>
  <si>
    <t>O marco legal piauiense está alinhado às estratégias nacionais e internacionais de clima. A Lei n° 8.571/2025 orienta explicitamente que o Plano de Adaptação observe a Política Nacional sobre Mudança do Clima (Lei Federal 12.187/2009) e a Política Nacional de Proteção e Defesa Civil (Lei 12.608/2012), integrando diretrizes federais.
Já a Lei n° 6.140/2011 foi elaborada em conformidade com acordos internacionais sobre o tema, e desde sua publicação o Estado do Piauí, por meio da SEMARH, assumiu a tarefa de compatibilizar desenvolvimento com proteção climática conforme o Acordo de Paris e as NDCs do Brasil.
O governo estadual inclusive definiu metas próprias de redução de emissões alinhadas à NDC brasileira (ex.: reduzir emissões líquidas para
7 MtCO - e em 2035 e atingir neutralidade até 2050), tendo aderido à Under2 Coalition em 2024 para reforçar esses compromissos subnacionais.
As políticas estaduais refletem consistente alinhamento com as estratégias nacionais (PNMC, PNA, PNPDEC) e compromissos globais (ex.: metas do Acordo de Paris), indicando integração vertical de objetivos.</t>
  </si>
  <si>
    <t>O Piauí vem integrando a agenda climática em seu planejamento estratégico e instrumentos de governo. A Lei 8.571/2025 exige
que o Plano de Adaptação integre a gestão do risco climático nos planos setoriais existentes e nas estratégias de desenvolvimento estadual e municipal.
De fato, o Plano Piauí 2030 (plano estratégico de desenvolvimento estadual) incluiu um eixo específico de "Meio Ambiente e Mudanças Climáticas", cujo objetivo é proteger os recursos naturais e o clima para as atuais e futuras gerações.
Nesse eixo, o governo identificou barreiras como a falta de instrumentos de ordenamento territorial e controle de uso do solo, e propôs ações estratégicas e programas
para superá-las - evidência da importância da variável climática no planejamento territorial. 
Ademais, a Política Estadual de Mudanças do Clima e Combate a Pobreza (PEMCP) de 2011 já determinava a inclusão de dotações orçamentárias específicas para ações de mudança do clima no orçamento estadual e incentivava critérios de sustentabilidade em políticas de compras públicas, demonstrando a intenção de transversalizar o tema do clima nas práticas governamentais desde então. 
Há mecanismos formais para integrar a mudança do clima em planos (PPA, Plano 2030, planos setoriais) e políticas (ex.: desenvolvimento territorial, compras sustentáveis), com implementação em curso (a integração está em andamento, porém ainda se consolidando).</t>
  </si>
  <si>
    <t>O Piauí instituiu estruturas formais de governança climática. Não há uma secretaria exclusiva de clima (a agenda fica no âmbito da Secretaria de Meio Ambiente e Recursos Hídricos - SEMARH), porém foi criado o Fórum Estadual de Mudanças Climáticas e Combate à Pobreza (FEMCCP), por meio do Decreto Estadual nº 22.126 de 05/06/2023. 
O Fórum atua como instância colegiada para discussão, promoção de conhecimento e coordenação das ações climáticas no estado, contando com Câmaras Técnicas permanentes dedicadas a temas específicos de mitigação e adaptação.
Além disso, a estrutura interna da SEMARH foi reforçada com uma Diretoria de Mudanças Climáticas.
Outros instrumentos previstos incluem a criação de um Fundo Estadual de Mudança do Clima (já autorizado em lei, pendente de regulamentação).
Existe uma estrutura governamental estabelecida (foro multissetorial e diretoria de mudanças climáticas na SEMARH)
Portanto, a classificação mais adequada é o Estágio Intermediário.</t>
  </si>
  <si>
    <t>As normas estaduais começam a atribuir responsabilidades claras na governança climática.
A SEMARH aparece como órgão líder na condução das políticas climáticas - por exemplo, a Lei 8.571/2025 em seu atigo 5° designa que o Plano de Adaptação será elaborado pelo "órgão estadual competente" em articulação com outros órgãos e setores. 
O Decreto 22.126/2023 do Fórum estabelece que a Secretaria de Meio Ambiente preside e coordena esse colegiado, contando com participação de diversos órgãos. Na prática, a secretaria tem atuado como principal liderança do tema, articulando a elaboração do Plano de Ação Climática Estadual e mobilizando a participação de instituições e sociedade.
O Fórum, por sua vez, envolve atores governamentais (outras secretarias como Defesa Civil, Planejamento,
Agricultura etc. são membros) e não-governamentais, garantindo distribuição de papéis na implementação e monitoramento das políticas climáticas. As Câmaras Técnicas do Fórum são responsáveis por desenvolver estudos e propor projetos técnicos em mitigação e adaptação, posteriormente submetidos ao plenário do Fórum - um arranjo que define atribuições técnicas e de coordenação horizontal.
A liderança do tema no Piauí está explicitamente a cargo da SEMARH e existe uma estrutura colegiada definindo funções de coordenação e suporte técnico.
Contudo, a definição detalhada de responsabilidades por setor e a institucionalização plena desses arranjos estão em fase inicial.</t>
  </si>
  <si>
    <t>A liderança institucional da agenda climática no Piauí está em nível elevado da estrutura governamental. A Secretaria Estadual de Meio Ambiente e Recursos Hídricos encabeça as iniciativas climáticas, reportando diretamente ao Governador. 
Além ter ua liderança técnica exercida pela Diretorias de Mudanças Climáticas. No Fórum Estadual de Mudanças Climáticas, a presidência fica com a SEMARH, e reuniões têm sido realizadas inclusive, desde sua criação, já foram realizadas 5 reunião (Até agosto de 2025).
A liderança climática está alocada em um cargo de primeiro escalão (secretário de Estado), contando com respaldo direto do chefe do Executivo e engajamento de alto nível. Isso demonstra prioridade política no tema.</t>
  </si>
  <si>
    <t>O Estado do Piauí reconhece a importância do mapeamento dos riscos climáticos e já produziu insumos nessa direção, embora ainda não tenha instituído o mapeamento de riscos. 
A Política Estadual de 2011 previu a elaboração de um "Mapa de Vulnerabilidade Climática do Estado do Piauí" como produto fundamental do Programa Estadual de Informações em Mudanças Climáticas, mas tal estudo ainda não foi produzido. 
Embora previsto, o mapeamento de riscos ainda não foi insituído no Estado do Piauí.</t>
  </si>
  <si>
    <t>O Estado do Piauí reconhece a importância do mapeamento dos riscos climáticos e já produziu insumos nessa direção, embora ainda não tenha instituído o mapeamento de riscos. 
A Política Estadual de 2011 previu a elaboração de um "Mapa de Vulnerabilidade Climática do Estado do Piauí" como produto fundamental do Programa Estadual de Informações
em Mudanças Climáticas, mas tal estudo ainda não foi produzido. 
Embora previsto, o mapeamento de riscos ainda não foi insituído no Estado do Piauí.</t>
  </si>
  <si>
    <t>O Piauí estruturou a coordenação intragovernamental para a agenda climática por meio do Fórum Estadual de Mudanças Climáticas, que reúne a SEMARH, órgãos setoriais, academia, setor produtivo, ONGs e representantes de povos e comunidades tradicionais. As Câmaras Técnicas são multidisciplinares, com técnicos de diversas secretarias conforme o tema (ex.: Adaptação envolve Defesa Civil, Saúde, Assistência Social). O colegiado inclui representantes de 16 secretarias, órgãos de saneamento e energia, instituições de pesquisa (públicas e privadas), setor produtivo, entidades socioambientais, povos indígenas e comunidades tradicionais. 
Em 2023, o governo lançou o programa ECO Piauí, integrando metas de vários órgãos sob o eixo "Piauí no Clima", com ações intersetoriais alinhadas a prioridades da LDO 2026. Há mecanismos formais de coordenação (Fórum e câmaras) e crescente participação de secretarias nas políticas climáticas. A estrutura está em consolidação, com reuniões regulares e atuação integrada em expansão.</t>
  </si>
  <si>
    <t>O Piauí busca cooperar horizontalmente com outros entes federativos em matéria climática. No âmbito regional, o estado integra o Consórcio Nordeste, o qual criou um Comitê Científico de Monitoramento do Clima e vem discutindo uma agenda climática conjunta para os 9 estados nordestinos. Os governadores do Nordeste, inclusive o do Piauí, têm atuado de forma articulada - exemplo: assinaram em 2019 a Carta dos Governadores do NE sobre Mudança do Clima e em 2023 participam coletivamente do projeto Sertão Vivo (resiliência no semiárido) sob coordenação do Consórcio. 
No plano internacional subnacional, o Piauí aderiu à Under2 Coalition em 2024, passando a colaborar em uma rede global de governos estaduais comprometidos com metas climáticas ambiciosas. Essa adesão implica troca de experiências e possíveis parcerias entre estados de diferentes países em projetos de baixo carbono. Adicionalmente, a SEMARH/PI é membro da ABEMA (Associação Brasileira de Entidades Estaduais de Meio Ambiente), fórum nacional onde secretários estaduais discutem pautas ambientais e climáticas em conjunto - contribuindo para posições coordenadas em âmbito federal (como nas reuniões preparatórias da COP). Existe cooperação horizontal do Piauí com outros governos subnacionais, notadamente via Consórcio Nordeste e
redes como Under2. Esses mecanismos ainda estão em desenvolvimento (projetos regionais como
o Sertão Vivo estão no início da implementação), mas já denotam engajamento cooperativo.</t>
  </si>
  <si>
    <t>A coordenação vertical entre estado, municípios e União vem sendo fortalecida. A Lei n° 8.571/2025 exige que o Plano de Adaptação estadual seja elaborado com participação municipal e integre estratégias nos dois níveis. O Piauí apoia prefeituras na elaboração de planos locais, como o de Teresina, desenvolvido com dados e apoio técnico estaduais, que também sediou a plenária regional do Plano Clima Participativo nacional. Com a União, o estado participa de fóruns nacionais coordenados pelo MMA, esteve presente nas plenárias do novo Plano Nacional de Clima e integrará a Câmara de Articulação Interfederativa do CIM, para alinhar ações federais, estaduais e municipais. Executa projetos federais, como capacitações da Defesa Civil Nacional no uso do S2ID, e mantém cooperações internacionais, via ICLEI e CDP, para capacitar municípios em inventários e governança climática multinível. A articulação está em progresso, com diretrizes legais e ações concretas, mas ainda em amadurecimento, dependendo da efetividade do fórum interfederativo e da adesão dos municípios menores.</t>
  </si>
  <si>
    <t>O Piauí institucionalizou mecanismos de participação social e Combate à Pobreza, através do mencionado fórum de mudanças climáticas criado por decreto em 2023, que tem por finalidade "promover a discussão (...) dos fenômenos globais decorrentes da mudança do clima". Esse Fórum é multissetorial, com participação de órgãos públicos, sociedade civil, setor privado e academia. O decreto do Fórum prevê Câmaras Técnicas com membros de diferentes setores e um plenário onde as decisões são tomadas com controle social. A estrutura do Fórum retoma iniciativa anterior (havia um fórum estabelecido em 2007, agora revitalizado e atualizado pelo decreto 22.126/2023 ). Além do Fórum, o estado realiza audiências públicas quando da criação de políticas climáticas - por exemplo, em junho de 2023 a ALEPI sediou audiência pública de lançamento do Fórum climático com presença de ONGs, Ministério Público, OAB e academia. Na elaboração do Plano de Adaptação (Lei n° 8.571/25), a participação do Fórum Estadual é expressamente mencionada como meio para incluir a sociedade no processo, específicos para mudanças climáticas. O principal é o Fórum Estadual de Mudanças Climáticas Existe um mecanismo formal e ativo de participação que se reúne regularmente (já realizou pelo menos cinco reuniões até agosto de 2025) e integra diversos segmentos da sociedade no debate climático, atendendo ao critério de participação institucionalizada.</t>
  </si>
  <si>
    <t>"O mecanismo de participação do Piauí conta com representação plural. Nas reuniões do Fórum e eventos relacionados, verificou-se presença de academia (professores universitários e pesquisadores participaram do Fórum, como reitor do IFPI e docentes da UESPI ), sociedade civil organizada (ex.: a Ordem dos Advogados do Brasil - OAB/PI, por meio de sua comissão de direito ambiental, esteve presente</t>
  </si>
  <si>
    <t>A Lei n° 6.140/2011 incorporou como um de seus princípios o "combate à pobreza, priorizando as comunidades mais vulneráveis e menos favorecidas na aplicação de recursos e medidas de adaptação". Ou seja, desde 2011 a política climática estadual enfatiza atenção especial a populações de baixa renda e alta vulnerabilidade, mas não há um mapeamento publicados dessas pessoas que estão em siuação de vulnerabilidade climática, nem são apresentados outros tipos de fatores. Devido a ausência de mapeamentos de grupos em situação de vulnerabilidade climática, a avaliação é de um estágio ainda sem progresso.</t>
  </si>
  <si>
    <t>A Lei n° 6.140/2011 incorporou como um de seus princípios o "combate à pobreza, priorizando as comunidades mais vulneráveis e menos favorecidas na aplicação de recursos e medidas de adaptação" . Ou seja, desde 2011 a política climática estadual enfatiza atenção especial a populações de baixa renda e alta vulnerabilidade, mas não há um mapeamento publicados dessas pessoas que estão em siuação de vulnerabilidade climática, nem são apresentando outros tipos de fatores. Devido a ausência de mapeamentos de grupos em situação de vulnerabilidade climática não tem ocorrido participação de grupos vuneráveis no processo de decisão, assim, a avaliação é de um estágio ainda sem progresso.</t>
  </si>
  <si>
    <t>A política climática do Piauí tem viés explícito de equidade socioambiental. A Lei 6.140/2011, ao integrar mudança do clima e combate à pobreza, determina que ações combinem mitigação/adaptação e redução das desigualdades, priorizando comunidades vulneráveis e assegurando transição justa. O Protocolo Eco Piauí prevê metas como erradicação de lixões e incentivo a cooperativas de catadores, gerando benefícios ambientais e sociais. O Programa Estadual de Pagamento por Serviços Ambientais remunera comunidades tradicionais (ribeirinhos, agricultores familiares, quilombolas) por conservação e uso sustentável. Há ações de comunicação acessível, como campanhas (Junho Verde), palestras em escolas e universidades e notícias oficiais em linguagem simples, incluindo explicações didáticas sobre o S2ID no contexto de seca. A transparência é priorizada, com incentivo ao controle social. A Lei n° 6.140/2011 também institui o Programa de Educação em Mudanças Climáticas. Os marcos legais incorporam justiça climática e o Estado já aplica medidas como PSA e apoio a catadores, mas a ausência de mapeamento oficial de grupos vulneráveis limita o alcance das políticas equitativas.</t>
  </si>
  <si>
    <t>A Assembleia Legislativa do Piauí (ALEPI) possui estrutura para tratar de meio ambiente e, indiretamente, da mudança do clima, por meio da Comissão Permanente de Defesa do Consumidor e Meio Ambiente, que aprecia projetos da política ambiental. Essa comissão e outros colegiados já discutiram pautas climáticas, como na audiência pública de 2023 sobre a nova Política Estadual de Meio Ambiente, quando se abordou atualização normativa sob a ótica climática e a Defensoria Pública cobrou prevenção a desmatamentos e queimadas. A ALEPI aprovou leis relevantes, como a n° 8.546/2024 (REDD+) e a n° 8.571/2025 (Plano de Adaptação), e, na LDO 2026, parlamentares destacaram o compromisso com ações climáticas. Também acompanha a implementação de políticas, realizando audiências sobre o Plano Estadual de Resíduos Sólidos desde 2012 e participando de eventos nacionais, como a Frente Parlamentar Ambientalista. Apesar de não ter comissão exclusiva ou frente estadual sobre clima, a atuação legislativa é relevante e crescente, com espaço para aprofundamento.</t>
  </si>
  <si>
    <t>Não foram identificadas auditorias específicas sobre mudanças climáticas no Piauí. Até o momento, não há registro de auditorias já concluídas pelo TCE-PI com foco exclusivo em mudança do clima nos últimos 5 anos. 
Embora seja importante mencionar a atuação do Tribunal de Contas do estado do Piauí com a Comissão de Logística Sustentável, levantamentos e auditoria em Resíduos sólidos, abastecimento de água, esgotamento sanitário, drenagem, etc, o a análise desse item concentra-se em trabalhos com foco principal e explícito em mudanças climáticas. Em relação ao Controle Interno do estado, também não houve divulgações de auditorias voltadas as mudanças climáticas. O controle externo no Piauí ainda não produziu auditorias públicas específicas sobre políticas climáticas. 
Quanto ao controle interno, não há evidência de auditorias em mudanças climáticas.</t>
  </si>
  <si>
    <t>"O Judiciário do Piauí não possui varas ou turmas especializadas exclusivamente em mudança do clima, mas conta com varas ambientais ou com competência ambiental difusa, como a Vara dos Feitos da Fazenda em Teresina, que julga questões ambientais e de improbidade, e comarcas no interior que tratam crimes ambientais. O TJ-PI mantém o Núcleo Socioambiental (NUSA), voltado à sustentabilidade interna, sem função jurisdicional, e realiza eventos como a Semana do Meio Ambiente 2025, com foco em justiça climática. O Ministério Público Estadual possui o Centro de Apoio Operacional de Defesa do Meio Ambiente e promotorias especializadas, além de integrar projetos nacionais, como o Fórum Climático. Ainda não há jurisprudência local em mudança do clima</t>
  </si>
  <si>
    <t>Porto Alegre dispõe de um arcabouço legal abrangente e consistente voltado ao enfrentamento das mudanças climáticas. A cidade aprovou a Lei Complementar nº 872/2020, que institui a Política Municipal de Sustentabilidade, Enfrentamento das Mudanças Climáticas e Uso Racional da Energia, estabelecendo diretrizes, objetivos e metas para a mitigação das emissões de gases de efeito estufa, adaptação aos impactos climáticos e promoção do uso racional da energia. A legislação define competências institucionais, mecanismos de participação social e instrumentos de planejamento, implementação e monitoramento.
Complementarmente, em 2024, foi aprovada a Lei Complementar nº 1.016/2024, que criou o Escritório de Reconstrução e Adaptação Climática e o Fundo Municipal de Reconstrução e Adaptação Climática (FMRAC), instituindo mecanismos permanentes para viabilizar a reconstrução resiliente e a execução de medidas estruturadas de adaptação diante de eventos extremos.
Esse conjunto normativo fortalece a governança climática municipal, ao combinar planejamento estratégico, provisão de recursos financeiros e organização institucional, demonstrando maturidade na gestão do risco climático. Assim, Porto Alegre atende plenamente aos critérios do item G1A, com um marco legal e regulatório estruturado, coerente e funcional para enfrentar a crise climática local.</t>
  </si>
  <si>
    <t>Porto Alegre apresenta forte consistência com compromissos nacionais e internacionais de enfrentamento das mudanças climáticas. Desde 1997, integra o ICLEI - Governos Locais pela Sustentabilidade, participando de processos globais como o Urban-LEDS e congressos internacionais, além de ter aderido ao Pacto Global de Prefeitos pelo Clima e Energia (GCoM) e, em 2025, a uma iniciativa conjunta GCoM-C40 para implementação de ações climáticas de alto impacto. O município elaborou inventários de emissões conforme o protocolo GPC/IPCC, em alinhamento com a Política Nacional sobre Mudança do Clima (PNMC) e o Acordo de Paris.
Em 2022, o prefeito assinou a Declaração de Compromisso Climático, estabelecendo a meta de neutralidade de carbono até 2040 e reforçando a adesão explícita às metas do Acordo de Paris. A cidade também recebeu reconhecimento internacional com o certificado MCR2030/UNDRR, inserindo-se em redes de resiliência urbana promovidas pelas Nações Unidas, e mantém cooperação técnica com organismos multilaterais, como no Memorando de Entendimento firmado com ONU-Habitat em 2018.
Esse conjunto de compromissos, certificados e adesões demonstra convergência normativa, institucional e metodológica com agendas globais e nacionais, consolidando Porto Alegre em estágio avançado no item G1B.</t>
  </si>
  <si>
    <t>Porto Alegre dispõe de instrumentos robustos que integram a pauta climática de forma transversal e estruturada em seu planejamento estratégico e orçamentário. A minuta do Plano Diretor Urbano Sustentável (2025) incorpora diretrizes de resiliência urbana e climática, mitigação de riscos, mobilidade sustentável e infraestrutura verde. O Plano Plurianual 2022-2025 (Lei nº 12.865/2021) e a LDO 2025 preveem ações em saneamento, drenagem, defesa civil, resíduos sólidos, arborização e inclusão socioambiental.
Complementarmente, o município aprovou o Plano de Ação Climática de Porto Alegre (PLAC), que estabelece metas e ações detalhadas nos eixos POA Resiliente, Verde e Azul e Baixo Carbono, e a Lei Complementar nº 1.016/2024, que criou o Escritório de Reconstrução e Adaptação Climática e o Fundo Municipal de Reconstrução e Adaptação Climática (FMRAC), garantindo base institucional e financeira para a execução das medidas.
Esse conjunto normativo e programático assegura que a agenda climática esteja formalmente inserida nos principais instrumentos de gestão municipal, com metas específicas e financiamento dedicado, justificando a classificação em Estágio avançado.</t>
  </si>
  <si>
    <t>Porto Alegre dispõe de estrutura formal para a governança climática, com liderança atribuída à SMAMUS - Secretaria Municipal do Meio Ambiente, Urbanismo e Sustentabilidade. A Diretoria de Projetos e Políticas de Sustentabilidade da SMAMUS coordena o Plano de Ação Climática (PLAC) e gerencia a plataforma pública de monitoramento, conduzindo também o inventário de GEE e o reporte anual ao CDP (nota B em 2025).
A IN SMAMUS nº 004/2023 instituiu o GT para o PLAC, composto por representantes de diversas secretarias e órgãos municipais (mobilidade, saúde, educação, obras, habitação, DMAE, DMLU, entre outros), com funções de coleta de dados, formulação de estratégias e proposição de medidas de mitigação e adaptação. Finalizado do PLAC, em julho de 2025 foi publicada nova IN (17/07/25) e portaria designando o GT para monitorar o PLAC (22/07/25).
A Lei Complementar nº 1.016/2024 criou o Escritório de Reconstrução e Adaptação Climática e o FMRAC, conferindo atribuições de articulação intersetorial, planejamento e execução de ações de reconstrução e adaptação, com poder de requisitar apoio técnico a qualquer órgão municipal.
O Conselho Municipal do Meio Ambiente (COMAM) pautou e discutiu o PLAC em 2024, buscando alinhamento com outros planos estratégicos. Contudo, não há instância político-técnica com autoridade de coordenação transversal vinculada diretamente ao gabinete do Prefeito. Assim, conforme a metodologia do Painel ClimaBrasil, a classificação permanece "intermediário".</t>
  </si>
  <si>
    <t>O município atribui à SMAMUS a coordenação central das ações climáticas, por meio do Plano de Ação Climática (PLAC) e da plataforma municipal de monitoramento, garantindo mecanismos de transparência parcial. Em julho de 2024, a Lei Complementar nº 1.016/2024 instituiu o Escritório de Reconstrução e Adaptação Climática, com competência legal para coordenar, de forma transversal, ações de reconstrução e adaptação climática, requisitar apoio técnico de qualquer unidade da administração direta e indireta e estabelecer diretrizes gerais de atuação do Poder Público Municipal no tema. Embora essa criação represente um avanço na definição formal de responsabilidades, a estrutura é de caráter temporário (vigência até 31/12/2025) e não substitui a necessidade de institucionalizar a liderança climática de forma permanente. Persistem sobreposições pontuais, como evidenciado na Ata do COMAM de 29/08/2024, onde foi registrada a ausência de comunicação e interlocução com o CMDUA, indicando integração incompleta entre instâncias na fala do conselheiro José Renato de Oliveira Barcelos, que apontou "a falta de comunicação e de interlocução entre o Conselho Municipal de Desenvolvimento Urbano e Ambiental (CMDUA) e o COMAM, apesar de ambos tratarem de questões ambientais e serem presididos pelo mesmo secretário", defendendo que "não há o que justifique que não haver essa interlocução" e citando fundamento legal para a integração entre conselhos.</t>
  </si>
  <si>
    <t>Porto Alegre apresenta definição parcial das responsabilidades de liderança, coordenação, implementação, monitoramento e transparência das ações climáticas.
A SMAMUS, por meio da Diretoria de Projetos e Políticas de Sustentabilidade, exerce a coordenação técnica do Plano de Ação Climática (PLAC), liderando a elaboração do inventário de GEE, o reporte ao CDP e a manutenção da plataforma de monitoramento. A Instrução Normativa SMAMUS nº 004/2023 formaliza o Grupo de Trabalho Técnico intersetorial do PLAC, envolvendo secretarias e órgãos municipais, atribuindo papéis de coleta de dados, formulação de estratégias e proposição de medidas de mitigação e adaptação.
A Lei Complementar nº 1.016/2024 criou o Escritório de Reconstrução e Adaptação Climática, com competências para planejar, articular e executar ações de reconstrução e adaptação, mobilizando recursos e requisitando apoio técnico de qualquer órgão municipal. No entanto, não há instância político-técnica única, com autoridade formal e poder decisório transversal diretamente vinculada ao gabinete do Prefeito, o que gera dispersão de responsabilidades.</t>
  </si>
  <si>
    <t>Porto Alegre conta com mapeamento de riscos climáticos detalhado no Plano de Ação Climática (PLAC), elaborado em 2023, que identifica ameaças como inundações fluviais, deslizamentos, ondas de calor, secas e vetores de arboviroses, com projeções para 2030 e 2050, mapeadas georreferenciadas e cruzamento com vulnerabilidade socioeconômica. A cidade implantou o PoaClima, plataforma de monitoramento hidrometeorológico em tempo real, e, em 2025, colocou em operação novo sistema eletrônico de monitoramento e alerta climático, ampliando a capacidade de resposta. Também integra informações do CEMADEN e utiliza indicadores nacionais como o AdaptaBrasil, que classificam o município com ameaça e exposição muito altas.
Os estudos do PLAC foram revisados após a inundação de 2024, conforme registrado no item 2.1 do Relatório Final do PLAC (p. 19-20), em acompanhamento com o Instituto de Pesquisas Hidráulicas da UFRGS, o que reforça a incorporação de lições e dados recentes.</t>
  </si>
  <si>
    <t>Porto Alegre integra de forma consistente os riscos climáticos em seus principais instrumentos de planejamento. O Plano de Ação Climática (PLAC, 2023) apresenta avaliação detalhada de ameaças como inundações, deslizamentos, ondas de calor, secas e vetores de arboviroses, com projeções para 2030 e 2050 e mapas de vulnerabilidade socioeconômica. O Relatório de Análise de Riscos e Vulnerabilidades Climáticas (ARVC, 2024), desenvolvido em parceria com ICLEI, WayCarbon e Banco Mundial, atualizou cenários climáticos até 2050, com detalhamento por bairro, enquanto o Relatório do Serviço Geológico do Brasil (CPRM, 2022) setorizou áreas de risco geológico em escala municipal.
A Minuta do Plano Diretor (2025) incorpora explicitamente os riscos climáticos como diretriz de ordenamento territorial, propondo ações de prevenção, mitigação e adaptação, integradas à drenagem urbana, gestão de áreas de risco e proteção ambiental. De forma complementar, o Decreto nº 21.533/2022 aprovou o Plano de Contingências de Proteção e Defesa Civil e o Plano de Ações Emergenciais em Áreas de Muito Alto Risco, que estabelecem revisão anual, exercícios simulados e integração ao SINPDEC, assegurando a institucionalização da gestão de riscos. O PLACON 2025 detalha protocolos operacionais de resposta a eventos extremos (inundações, estiagens, ciclones, ondas de calor), articulando múltiplas secretarias e a Defesa Civil.</t>
  </si>
  <si>
    <t>Porto Alegre apresenta mecanismos formais e iniciativas práticas de coordenação horizontal intragovernamental no tema climático, porém ainda de forma fragmentada. A liderança técnica está sob responsabilidade da SMAMUS, que coordena o Plano de Ação Climática (PLAC) e instituiu, por meio da Instrução Normativa nº 004/2023, um Grupo de Trabalho Técnico intersetorial com participação de secretarias e órgãos como mobilidade, saúde, habitação, DMAE, DMLU e obras, visando integrar dados e estratégias de mitigação e adaptação. Em 2024, a Lei Complementar nº 1.016/2024 criou o Escritório de Reconstrução e Adaptação Climática, vinculado ao Gabinete do Prefeito, com competência legal para articular ações de reconstrução e adaptação junto a qualquer unidade da administração municipal, reforçando a capacidade de resposta e integração no curto prazo.
Apesar desses avanços, não há instância político-técnica permanente com autoridade decisória e poder de coordenação transversal para garantir a continuidade e institucionalização dessa articulação, o que limita a efetividade da integração entre setores estratégicos. Também foram identificadas falhas de interlocução entre conselhos relevantes, como o COMAM e o CMDUA, registradas em ata de 29/08/2024. Assim, conforme a metodologia do Painel ClimaBrasil, a classificação permanece como Intermediário.</t>
  </si>
  <si>
    <t>Porto Alegre participa ativamente de redes e coalizões nacionais e internacionais dedicadas à agenda climática, exercendo inclusive papéis de liderança. No âmbito internacional, consta em ata de Assembleia Geral Extraordinária do ICLEI - Governos Locais pela Sustentabilidade (18/12/2024), representada pela Diretora de Projetos e Políticas de Sustentabilidade, e recebeu carta oficial em 28/01/2025 confirmando sua associação desde 1997 e a cooperação em iniciativas como o PLAC e a COP29.
No plano nacional, a cidade esteve presente no 2º Encontro do Programa Cidades Verdes Resilientes (PCVR), com representação em painel sobre financiamento climático. Ademais, o prefeito Sebastião Melo assumiu em abril de 2025 a **1ª vice-presidência da Frente Nacional de Prefeitas e Prefeitos (FNP), tendo representado a entidade na abertura do 2º Encontro Cidades Verdes Resilientes em Brasília.
Essas evidências demonstram que Porto Alegre integra formalmente e participa ativamente de instâncias intermunicipais e coalizões multiescalares de governança climática, justificando a classificação em estágio avançado.</t>
  </si>
  <si>
    <t>Porto Alegre possui mecanismos formais de articulação com União e Estado em situações de risco e desastres climáticos. O Plano de Contingência Municipal (Decreto nº 21.533/2022) estabelece a integração ao SINPDEC, prevendo articulação direta para reconhecimento federal de calamidade e uso do S2ID, além de revisão anual e exercícios simulados. Em maio de 2024, o Decreto Municipal nº 22.647 declarou calamidade pública em alinhamento ao Decreto Estadual nº 57.596/2024, confirmando a coordenação entre os entes federativos. Essas evidências demonstram que o município participa efetivamente de mecanismos verticais de gestão de riscos e desastres, ainda que com foco predominante na Defesa Civil. A ausência de comprovação de participação contínua em fóruns permanentes de mudança do clima limita a classificação ao estágio intermediário.</t>
  </si>
  <si>
    <t>A LC nº 872/2020 - Política Municipal de Sustentabilidade, reconhece a participação popular como princípio e preve mecanismos como o Conselho Municipal de Meio Ambiente (COMAM), o Comitê de Mudanças Climáticas e Eficiência Energética e conferências municipais. O CMDUA assegura participação plural na revisão do PDDUA, tema diretamente relacionado à adaptação e mitigação climática. O Escritório de Reconstrução e Adaptação Climática e o FMRAC prevêem a promoção da participação social e cooperação com entidades externas, mas sem instâncias deliberativas formais para a sociedade civil em sua governança. O Plano de Comunicação e Engajamento do Plano de Ação Climática (PLAC) prevê o envolvimento da sociedade civil organizada, setores econômicos, academia e população geral não apenas na elaboração, mas também no acompanhamento e monitoramento da implementação de ações e metas. As atividades propostas incluem eventos públicos, instrumentos participativos e disponibilização de documentos para consulta e contribuição, visando manter o diálogo e fortalecer a governança climática. Contudo, essa previsão é metodológica e não formal.</t>
  </si>
  <si>
    <t>Em Porto Alegre, a representatividade de diferentes setores sociais e econômicos em políticas climáticas ocorre principalmente por meio de conselhos municipais mais amplos, como o Conselho Municipal de Meio Ambiente (COMAM) e o Conselho Municipal de Desenvolvimento Urbano e Ambiental (CMDUA). Embora exista previsão de um Comitê de Mudanças Climáticas e Eficiência Energética (Decreto Municipal nº 19.348/2016), não foram encontradas evidências de sua atuação efetiva. A Instrução Normativa SMAMUS nº 004/2023 criou um Grupo de Trabalho Técnico para apoiar a elaboração do Plano de Ação Climática (PLAC), prevendo a possibilidade de convite a especialistas e pesquisadores de instituições públicas e privadas, o que permitiu a inclusão de atores não governamentais na fase de formulação do plano. Essa participação, contudo, foi facultativa e restrita ao período de elaboração.
A IN SMAMUS nº 12/2025 atualizou procedimentos relacionados ao PLAC, mas não alterou a ausência de instâncias formais e permanentes de participação na implementação e monitoramento da política climática. Assim, a representatividade segue sendo pontual e não institucionalizada, correspondendo ao estágio inicial de acordo com os critérios do manual.</t>
  </si>
  <si>
    <t>Porto Alegre realizou, no âmbito do Plano de Ação Climática (PLAC), uma análise abrangente das vulnerabilidades sociais, atendendo integralmente aos elementos previstos no manual. O estudo, conduzido com metodologia reconhecida internacionalmente (IPCC 2021) e projeções de modelos climáticos globais (SSP3-7.0), vai além dos aspectos físicos e meteorológicos, integrando fatores econômicos, sociais, culturais e políticos. Foram mapeadas geoespacialmente ameaças climáticas como inundações, deslizamentos, ondas de calor e vetores de arboviroses, sobrepostas a dados censitários e indicadores socioeconômicos (IDHM, IDESE, IVS, ICV), identificando grupos mais vulneráveis, como população negra, idosos, pessoas de baixa renda e moradores de áreas de risco. A avaliação incorporou fatores de exclusão social e discriminação, bem como a análise da sensibilidade e da capacidade adaptativa, considerando a dependência de atividades econômicas sensíveis ao clima. Também incluiu perspectiva de justiça climática e equidade intergeracional. Os resultados identificaram as Regiões de Gestão do Planejamento e bairros mais afetados, com mapas temáticos por ameaça e grupo populacional, fornecendo base robusta para políticas inclusivas de adaptação e mitigação.</t>
  </si>
  <si>
    <t>Em Porto Alegre, a inclusão formal de grupos sociais e/ou econômicos vulneráveis no processo de tomada de decisão em políticas e planos climáticos foi observada apenas na fase de elaboração do Plano de Ação Climática (PLAC). A Instrução Normativa SMAMUS nº 004/2023 instituiu um Grupo de Trabalho Técnico (GT) para apoiar a formulação do PLAC, com representantes de órgãos municipais e possibilidade de convidar especialistas, pesquisadores e eventualmente representantes de grupos vulneráveis. Essa participação, contudo, foi facultativa, consultiva e restrita ao período de elaboração, sem previsão de continuidade na implementação.
A IN SMAMUS nº 12/2025 atualizou os procedimentos relacionados ao PLAC, mas não instituiu mecanismos permanentes de inclusão de grupos vulneráveis no processo de decisão. Conselhos existentes, como o COMAM e o CMDUA, não possuem representação direta de populações em situação de vulnerabilidade, limitando a efetividade da participação social. Assim, a inclusão no processo decisório segue restrita e pontual, enquadrando-se no estágio inicial segundo os critérios do manual.</t>
  </si>
  <si>
    <t>O Plano de Ação Climática de Porto Alegre (PLAC) incorpora uma perspectiva de equidade ao prever ações concretas e georreferenciadas voltadas a populações vulneráveis, como reassentamento seguro, ampliação de saneamento e abastecimento, reestruturação urbana-ambiental e programas de prevenção e educação em comunidades de risco. O Relatório Final da Revisão do Plano Diretor (2025) reforça diretrizes de equidade territorial e de priorização de investimentos em áreas menos favorecidas, além de prever prevenção de ocupações em áreas de risco e incentivo à infraestrutura verde-azul.
Apesar desse alinhamento, a aplicação dos critérios do manual evidencia limitações:
Metas, indicadores e recursos: o PLAC define algumas metas e indicadores, mas não há mecanismos normativos para provisionamento orçamentário específico para grupos vulneráveis.
Salvaguardas e compensações: há menções a reassentamento e geração de empregos verdes, mas inexistem protocolos formais, planos de transição ou mecanismos claros para integração e compensação de comunidades tradicionais.
Transparência e prestação de contas: prevê monitoramento e revisão periódica com participação social, mas não define canais de denúncia específicos nem garantias de consulta periódica aos grupos vulneráveis identificados.
Assim, embora haja perspectiva de equidade nos principais instrumentos, não são contemplados de forma robusta todos os grupos vulneráveis relevantes, o que posiciona o município no Estágio intermediário.</t>
  </si>
  <si>
    <t>A Câmara Municipal de Porto Alegre possui a Comissão de Saúde e Meio Ambiente (COSMAM), uma comissão permanente que trata de temas relacionados ao meio ambiente, incluindo mudanças climáticas, embora não de forma exclusiva. A atuação climática aparece de forma transversal, e a comissão realiza audiências públicas, debates e visitas técnicas que frequentemente abordam impactos ambientais urbanos, saneamento, inundações, arborização e eventos climáticos extremos - temas conectados às mudanças climáticas. Apesar de não haver uma comissão dedicada exclusivamente à pauta climática, a existência de uma comissão permanente que trata do meio ambiente, aliada à realização recorrente de atividades legislativas sobre o tema, justifica a classificação como estágio intermediário. A classificação não é "avançada" pois ainda faltam estrutura dedicada exclusivamente ao clima, o que promoveria maior transversalidade com outras comissões da Casa.</t>
  </si>
  <si>
    <t>Peças de auditoria ainda não publicadas</t>
  </si>
  <si>
    <t>Não se aplica ao município</t>
  </si>
  <si>
    <t>Porto Velho possui lei municipal específica de clima e atos regulatórios complementares:
Lei nº 2.273/2015: institui a Política Municipal de Mudanças Climáticas, Serviços Ambientais e Biodiversidade
Decreto nº 14.213/2016: institui o Fórum Municipal e o Comitê Técnico-Científico, com objetivos, composição multissetorial e câmaras temáticas. 
portovelho.ro.gov.br
Portaria SEMA nº 03/2025: formaliza a composição atual do Comitê Técnico-Científico para apoiar a elaboração do PMMC. 
portovelho.ro.gov.br
O conjunto normativo é abrangente e operacionaliza instâncias  -  por isso acima de "inicial".</t>
  </si>
  <si>
    <t>A Lei nº 2.273/2015:
Define metas quantitativas próprias de redução de emissões de GEE. Essas metas são coerentes com o espírito do Acordo de Paris, ainda que não haja uma correlação explícita com as Contribuições Nacionalmente Determinadas (NDCs) apresentadas pelo Brasil.
O texto não especifica a linha de base (ano de referência) nem detalha os setores emissores prioritários (como energia, agropecuária, transportes), o que limita a mensuração de alinhamento técnico.
Embora haja metas expressas de redução de GEE, o nível de detalhamento ainda é inferior ao exigido para plena compatibilidade metodológica com as metas nacionais. Logo, o município atende parcialmente a esse critério.
Conclusão: A Lei 2.273/2015 vincula expressamente a política municipal à UNFCCC e às legislações federal e estadual (art. 1º, parágrafo único) e o Decreto 14.213/2016 manda articular com o Fórum Brasileiro de Mudanças Climáticas e a Comissão Interministerial de Mudanças Climáticas (art. 3º, IV
Isso indica alinhamento formal às diretrizes nacionais (PNMC/PNA). Contudo, não localizamos documento de consistência (p.ex., matriz que relacione dispositivos locais às metas/linhas do PNA/PNMC) como pede o item B da Metodologia  -  o que limita a nota a "inicial".</t>
  </si>
  <si>
    <t>O manual de planejamento municipal reconhece que os instrumentos de planejamento como PPA, LDO e LOA devem estar integrados a outros planos setoriais, mas não há evidência de que a política de mudanças climáticas tenha sido incorporada de forma estruturada nesses instrumentos.</t>
  </si>
  <si>
    <t>Estrutura legal: Lei nº2.273/2015 institui a política municipal de mudança do clima e estabelece a SEMA como órgão responsável pela coordenação das ações climáticas.
Governança e atuação:
O Decreto nº14.213/2016 criou o Fórum Municipal de Mudanças Climáticas, implementando a governança prevista.
A Portaria nº 03/2025, emitida pela própria SEMA, estabeleceu o Comitê de Implementação da A3P, com atuação específica no tema climático, via o Departamento de Políticas Ambientais e Mudanças Climáticas (DGPA).
A transversalidade institucional é ampliada pela Agenda Ambiental na Administração Pública, articulada por SEMA e aplicada em várias secretarias e departamentos.
Financiamento: o Fundo Municipal de Meio Ambiente (FMMA), vinculado à direção da SEMA, financia projetos especificamente relacionados à mitigação e adaptação climática.</t>
  </si>
  <si>
    <t>"A Política Municipal de Mudanças Climáticas de Porto Velho (Lei nº - 2.273/2015) estabelece de forma clara as responsabilidades pela implementação das ações climáticas. A SEMA atua como órgão executor e coordenador da política</t>
  </si>
  <si>
    <t>A liderança da política climática no município de Porto Velho é exercida pela Secretaria Municipal de Meio Ambiente e Desenvolvimento Sustentável (SEMA). A secretaria lidera a formulação e coordenação das ações climáticas e preside o Comitê Técnico-Científico de Mudanças Climáticas, criado pela Portaria nº 03/2025 - GAB/SEMA. Este comitê reúne representantes técnicos e políticos da administração pública, da universidade (UNIR), de órgãos especializados (como o Censipam) e da sociedade civil, assegurando apoio técnico e articulação intersetorial.
A presidência do comitê pelo secretário da SEMA demonstra a centralidade política da pauta e sua inserção na alta direção do Executivo municipal, como reforçado por declarações públicas do prefeito por ocasião da instalação do comitê. Além disso, a composição mista do colegiado, envolvendo técnicos e gestores, fortalece a capacidade de coordenação da liderança, garantindo que as decisões estejam apoiadas em subsídios técnicos qualificados. 
Para alcançar "intermediário", faltam provas públicas de tração continuada: calendário e atas com deliberações, encaminhamentos vinculantes por secretaria, planos de trabalho e indicadores de implementação reportados com regularidade.</t>
  </si>
  <si>
    <t>Oo Plano Diretor (LC 838/2021) incorpora o eixo "Porto Velho Resiliente", reconhece eventos climáticos críticos (enxurradas, erosões e inundações), manda considerar estudos do CPRM/SIPAM e determina elaborar o Plano Municipal de Redução de Riscos (PMRR) e manter Plano de Contingência. Isso demonstra diagnóstico setorial básico e diretrizes para avaliação de risco. Falta, porém, evidência de uma avaliação municipal integrada de risco e vulnerabilidade climática (com método, cenários e mapas consolidados) já publicada e operando.</t>
  </si>
  <si>
    <t>Nos documentos públicos disponíveis, PPA 2022-2025, LDO e LOA mais recentes, não há programas orçamentários destinados explicitamente à adaptação ou mitigação de riscos climáticos. Não existem alocações claras nos instrumentos formais para responder aos riscos identificados. O município segue sem previsão orçamentária explícita de ações climáticas emergenciais ou adaptativas no PPA, LDO ou LOA. Tampouco existem mecanismos de gestão de riscos nesses instrumentos.
Em que pese a Defesa Civil municipal manter monitoramento (nível do Rio Madeira, pontos de desbarrancamento, interdições), elabora e atualiza Planos de Contingência (ex.: período chuvoso/"inverno amazônico"), não foi possível identificar um sistema municipal integrado de MRV de risco climático (indicadores, séries históricas, revisão periódica da avaliação de risco e painéis públicos consolidados).</t>
  </si>
  <si>
    <t>A Prefeitura de Porto Velho apresenta estrutura formal e ativa de governança climática com composição multissetorial, por meio do Fórum Municipal de Mudanças Climáticas e do Comitê Técnico-Científico, cujas reuniões vêm sendo realizadas com regularidade e participação de diferentes secretarias (como SEMA e SEMPOG), além de representantes da sociedade civil, universidades e centros técnicos.
Contudo, não foram localizadas evidências públicas que demonstrem, de forma inequívoca, a execução coordenada de políticas e ações climáticas por diversas secretarias, nem a existência de metas integradas ou indicadores intersetoriais que traduzam essa articulação em resultados práticos. A centralidade da SEMA na agenda climática ainda é predominante.</t>
  </si>
  <si>
    <t>Ainda que o município integre entidades como a Associação Rondoniense de Municípios (AROM), não há registro de articulação dessa instância com objetivos ou programas vinculados à mitigação, adaptação ou planejamento climático conjunto.
Também não se identificou adesão do município a redes climáticas como o ICLEI, a Rede Brasileira de Municípios para o Desenvolvimento Sustentável ou o Pacto Global de Prefeitos pelo Clima e Energia, o que indica um grau reduzido de interlocução com pares municipais em matéria ambiental.
Portanto, não foram encontradas evidências de que Porto Velho participe de forma ativa e sistemática de redes, consórcios, alianças ou fóruns intermunicipais com foco específico na agenda climática.</t>
  </si>
  <si>
    <t xml:space="preserve">Não há representante formalmente indicado para atuarem nos mecanismos mais relevantes, considerada a realidade local. </t>
  </si>
  <si>
    <t>Porto Velho instituiu formalmente um Fórum Municipal de Mudanças Climáticas (Decreto nº 14.213/2016), criando ali um espaço oficial para consulta sobre políticas climáticas, serviços ambientais e biodiversidade. Esse mecanismo está legalmente estabelecido, com atribuição expressa de convocar reuniões, receber contribuições da sociedade e orientar a elaboração de planos e regulamentos municipais.</t>
  </si>
  <si>
    <t>Embora o Fórum reúna titulares de várias secretarias (Meio Ambiente, Agricultura, Educação etc.), membros da Câmara, instituições acadêmicas e representantes de povos e comunidades tradicionais, ainda não há norma que detalhe quantitativa e qualitativamente a composição (percentuais mínimos, suplências, critérios de alternância). Essa ausência de regras claras sobre "quem e quantos" garante voz, mas impede afirmar que a representatividade é plena e equilibrada em todas as instâncias.</t>
  </si>
  <si>
    <t>O Plano Diretor de Porto Velho contempla ações de justiça climática com foco em mobilidade, saneamento, habitação e mudanças climáticas, visando mitigar desigualdades urbanas e ambientais. No entanto, não consideramos suficiente para indicar que grupos sociais e/ou econômicos em situação de vulnerabilidade foram identificados.</t>
  </si>
  <si>
    <t>O Decreto 14.213/2016 criou o Fórum Municipal e o Comitê Técnico-Científico, com composição multissetorial (secretarias, universidades, ONGs, órgãos ambientais, sociedade civil).
Há previsão de consulta e participação social, inclusive com o COMDEMA como instância correlata.
Contudo, faltam evidências de participação efetiva de grupos vulneráveis (povos indígenas, comunidades ribeirinhas, catadores, periferias urbanas) em reuniões regulares com deliberações documentadas.
 -  -  Resultado: "inicial", porque há instância criada, mas não há comprovação de representação ativa e voz vinculante desses grupos.</t>
  </si>
  <si>
    <t>No campo de resíduos e saneamento, o PMGIRS (revisto em 2024) prevê mobilização social e inclusão de catadores, além de diretrizes para melhorar a gestão e reduzir impactos em áreas vulneráveis.
O Plano Diretor exige que ocupações e obras em áreas de risco considerem impactos socioambientais, favorecendo a resiliência de populações expostas.
Porém, faltam indicadores e metas claras de justiça climática (quantos beneficiados, onde, com que impacto), bem como transparência ativa sobre distribuição de benefícios/adaptação.
 -  -  Resultado: "inicial"</t>
  </si>
  <si>
    <t>A Câmara Municipal de Porto Velho teve papel ativo na formulação da Lei nº 2.273/2015, que institui a Política Municipal de Mudanças Climáticas. Houve tramitação formal, pareceres das comissões e aprovação legislativa. No entanto, não há evidência de atuação continuada do Legislativo no acompanhamento, monitoramento ou revisão dessa política desde então, nem de participação ativa em discussões mais recentes sobre mudanças climáticas. Tampouco são identificadas comissões temáticas permanentes voltadas  à mudança do clima com atuação regular e sistemática.</t>
  </si>
  <si>
    <t>NA</t>
  </si>
  <si>
    <t>A Lei n.º 18.011/2014 estabeleceu a Política de Sustentabilidade e de Enfrentamento das Mudanças Climáticas no Recife. Em seu Artigo 7º, ficou estabelecido que, para a consecução dos objetivos da política delineada na presente lei, as metas de redução das emissões dos Gases de Efeito Estufa (GEE) serão definidas após a realização de inventário municipal. Tal inventário terá como base a projeção do volume de emissões e a avaliação dos cenários de desenvolvimento da cidade até o ano de 2020, conforme os tratados e acordos internacionais, as metas voluntárias estabelecidas pelo país junto à comunidade climática internacional e as normas pertinentes, editadas nas esferas federal, estadual e municipal. No seu art. 8º definiu que as metas de redução das emissões de GEE, bem como suas estratégias de mitigação e adaptação, serão estabelecidas em planos específicos.
Adicionalmente, o artigo 2º delineou as quatro finalidades da referida política
Diante do exposto, a Lei n.º 18.011/2014 configurou um arcabouço legal e regulatório abrangente, contemplando tanto a mitigação quanto a adaptação. Pelos fatos citados, confere ao item em questão, considerando os critérios da Plataforma Clima Brasil, uma classificação em estágio avançado.</t>
  </si>
  <si>
    <t>A Lei n.º 18.011/2014 que instituiu a Política de Sustentabilidade e de Enfrentamento das Mudanças Climáticas no Recife, em seu inciso II do parágrafo Único do art. 1º, estabelece que essa observará as disposições previstas na Lei Federal n° 12.187/2009 e na Lei Estadual n.º 14.090/2010, que, respectivamente, criaram a Política Nacional sobre Mudança do Clima e a Política Estadual de Enfrentamento às Mudanças Climáticas de Pernambuco.
No seu artigo 7º preceitua que, para a consecução dos objetivos da política delineada, as metas de redução das emissões dos Gases de Efeito Estufa (GEE) serão definidas após a realização de inventário municipal. Tal inventário terá como base a projeção do volume de emissões e a avaliação dos cenários de desenvolvimento da cidade, conforme os tratados e acordos internacionais.
O Plano Climático do Recife prevê ações de mitigação e adaptação de longo prazo e estabelece a meta de zero carbono para 2050, semelhante à prevista nacionalmente na Contribuição Nacionalmente Determinada (NDC).
Assim, o quadro Legal e Regulatório é compatível com os principais dispositivos federais, por apresentar metas de redução de emissões de GEE, bem como prazos e metas de adaptação harmônicas com as metas nacionais, e por seguir metodologias de inventário e reporte de emissões análogas às recomendadas pelo governo federal.
Pelos fatos expostos, classifica-se o item em estágio avançado.</t>
  </si>
  <si>
    <t>Pela metodologia do Painel do Clima Brasil, embora o arcabouço legal e regulatório possua grande relevância, este não se mostra suficiente sem a integração com instrumentos de planejamento orçamentário e com planos de mitigação e adaptação, a fim de assegurar que as ações sejam mais eficazes, duradouras e transversais.
Nesse sentido, destaca-se, inicialmente, que o Plano Plurianual (PPA) de 2022 a 2025 da cidade do Recife, no Eixo Estratégico: Meio Ambiente e Sustentabilidade, afirma que a proteção ambiental e a sustentabilidade dos ecossistemas são cruciais para combater as mudanças climáticas, as quais o Painel Intergovernamental sobre Mudanças Climáticas, em 2021, já apontou como irreversíveis e com tendência a se agravar nos próximos anos. Recife, por ser uma cidade costeira e de baixa altitude, é altamente vulnerável, enfrentando elevação do nível do mar, inundações, deslizamentos e erosão costeira. Para o seu enfrentamento, o Programa 1302 - Fortalecimento das Políticas Integradas de Sustentabilidade Ambiental, cita a proteção e expansão de áreas verdes
Ademais, O Plano Climático do Recife prever ações de mitigação e adaptação de longo prazo, inclusive a meta de zero carbono para 2050.
Diante do exposto e pela metodologia do clima Brasil, classifica o item em exame em estágio avançado.</t>
  </si>
  <si>
    <t>O Art. 10 da Lei n.º 18.011/2014 estabelece a competência do Poder Executivo Municipal para coordenar a Política de Sustentabilidade e de Enfrentamento das Mudanças Climáticas, a ser exercida por meio do órgão gestor ambiental, mediante um processo abrangente de participação da sociedade local e o envolvimento de todos os agentes públicos e privados, bem como dos organismos nacionais e internacionais.
No Art. 11, foram definidos os instrumentos institucionais para o cumprimento desta Lei, a saber: o Conselho Municipal do Meio Ambiente - COMAM
O Decreto n.º 27.243/2013, atualizado pelo Decreto n.º 34.494/2021, o COMCLIMA e GECLIMA serão compostos pelas mesmas 07 (sete) secretarias. Sendo esta ultima, acrescida de mais duas entidades públicas.
Diante dos dados supracitados, verificou-se que a Prefeitura do Recife detém uma estrutura governamental formal e devidamente internalizado de forma transversal nos diversos órgãos do ente para tratar das mudanças climáticas. Portanto, pelos critérios da Plataforma Clima Brasil, lhe confere uma classificação em estágio avançado.</t>
  </si>
  <si>
    <t>O Art. 10 da Lei n.º 18.011/2014 determinou que a coordenação da referida política, instituída por esta lei, compete ao Poder Executivo Municipal. Tal coordenação será exercida por meio do órgão gestor ambiental, mediante um processo abrangente de participação da sociedade local e o engajamento de todos os agentes públicos e privados, bem como dos organismos nacionais e internacionais.
Adicionalmente, o Decreto n.º 27.423/2013 (atualizado pelo Decreto n.º 34494/2021) definiu as responsabilidades do Comitê de Sustentabilidade e Mudanças Climáticas do Recife (COMCLIMA) e do Grupo de Sustentabilidade e Mudanças Climáticas (GECLIMA), designando a Secretaria de Meio Ambiente e Sustentabilidade como coordenadora de ambos.
Por fim, a Lei Municipal n.º 17.534/2009, que dispõe sobre o Conselho Municipal do Meio Ambiente da Cidade do Recife, e o Decreto Municipal n.º 25.209/2010, que aprova seu regimento interno, estabeleceram suas responsabilidades, sua composição e definiram o Secretário Municipal da pasta ambiental como seu Presidente.
Diante dos dados supracitados, nas legislações mencionadas, verificou-se que as responsabilidades dos órgãos destacados foram definidas, delineando a quem compete o papel de liderança e coordenação no enfrentamento da emergência climática. Além disso, não foram identificadas lacunas ou sobreposições relevantes. Portanto, pelos critérios da Plataforma Clima Brasil, esses atributos lhe conferem uma classificação em estágio avançado.</t>
  </si>
  <si>
    <t>A Lei n.º 18.011/2014 estabelece que a coordenação da Política de Sustentabilidade e de Enfrentamento das Mudanças Climáticas é de competência do Poder Executivo Municipal, a ser exercida por meio da Secretaria de Meio Ambiente e Sustentabilidade (art. 10).
Adicionalmente, o Decreto n.º 27.243/2013, atualizado pelo Decreto n.º 34.494/2021, atribui à Secretaria de Meio Ambiente e Sustentabilidade a coordenação do COMCLIMA, composto por sete secretarias. A mesma secretaria também coordena o GECLIMA, o qual é integrado pelas secretarias supracitadas, acrescidas de duas entidades públicas. A Lei Municipal n.º 17.534/2009 ainda define o Secretário Municipal da pasta ambiental como Presidente do Conselho Municipal do Meio Ambiente da Cidade do Recife (COMAM).
Diante do exposto, conclui-se que a Secretaria de Meio Ambiente e Sustentabilidade, órgão detentor de autoridade legal para liderar, orientar e coordenar as respostas municipais às mudanças climáticas, possui a capacidade de mobilizar diferentes setores, conta com uma composição mista (integrantes dos escalões político e técnico da administração pública) e dispõe de acesso ao chefe do executivo. Conforme os critérios da Plataforma Clima Brasil, tais atributos conferem a este item uma classificação em estágio avançado.</t>
  </si>
  <si>
    <t>Neste item, avalia-se a existência de um mapeamento dos principais riscos e vulnerabilidades relacionados às mudanças climáticas, fundamentado em evidências científicas e produzido ou atualizado nos últimos cinco anos pelo ente federativo.
A Prefeitura do Recife elaborou a "Análise de Riscos e Vulnerabilidades Climáticas e Estratégia de Adaptação do Município do Recife-PE" visando identificar e priorizar medidas concretas de adaptação às mudanças climáticas. Este estudo, baseado em análise de risco climático e considerando os horizontes temporais atual e futuro da cidade do Recife, foi concluído em novembro de 2019, não sendo identificada, nos sítios eletrônicos oficiais da prefeitura e de sua Secretaria de Meio Ambiente e Sustentabilidade (SMAS), a realização de uma análise subsequente sobre a mesma temática. Adicionalmente, ressalta-se que o Plano de Ação Climática de 2020 faz referência ao trabalho executado em 2019, confirmando, assim, a ausência de atualização nos últimos cinco anos de um estudo deste tipo.
A colaboração da WayCarbon, da CAF e do ICLEI nesta análise confere credibilidade científica ao trabalho em questão.
Diante do exposto, a Prefeitura do Recife possui um mapeamento de riscos e vulnerabilidades relacionados às mudanças climáticas, baseado em evidências científicas, embora não atualizado nos últimos 5 anos. Conforme os critérios da Plataforma Clima Brasil, tais atributos classificam-no em estágio intermediário.</t>
  </si>
  <si>
    <t>O Plano de Ação Climática da Cidade do Recife, elaborado em 2020 pela Prefeitura do Recife, utilizou os dados do estudo "Análise de Riscos e Vulnerabilidades Climáticas e Estratégia de Adaptação do Município do Recife", que abordou os seis riscos críticos para a cidade, identificados na análise supracitada: Inundações, Deslizamentos, Doenças Transmissíveis, Ondas de Calor, Seca Meteorológica e Aumento do Nível do Mar.
A integração dos dados da "Análise de Riscos e Vulnerabilidades da Cidade do Recife", referentes às mudanças climáticas, no "Plano de Ação Climática da Cidade do Recife", confere ao item em questão uma classificação em estágio avançado, conforme os critérios da Plataforma Clima Brasil.</t>
  </si>
  <si>
    <t>Pela metodologia do Clima Brasil, a coordenação intragovernamental é crucial para políticas climáticas transversais e contínuas, evitando que fiquem restritas a órgãos ambientais e garantindo estratégias abrangentes com a integração de soluções de múltiplos setores. Isso otimiza recursos e incorpora a resposta climática em todas as pastas governamentais relevantes.
O Decreto n.º 27.243/2013 (atualizado pelo Decreto n.º 34.494/2021) estabeleceu o Comitê de Sustentabilidade e Mudanças Climáticas do Recife - COMCLIMA e o Grupo Executivo de Sustentabilidade e Mudanças Climáticas - GECLIMA. Ambos são coordenados pela Secretaria de Meio Ambiente e Sustentabilidade (SEMAS) e contam com a participação de 9 órgãos e entidades municipais, entre secretarias, órgãos internos e autarquias. Essa configuração contida no Decreto garantiria a coordenação intragovernamental citada acima.
Contudo, conforme noticiado no sítio eletrônico da Prefeitura do Recife, uma das propostas aprovadas na 3ª Conferência Municipal de Meio Ambiente, evento promovido pela Secretaria de Meio Ambiente e Sustentabilidade, realizada nos dias 13 e 14 de dezembro de 2024, propunha a reativação do COMCLIMA. Mostrando assim que esse mecanismo não estava ativo em dezembro de 2024.
Pela metodologia do Painel Clima Brasil, a comprovação da inatividade recente do COMCLIMA, faz com que o item tenha uma classificação em estágio intermediário.</t>
  </si>
  <si>
    <t>A metodologia Clima Brasil ressalta que eventos climáticos extremos como enchentes, secas e queimadas afetam múltiplos municípios ou estados simultaneamente. A coordenação intergovernamental e a integração entre entes federativos são cruciais para respostas eficazes, alocação eficiente de recursos e troca de informações. Alianças entre cidades e estados promovem a troca de experiências, ampliam a representatividade e o acesso a recursos. 
Dentre as alianças desejáveis citadas pelo Painel Clima Brasil, destaca-se a ICLEI - Governos Locais pela Sustentabilidade. Frisou ser uma entidade reconhecida mundialmente por seu apoio a governos subnacionais na busca por melhorias na governança climática e ambiental, oferecendo suporte técnico, capacitação, intercâmbio de boas práticas e campanhas globais.
A Prefeitura do Recife formalizou aliança com a ICLEI nos seguintes estudos e planos: Plano Local de Ação Climática 2020 da Cidade do Recife
Assim, a parceria ativa da Prefeitura do Recife com a ICLEI garante ao item em questão uma classificação em estágio avançado.</t>
  </si>
  <si>
    <t>Conforme informações divulgadas no sítio eletrônico da Prefeitura do Recife, na seção pertinente à Secretaria de Meio Ambiente e Sustentabilidade, a Secretaria Executiva de Articulações Institucionais "desempenha um papel crucial na representação oficial da SMA em diversos fóruns de debate sobre a agenda ambiental, sustentabilidade, educação ambiental e mudanças climáticas. Sua atuação abrange desde órgãos públicos ambientais nas esferas federal (Ibama, ICMBio), estadual (CPRH, SEMAS) e municipal (Secretarias Municipais de Meio Ambiente) até importantes associações (AMUPE, ANAMMA, ADEMI), conselhos, comissões (CREA, CAU) e comitês de bacias hidrográficas (rios Capibaribe, Tejipió, Beberibe)". Assim, verifica-se que o ocupante desse cargo possui uma representação formalmente atribuída e a exigência de sua participação em reuniões e encontros sobre mudanças climáticas em diversas esferas da federação.
Não obstante, neste sítio em que são definidas as atribuições da Secretaria Executiva de Articulações Institucionais, não foram identificados dados que corroborem a efetiva participação do supracitado representante nos eventos mencionados na descrição do cargo.
Considerando os fatos supracitados, e ressaltando a ausência de evidências da participação do representante nas reuniões ou encontros que promovem a sua interação regular, atribui-se a este item, conforme os critérios da Plataforma Clima Brasil, uma classificação em estágio intermediário.</t>
  </si>
  <si>
    <t>Para o Clima Brasil, o envolvimento da sociedade civil, do setor privado e da academia é um elemento-chave para uma governança climática eficaz.
A Lei Municipal n.º 18.011/2014 do Recife estabelece, no art. 3º, inciso VII, o princípio da "participação popular e controle social", que visa à transparência e à criação de espaços para a atuação da sociedade civil na formulação, execução e fiscalização das políticas de sustentabilidade.
Assim, essa Lei criou mecanismos que permitem o envolvimento regular dos autores não governamentais, tanto para a concepção como para a implementação de políticas e ações relacionadas com as mudanças climáticas. 
A Secretaria de Meio Ambiente e Sustentabilidade promoveu, em dezembro de 2024, a 3ª Conferência Municipal de Meio Ambiente, com o tema "Emergência Climática: o desafio da transformação ecológica". O evento contou com mais de 590 inscritos, entre especialistas, gestores públicos, pescadores, em especial da Ilha de Deus e a população em geral, para discutir e aprovar propostas para o fortalecimento das políticas públicas ambientais. A realização desse evento evidencia que o inciso destacado da Lei Municipal apresentou efetividade. 
Contudo, não há evidências que houve resposta governamental no sentido de atender às propostas aprovadas nesta conferência.
Pelos dados acima e pela metodologia do Clima Brasil, a classificação desse item foi avaliada como estágio intermediário.</t>
  </si>
  <si>
    <t>Esse item avalia se a sociedade civil, o setor privado e o setor acadêmico estão representados formalmente nos mecanismos de participação.
O art. 3º, inciso VII, da Lei Municipal n.º 18.011/2014 do Recife estabelece o princípio da "participação popular e controle social" para promover a transparência e a atuação da sociedade civil na formulação, execução e fiscalização das políticas de sustentabilidade.
Na 3ª Conferência Municipal de Meio Ambiente, conforme notícia publicada no sítio eletrônico da Secretaria de Meio Ambiente e Sustentabilidade do Recife, os mais de 590 inscritos foram segmentados em grupos temáticos, os quais deliberaram sobre dez propostas prioritárias (duas por eixo). Subsequentemente, elegeram 60 delegados titulares (30 homens e 30 mulheres) e seus respectivos suplentes para a etapa estadual. A seleção dos delegados observou os critérios estabelecidos pelo Ministério do Meio Ambiente: 50% sociedade civil (mínimo de 1/5 de povos tradicionais/indígenas), 30% setor privado e 20% poder público, assegurando a pluralidade representativa.
Assim, os grupos de representação foram formados durante o evento, conforme o perfil dos participantes e critérios do Ministério do Meio Ambiente, em vez de uma convocação formal. Essa conduta reduziu a qualidade da representatividade não governamental. 
Pelos dados acima e pela metodologia do Clima Brasil, a classificação desse item foi avaliada como estágio intermediário.</t>
  </si>
  <si>
    <t>A metodologia do Painel Clima Brasil identifica grupos vulneráveis às mudanças climáticas analisando fatores econômicos, sociais, culturais e políticos, além dos geofísicos. Além da renda, deve-se observar gênero, raça, etnia, geração (crianças e idosos), condição física (pessoas com deficiência) e pertencimento a comunidades tradicionais (indígenas, quilombolas, ribeirinhos)
A Análise de Riscos e Vulnerabilidades Climáticas e Estratégia de Adaptação do Recife identificou cinco ameaças principais: inundações, seca, ondas de calor, doenças e deslizamentos. Afirma que o risco de inundação em Recife concentra-se nas regiões centrais, ao longo dos rios Capibaribe e Beberibe, sendo Mustardinha, Campina do Barreto e IPSEP as áreas mais críticas. Quanto à seca climática, moradores de baixa renda dependentes do sistema público são os mais vulneráveis, especialmente nos bairros Macaxeira, Alto José Bonifácio, Campina do Barreto e Mustardinha.
Doenças do Aedes aegypti e ondas de calor impactam populações vulneráveis, especialmente crianças e idosos. Deslizamentos afetam moradores de áreas de risco (RPA 2 e 6), agravados pelo déficit habitacional
Do exposto acima, os grupos sociais são citados de forma geral, sem a devida identificação dos seus integrantes, conforme definido pela Metodologia do Clima Brasil, descrita no parágrafo inicial, e sem definir as suas necessidades específicas. Diante disso, confere ao item em questão, uma classificação em estágio inicial.</t>
  </si>
  <si>
    <t>Conforme a metodologia do Painel Clima Brasil, faz-se imperativo assegurar a efetiva inclusão de grupos vulneráveis no processo decisório durante a formulação de políticas climáticas, mediante o estabelecimento de mecanismos de participação e representatividade que considerem as realidades sociais e culturais de cada comunidade.
Não obstante, na abordagem metodológica da "análise dos riscos climáticos e vulnerabilidades climáticas e estratégia de adaptação do município do Recife", não foram identificados mecanismos que viabilizassem a inclusão dos grupos sociais mais vulneráveis nas tomadas de decisões do referido estudo. 
Em contrapartida, a metodologia incorpora uma plataforma integrada, MOVE, para a avaliação de vulnerabilidades e riscos climáticos, a qual se utiliza da geração de mapas e estatísticas para o planejamento territorial e setorial, identificando causas subjacentes de vulnerabilidade e risco, subsidiando a formulação de estratégias de adaptação tanto no âmbito público quanto no privado.
Adicionalmente, não se verificou, em todo o conteúdo da análise, qualquer indício de participação dos grupos vulneráveis na elaboração deste estudo. Dessa forma, o plano no qual foram definidas as principais vulnerabilidades climáticas e a estratégia de adaptação não incluiu os grupos mais vulneráveis em sua elaboração.
Diante do exposto, confere-se ao item em questão, segundo os critérios da Plataforma Clima Brasil, a classificação de "sem progresso".</t>
  </si>
  <si>
    <t>Este item visa integrar justiça climática e transição justa nas políticas públicas de mudança climática, mapeando vulnerabilidades e incluindo grupos afetados nos processos decisórios. É crucial que as estratégias climáticas considerem efetivamente os grupos mais vulneráveis e distribuam benefícios de forma equitativa.
O documento "Análise dos Riscos Climáticos e Vulnerabilidades Climáticas e Estratégia de Adaptação do Recife" não identificou os grupos vulneráveis conforme os detalhamentos previstos na Metodologia Clima Brasil, impedindo a especificação de suas necessidades. Adicionalmente, não se verificou, em todo seu o conteúdo, qualquer indício de participação dos grupos vulneráveis na elaboração deste estudo. 
O Plano de Ação Climática do Recife carece de canais para reclamações e denúncias, o que impediria grupos afetados ou negligenciados de relatar problemas e iniciar ações corretivas. Além disso, não há mecanismos que prevejam rotinas de revisão das estratégias, nas quais as comunidades locais seriam novamente consultadas para ajustar a direção da política, que se mostrou ineficiente.
A ferramenta online MOCLIMA (Monitoramento das Ações e Estratégias Climáticas), que monitora as metas de redução de carbono e as ações climáticas previstas do Plano Local de Ação Climática (PLAC), não aborda grupos de maior vulnerabilidade e nem assegura benefícios equitativos.
Diante do exposto e pela metodologia empregada, classifica-se o item em exame em estágio inicial.</t>
  </si>
  <si>
    <t>A Frente Parlamentar pelo Clima do Recife foi criada em 19/12/2022, pela Câmara Municipal da cidade, sendo composta por sete vereadores e tendo como diretrizes essenciais o enfrentamento da emergência climática na capital pernambucana, a promoção da escuta da sociedade civil e a proposição de soluções.
O Art. 121-A do Regimento Interno da Câmara de Vereadores instituiu de forma permanente a Comissão de Meio Ambiente, à qual compete emitir parecer, no mérito, sobre proposições ou quaisquer matérias que tratem de: I - defesa do Meio Ambiente, em seus múltiplos aspectos, sobretudo os que visem criar ou manter as condições ecológicas necessárias a uma vida humana saudável
Dessa forma, constata-se a existência de um mecanismo dedicado exclusivamente à temática das mudanças climáticas (Frente Parlamentar pelo Clima do Recife) e outro mecanismo (Comissão do Meio Ambiente) no qual a questão climática não constitui seu foco exclusivo, mas é abordada de forma transversal.
Conforme as notícias publicadas pela Câmara Municipal do Recife, referentes a esses mecanismos, observou-se que ambos convocaram audiências, debates públicos e elaboram relatórios sobre ações governamentais relacionadas ao clima.
Diante do exposto e da metodologia aplicada, classificou o item em exame em estágio avançado.</t>
  </si>
  <si>
    <t>Em 2023, o TCE-PE, analisar as ações de combate e prevenção a desastres naturais (áreas de encostas e regiões alagáveis) com enfoque nas obras realizadas pela prefeitura do Recife. Considerando o objetivo proposto da auditoria, cabe registrar que a análise se deu num cenário de ocupação irregular de áreas de encostas, com grande concentração populacional, cuja retirada dos moradores desses locais e a restauração das condições naturais, possível solução para o afastamento dos riscos, é uma ação de difícil execução por parte do Poder Público.
Em 2025, o TCE-PE realizou autorizada a criação de procedimento interno de Fiscalização, do tipo acompanhamento, visando acompanhar as obras, serviços de engenharia e demais ações realizadas pela Prefeitura do Recife no âmbito do Programa ProMorar. O Programa de Requalificação e Resiliência Urbana em Áreas de Vulnerabilidade Socioambiental - ProMorar. No sítio eletrônico desse, obtém-se detalhamento das ações dos seus três componentes envolvidos: Urbanização Integrada
Portanto, pode-se constatar que o TCE-PE realizou e autorizou nos últimos 5 anos auditorias relevantes e inter-relacionadas à temática das mudanças climáticas, embora estas não tenham sido o foco principal.</t>
  </si>
  <si>
    <t>O poder judiciário não incorporar o ente municipal</t>
  </si>
  <si>
    <t>O plano Municipal de Mitigação e Adaptação às Mudanças do Clima de Rio Branco contempla a mitigação e a adaptação. Não há uma lei que institua diretamente o PMMC, mas a iniciativa está sendo elaborada e aprimorada por meio de decretos municipais e participação popular, que visam transformar o plano em um instrumento de ação governamental e compromisso com a sociedade. 
O DECRETO Nº 501 DE 16 DE ABRIL DE 2024 "Dispõe sobre a criação do Comitê Intersecretarial de Mitigação e Adaptação às Mudanças do Clima de Rio Branco - COIMAMC, e dá outras providências."</t>
  </si>
  <si>
    <t>O plano Municipal de Mitigação e Adaptação às mudanças climáticas atende aos atributos 1 e 2 do item avaliativo. No entanto, a redução de GEE não está harmônico com as metas nacionais (NDC de 43% de redução até 2030 sobre a base de 2005). Também não foi localizada a metodologia de utilizada para a realização do inventário de GEE.</t>
  </si>
  <si>
    <t>O PMAMC do Municipío de Rio Branco prevê mecanismos formais de integração das questões climáticas (metas, mitigação e adaptação) nos instrumentos de planejamento e orçamento público, como o PPA (Plano Plurianual), LDO (Lei de Diretrizes Orçamentárias) e LOA (Lei Orçamentária Anual).
Evidências no PMAMC
1. Diretriz de Integração com o Planejamento Municipal
Na seção 7 - Princípios e Diretrizes, o plano estabelece:
Inclusão da variável temática do clima na elaboração, execução e avaliação de planos, programas e projetos públicos e privados que vierem a ser instituídos no Município."
2. Monitoramento Integrado com PPA, LDO e LOA
Na seção 13 - Monitoramento e Avaliação, o plano afirma:
O sistema de monitoramento e avaliação que for desenvolvido para este Plano deverá considerar e integrar os instrumentos de Planejamento Estratégicos do Município, quais sejam: o Plano Plurianual, a Lei de Diretrizes Orçamentárias e a Lei Orçamentária Anual [...]"
3. Uso do Sistema Webpúblico
Deverá integrar o módulo de Planejamento Estratégico do Webpúblico (Sistema que agrega em uma única ferramenta tecnológica, várias áreas da gestão municipal)."</t>
  </si>
  <si>
    <t>O Município possui Plano Municipal de Mitigação e Adaptação as Mudanças Climáticas de Rio Branco, 2020. Decreto nº 501, de 16 de abril de 2024, que dispõe sobre a criação do Comitê ntersecretarial de Mitigação e Adaptação às Mudanças do Clima de Rio Branco - COIMAMC.
DECRETO Nº 501 DE 16 DE ABRIL DE 2024 que Dispõe sobre a criação do Comitê Intersecretarial deMitigação e Adaptação às Mudanças do Clima de Rio Branco -COIMAMC.
Relatório de Monitoramento das Ações 2021 - 2024 do Plano Municipal de Mitigação e Adaptação às Mudanças Climáticas, 2025.
 Relatório da 5ª Conferência Municipal de Meio Ambiente de Rio Branco, 2024.
A SEMEIA, por meio da Divisão de Gestão Ambiental e Mudanças Climáticas, formalizou parcerias para o desenvolvimento de pautas de enfrentamento às mudanças climáticas, a saber:. 
Ampliando as ações de mitigação e adaptação de alto impacto nas cidades brasileiras a caminho da COP30, Projeto Cidades Modelos Verdes e Resilientes, desenvolvido por meio do Ministério das Cidades, implementado pelo C40 Cites, I Care Brasil.
 Projeto Municípios Preparados para a Emergência Climática, desenvolvido pela WRI Brasil, que publicará o Diagnóstico de áreas críticas e capacidade de gestão para adaptação à mudança do clima - Rio Branco/AC. 
Capacitação de equipe multidisciplinar Curso: Urgência Climática - Implementando Soluções em Territórios Urbanos Vulneráveis, por meio de edital do Ministério das Cidades, aplicado pelo Instituto Lincoln e WRI Brasil.</t>
  </si>
  <si>
    <t>Existe a Secretaria Municipal de Meio Ambiente - SEMEIA, qual tem a Diretoria de Gestão Ambiental e Espaços Públicos e a Diretoria de Gestão Ambiental e Espaços Públicos
Divisão de Gestão Ambiental e Mudanças Climáticas, existe ainda o Comitê Intersecretarial de Mitigação e Adaptação às Mudanças do Clima de Rio Branco - COIMAMC, criado conforme Decreto nº 501, de 16 de abril de 2024.
O Decreto nº 1.079 de 08 de agosto de 2024, que dispõe sobre a nomeação dos membros do Comitê Intersecretarial de Mitigação e Adaptação às Mudanças do Clima de Rio Branco - COIMAMC</t>
  </si>
  <si>
    <t>O município possui uma secretaria ambiental que possui subdivisões responsáveis pela ações de governança do COIMAMC e do PMAMC contendo uma liderança estratégica alinhada com as questões climáticas do municipio.</t>
  </si>
  <si>
    <t>A prefeitura possui um mapeamento de riscos ou de vulnerabilidades relacionadas com as mudanças climáticas, produzido ou atualizado nos últimos 5 anos, baseado em evidências científcas e/ou informações de plataformas ofciais</t>
  </si>
  <si>
    <t>Dentro do PMAMC contempla e seus objetivos. no eixo de uso do solo, ações para o enfretamento de riscos climáticos</t>
  </si>
  <si>
    <t>Existe comitês  na SEMEIA,  e o PMAMC, as ações foram planejadas para serem realizadas com o apoio de 21 órgãos, estaduais e municipais. Destes comitês, o COIMAMC é formalizado e tem natureza intersecretárial, havendo provas de atividades bem como um relatório de monitoramento.</t>
  </si>
  <si>
    <t>O PMAMC apresenta ações em parcerias com outros órgãos da esfera estadual e municipal. Existe um consórcio entre os municípios do Acre, com foco na gestão de resíduos sólidos, água e esgoto, buscando soluções integradas e a participação do Governo do Estado. Um consórcio de gestão de resíduos sólidos, coordenado pela Associação dos Municípios do Acre (AMAC), iniciou um estudo técnico para o estado todo em junho de 2025, com o objetivo de acabar com os lixões e buscar parcerias para o saneamento. Uma outra parceria identificada foi entre o Governo do Acre e Prefeitura de Rio Branco que firmaram parceria de 24 meses para reforçar ações de reflorestamento e preservação ambiental. Não foram localizadas mais evidencias de um mecanisco de governanca intergovernamental contínuo, sendoinsuficientes para considerar uma governança intergovernamental consolidada.</t>
  </si>
  <si>
    <t>No PMAMC constam em suas ações com coordenação vertical, mas no entanto não foi encaminhado documentos que indiquem  essa atuação de forma efetiva.</t>
  </si>
  <si>
    <t>No PMAMC constam ações que envolvem atores não governamentais, no relatório da 5ª Conferência Municipal do Meio Ambiente , houveram representantes dos três segmentos, Poder Público (esfera municipal, estadual e federal), Sociedade Civil (Comunidade tradicional e povos originários) e Setor Privado CNMA. O PMAMC e o Decreto do COIMAMC estabelecem mecanismos formais e com previsão de continuidade. O relatório da Conferência evidencia uma ação participativa concreta. No entanto, as evidências são insuficientes para demonstrar o pleno funcionamento e a robustez desses mecanismos. O decreto do COIMAMC prevê reuniões regulares com a sociedade, mas a evidência de sua ocorrência é limitada (apenas uma primeira reunião do comitê foi reportada). Há falhas nos mecanismos de participação formais, prejudicando a continuidade e estrutura de governança que é planejada e não há evidencias de sua implementação. O COIMAMC (Decreto 501/2024), é um comitê estritamente intersecretarial (governamental). Embora este comitê tenha a atribuição de consultar a
sociedade, ele não corresponde à estrutura de governança participativa originalmente desenhada no plano.</t>
  </si>
  <si>
    <t>O PMAMC estabelece a estrutura formal necessária para uma pontuação elevada. Há ampla participação formalizada, baseada em um mapeamento de partes interessadas". A criação da "Instância de Acompanhamento e Transparência" no PMAMC, com representação explícita dos três setores. O relatório da conferência serve como uma forte evidência complementar da aplicação prática dessa participação. Há ainda uma Instância de Acompanhamento e Transparência" prevista no PMAMC.</t>
  </si>
  <si>
    <t>Não foi identificado nenhuma ação no PMAMC que contemple pessoas ou grupos em situação de vulnerabilidade diante das situações de mudanças climáticas</t>
  </si>
  <si>
    <t>Não foi identificado nenhuma ação no PMAMC que contemple pessoas ou grupos em situação de vulnerabilidade como parte do processo de tomada de decisão na elaboração e implementação de estratégias, políticas e planos climáticos</t>
  </si>
  <si>
    <t>Não foi identificado no PMAMC ações que contemplem grupos em vulnerabilidade</t>
  </si>
  <si>
    <t>Não localizado nenhum documento com relatórios ou decretos instituindo comitês ou comissões com foco nas mudanças climáticas na câmara municipal de Rio Branco.
Foi identificado um vídeo sobre uma  Audiência Pública realizada pela Câmara Municipal de Rio Branco no dia 25 de agosto de 2018, que teve como tema central as queimadas urbanas e suas consequências para a população</t>
  </si>
  <si>
    <t>Este item Não se Aplica</t>
  </si>
  <si>
    <t>Este item não se aplica ao Municipio</t>
  </si>
  <si>
    <t>A minuta da Política Estadual de Mudanças Climáticas encontra-se em tramitação. No entanto, o Estado aprovou a Lei Nº 11.595, de 13 de Novembro de 2023, que dá  as diretrizes a serem observadas pelo Poder Executivo para a elaboração da Política Estadual sobre Mudança do Clima, com base na  Política  Federal de Mudanças do Clima  (Lei nº 12.187, de 29 de dezembro de 2009). Além disso, o Estado do RN trata a questão climática de forma transversal na Política de Combate à Desertificação e na Política Estadual de Convivência com o Semiárido. Outrossim, o Estado possui legislações setoriais que contribuem com o combate à desertificação, a convivência com o semiárido e a agropecuária de baixo carbono.</t>
  </si>
  <si>
    <t>O Estado ainda não possui política de mudanças do clima aprovada, por esta razão não é possível avaliar a compatibilidade das metas, dos prazos e do método do inventário com os dispositivos federais. No entanto a Lei Nº 11.595, de 13 de Novembro de 2023, dá  as diretrizes a serem observadas pelo Poder Executivo para a elaboração da Política Estadual sobre Mudança do Clima, sendo que a mesma segue as bases da Política  Federal de Mudanças do Clima  (Lei nº 12.187, de 29 de dezembro de 2009). Outrossim, o Estado possui legislações setoriais que tratam da questão climática de forma transversal mediante Política de Combate à Desertificação, a Política Estadual de Convivência com o Semiárido, e a agropecuária de baixo carbono.</t>
  </si>
  <si>
    <t>O PPA 2024-2027 prevê diretrizes, programas e indicadores. Entre outros, destacam-se: fomento às estratégias para adaptações às mudanças climáticas, elaboração e validação do Plano Estadual de Descarbonização, elaboração do Inventário de emissão de Gases do Efeito Estufa - GEE, elaboração da política estadual de mudanças climáticas (atualmente em análise pela PGE), instituição do Fórum Estadual de Mudança de Clima,  melhoria da infraestrutura hídrica e da política de gestão participativa dos recursos hídricos, na perspectiva da convivência com o semiárido e implementação da política estadual de operação, manutenção e segurança de barragens, bem como implantação de sistemas de abastecimento d'água.</t>
  </si>
  <si>
    <t>A Portaria-SEI Nº 011/2025 cria a Camara Técnica sobre Mudanças do Clima e Desertificação (CTMC) e o  Núcleo de Mudanças do Clima e Desertificação (NMCD) no âmbito da Subcoordenadoria de Planejamento e Educação Ambiental (SPEA) do IDEMA (art. 8º). Por outro lado, define que a Subcoordenadoria de Mudanças Climáticas e Combate à Desertificação é subordinada à Secretaria de Estado do Meio Ambiente e dos Recursos Hídricos - SEMARH (art. 12 da Lei Nº 10.154, de 21 DE feverereiro de 2017).</t>
  </si>
  <si>
    <t>Existe a Subcoordenadoria de Mudanças Climáticas e Combate à Desertificação, vinculada à SEMARH (Art. 12), a qual tem por objetivo contribuir continuamente para a formulação de políticas públicas voltadas para prevenção e mitigação dos processos de desertificação e dos efeitos das adversidades climáticas (Lei Estadual Nº 10.154/2017). Além disso, o Estado do RN instituiu a Câmara Técnica sobre Mudanças do Clima e Desertificação (CTMC), que tem por objetivo a discussão,
planejamento e execução de projetos e pesquisas acerca das causas e efeitos da Desertificação e Mudança do Clima, bem como foi intituído o Núcleo de Mudanças do Clima e Desertificação (NMCD), ambos atuando no Instituto de Desenvolvimento Sustentável e Meio Ambiente do RN, mediante a Portaria-SEI Nº 011/2025 (Arts. 01 e 08). Portanto, os órgãos tem as responsabilidades definidas por lei.</t>
  </si>
  <si>
    <t>As questões climáticas são conduzidas pela SEMARH e o IDEMA, mediante a Subcoordenadoria de Mudanças Climáticas e Combate à Desertificação, o Núcleo de Mudanças do Clima e Desertificação (NMCD) e Câmara Técnica sobre Mudanças do Clima e Desertificação (CTMC). Mas a estrutura da SEMARH está em processo de revisão. Além disso, não foi evidenciada estrutura com acesso direto ao Chefe do Executivo.</t>
  </si>
  <si>
    <t>Embora o  Estado do RN não tenha um mapeamento de riscos relacionados com as mudanças climáticas, existe o zoneamento dos riscos climáticos para culturas agrícolas, gerenciado pela Empresa de Pesquisa Agropecuária do Rio Grande do Norte S/A - EMPARN.</t>
  </si>
  <si>
    <t>Não ficou evidenciado que os riscos climáticos são levados em consideração nos principais instrumentos de planejamento do Estado do RN</t>
  </si>
  <si>
    <t>Existe, no Estado do RN, o Conselho Deliberativo de Combate à Desertificação, que trata de tema relacionado com o enfrentamento das mudanças climáticas, responsável pela gestão e formulação da Política Estadual de Combate à Desertificação e a fiscalização do Programa de Ação Estadual de Combate à Desertificação e Mitigação dos Efeitos da Seca (PAE-RN), cujas funções estão previstas no art 7º da Lei Nº 10.154, de 21 de fevereiro de 2017. Os membros que constituem o Conselho estão definidos no art. 8º. No entanto, não foi evidenciado que o mesmo esteja em funcionamento regular.</t>
  </si>
  <si>
    <t>O Estado do RN participa da Câmara Técnica do Clima, da ABEMA (Associação Brasileira de Entidades de Meio Ambiente). Além disso, participa do Comitè Científico de Monitoramento e Enfrentamento das Emergências Climáticas no âmbito do Consórcio Interestadual de Desenvolvimento Sustentável do Nordeste - Consórcio Nordeste.</t>
  </si>
  <si>
    <t>Existe o Acordo de Cooperação Técnica (ACT) nº 53/2024 MPRN/MPF/PGE-RN/SEMARH-RN/SETUR-RN/IDEMA-RN/UFRN/SPU-RNA para constituição do Comitê Interinstitucional para gestão integrada da Zona Costeira do RN entre Ministério Público Federal (MPF), a Procuradoria-Geral do Estado (PGE/RN), a Secretaria de Estado do Meio Ambiente e Recursos Hídricos (Semarh), a Secretaria de Estado do Turismo (Setur), o Instituto de Desenvolvimento Sustentável e Meio Ambiente (Idema), a Universidade Federal do Rio Grande do Norte (UFRN), a Superintendência do Patrimônio da União no Rio Grande do Norte (SPU/RN). Verificou-se que o mesmo está implantado e em funcionamento. No entanto, este mecanismo de articulação vertical se restringe somente à zona costeira do Estado do RN.</t>
  </si>
  <si>
    <t>O Conselho Deliberativo de Combate à Desertificação, tema que trata das questões climáticas de forma transversal no Estado RN, é constituído de 16 (dezesseis) membros, dentre eles universidades, comunidades afetadas pela desertificação, entidades não governamentais, comunidades de assentamentos rurais, setor empresarial, Assembleia Legislativa do Estado, Ministério Público Estadual. No entanto, embora já constituído, não foi evidenciado o funcionamento regulardo mesmo.</t>
  </si>
  <si>
    <t>O Conselho Deliberativo de Combate à Desertificação, tema que trata das questões climáticas de forma transversal no Estado RN, é constituído de 16 (dezesseis) membros, dentre eles universidades, comunidades afetadas pela desertificação, entidades não governamentais, comunidades de assentamentos rurais, setor empresarial, Assembleia Legislativa do Estado, Ministério Público Estadual. No entanto, embora já constituído, não foi evidenciado o funcionamento regular do mesmo.</t>
  </si>
  <si>
    <t>Não foi evidenciada a identificação sistemática de grupos vulneráveis e mapeamento de suas necessidades.</t>
  </si>
  <si>
    <t>Dois representantes as comunidades afetadas pela desertificação fazem parte do Conselho Deliberativo de Combate à Desertificação (Lei Nº 10.154, de 21 de fevereiro de 2017, Art. 8º).  O Conselho foi constituído no Seminário de Combate à Desertificação, ocorrido em 14 de julho de 2023, porém não está em funcionamento regular.</t>
  </si>
  <si>
    <t>Não há evidências que as estratégias, políticas e planos voltados para os grupos vulneráveis estejam implantadas.</t>
  </si>
  <si>
    <t>A Assembléia Legislativa trata a temática ambiental no âmbito da Comissão de Educação, Ciência e Tecnologia, Desenvolvimento Socioeconômico, Meio Ambiente e Turismo
(CECTDSMAT). Comprovou a aprovação de projetos de lei relacionados transversalmente com a temática climática. Além disso, instituiu o Grupo de Trabalho do Plano de Logística Sustentável da ALRN, instituído por meio da Portaria nº 61/2025-DG, de 08/05/2025. O regulamento estabeleceu as diretrizes para a elaboração do plano, considerando a legislação ambiental, incluíndo também a  Lei Federal nº 12.187/2009 (Política Nacional sobre Mudança de Clima).
Além disso, Assembléia Legislativa instituu o Comitê de Implementação da Agenda 2030, da Organização das Nações Unidas, no âmbito da instituição (PORTARIA N° 7/2025 - GPA, de 26 de Fevereiro de 2025).</t>
  </si>
  <si>
    <t>O TCE/RN realizou Auditoria Operacional Regional Coordenada em Políticas Públicas de Combate à Desertificação do Semiárido e de Proteção ao Bioma Caatinga, a qual tratou da  da questão de mudanças do clima de forma transversal.</t>
  </si>
  <si>
    <t>No tocante ao cumprimento do art. 6º da Resolução CNJ 433/2021, o TJRN Tribunal criou os núcleos especializados na temática ambiental em quase todas as Unidades Judiciárias do Estado do RN. Comprovou ampla promoção de capacitação contínua e periódica dos servidores e magistrados(as) sobre a temática ambiental,  bem como comprovou a inclusão da temática ambiental no plano de ensino dos programas de formação e aperfeiçoamento de magistrados(as) e servidores. Relatou a existência do Painel interativo SireneJud (ferramenta geográfica), o qual reúne informações da DataJud (base de dados) relacionadas às ações judiciais no assunto ambiental, inclusive do TJRN.</t>
  </si>
  <si>
    <t>O Estado do Rio Grande do Sul possui um arcabouço legal e regulatório abrangente voltado à agenda climática, que contempla medidas de mitigação e adaptação. A Política Gaúcha de Mudanças Climáticas (Lei nº 13.594/2010) constitui o marco principal, em consonância com a Política Nacional sobre Mudança do Clima. Foram instituídos diversos programas e planos com base legal, como o Plano ABC+ RS (Decreto nº 50.590/2013), o Programa Estadual de Energias Renováveis (Decreto nº 53.160/2016), a Política Estadual do Biometano (Lei nº 14.864/2016) e o Código Estadual do Meio Ambiente (Lei nº 15.434/2020). Também foram regulamentadas iniciativas mais recentes, como o Programa de Recuperação da Vegetação Nativa, o Programa de Hidrogênio Verde, a criação das Comissões Municipais sobre Clima (Decreto nº 56.939/2023) e a Lei nº 16.134/2024, que institui o Plano Rio Grande. Além disso, o Estado aderiu a pactos nacionais e internacionais e criou o ProClima 2050 como instrumento operacional de gestão climática integrada. Esse conjunto normativo garante estabilidade à política estadual de clima e viabiliza sua transversalidade com outras políticas públicas, justificando a classificação no estágio avançado.</t>
  </si>
  <si>
    <t>O Estado do RS demonstra compatibilidade com a PNMC e os compromissos internacionais de mitigação. O Decreto nº 56.347/2022 formaliza a adesão às campanhas "Race to Zero" e "Race to Resilience", e a assinatura da Carta de Compromisso para Descarbonização na COP26 reforça o alinhamento com o Acordo de Paris, prevendo a neutralidade climática até 2050 e a redução de emissões em 50% até 2030. O Plano ABC+RS adota eixos e indicadores do plano federal agropecuário e o ProClima2050, embora ainda não formalizado em norma, estrutura estratégias alinhadas às diretrizes da NDC e aos padrões IPCC. A formalização do Plano Estadual de Mudanças Climáticas, prevista na Lei nº 13.594/2010, está condicionada à finalização do Inventário de GEE e do Plano de Ação Climática até o final de 2025. Ainda não há metas setoriais próprias expressas em tCO - e nem cronogramas de implementação específicos, o que limita a aferição de consistência plena com a NDC. Assim, o RS apresenta alinhamento normativo, ações em curso e compromissos assumidos, mas carece da consolidação formal de metas e sistemas de monitoramento robustos.</t>
  </si>
  <si>
    <t>O arcabouço legal do Rio Grande do Sul apresenta previsões expressas para a integração da política climática ao planejamento estadual, destacando-se o art. 27 da Lei nº 13.594/2010 e o Decreto nº 56.347/2022, que determina a elaboração do Plano Estadual de Mudanças Climáticas e de planos setoriais com metas de GEE, adaptação e transição energética. O Decreto nº 57.647/2024, que regulamenta o Plano Rio Grande, e o Plano ABC+ RS são exemplos de articulação com setores como infraestrutura, uso do solo e agropecuária. Além disso, instrumentos de gestão como o PPA, LDO e LOA já incorporam ações climáticas, com previsão de metas na Lei nº 16.234/2024 e na LOA/2025, evidenciando alinhamento institucional progressivo. O ProClima 2050 também promove a transversalidade temática, embora ainda careça de formalização legal. A entrega prevista para 2025 do Inventário de GEE, do Plano de Ação Climática e do Plano de Descarbonização das Cadeias Produtivas será fundamental para consolidar metas setoriais organizadas por escalas temporais (curto, médio e longo prazo) e permitir o monitoramento sistemático das ações climáticas nos instrumentos centrais de planejamento.</t>
  </si>
  <si>
    <t>O Rio Grande do Sul possui estruturas formais e em funcionamento voltadas à agenda climática, como o Fórum Gaúcho de Mudanças Climáticas, o Comitê Científico, o Conselho do Plano Rio Grande, o FUNRIGS, a SERG e a ASCLIMA/SEMA. Todas estão legalmente instituídas, com evidências documentadas de reuniões, execução orçamentária e participação multissetorial. No entanto, embora a articulação climática seja robusta e integrada entre SEMA, SERG e Casa Civil, o tema ainda não está plenamente internalizado de forma transversal nos demais órgãos. Faltam núcleos técnicos ou pontos focais climáticos em secretarias como Saúde, Educação e Agricultura, e os planos setoriais carecem de indicadores climáticos ou metas específicas. A transversalidade institucional é liderada pela SEMA e SERG, com base legal consolidada (Lei nº 16.134/2024 e Decretos nº 56.347/2022 e nº 57.647/2024), mas sua consolidação nos demais setores ainda está em curso. A classificação no estágio intermediário se justifica pela existência de estrutura ativa e articulada, mas com lacunas na consolidação transversal no conjunto da administração estadual.</t>
  </si>
  <si>
    <t>O Rio Grande do Sul apresenta responsabilidades climáticas formalmente atribuídas, ainda que de forma dispersa. A SEMA exerce papel técnico e transversal, conforme interpretação da Lei nº 15.934/2023 e do art. 9º da Lei nº 13.594/2010, que lhe atribuem a coordenação de políticas ambientais integradas. O Decreto nº 54.550/2019 reforça esse papel ao prever sua atuação na agenda climática. A liderança política recai sobre a Casa Civil, enquanto a SERG executa ações voltadas à reconstrução resiliente, com protagonismo no Plano Rio Grande. A coordenação ocorre por meio de instâncias multissetoriais como o Conselho do Plano, o Fórum Gaúcho de Mudanças Climáticas, o Comitê Científico e a ASCLIMA.
A implementação é descentralizada, mas ainda carece da institucionalização de pontos focais nas secretarias finalísticas, o que limita a capilaridade das ações. A transparência é robusta, com ampla divulgação de dados orçamentários, documentos estratégicos e relatórios técnicos. A plataforma IEDE integra bases de dados relevantes ao planejamento climático. Contudo, ainda falta instrumento legal específico que organize de forma clara os papéis de liderança, coordenação e monitoramento.</t>
  </si>
  <si>
    <t>A liderança climática no Estado do Rio Grande do Sul é exercida de forma tripartite: a Casa Civil exerce a liderança política e estratégica
As funções de liderança estão formalizadas em instrumentos legais e se expressam em ações efetivas de articulação intersetorial, formulação de diretrizes e mobilização de recursos. A SEMA coordena o Fórum Gaúcho de Mudanças Climáticas e atua transversalmente com secretarias e conselhos. A SERG conduz medidas de reconstrução resiliente, com foco em enfrentamento climático.
Considerando a estrutura de governança articulada, a consolidação normativa da liderança técnica e operacional e o acesso direto das instâncias à alta gestão estadual, recomenda-se a reclassificação do item para estágio avançado.</t>
  </si>
  <si>
    <t>O Estado do Rio Grande do Sul apresenta avanços relevantes no mapeamento de riscos climáticos, com base no relatório técnico do Departamento de Economia e Estatística (DEE/SPGG), publicado em abril de 2025, que analisa os eventos hidrometeorológicos extremos de 2023 e 2024. O documento espacializa os impactos no território por meio do Mapa Único do Plano Rio Grande (MUPRS), identifica populações vulneráveis e subsidia decisões de investimento do FUNRIGS. No entanto, sua abordagem é retrospectiva, voltada à resposta emergencial, e não configura um plano de adaptação ou um mapeamento prospectivo baseado em cenários climáticos.
De forma complementar, o Estado está finalizando uma Análise de Riscos e Vulnerabilidades Climáticas (ARVC), elaborada em parceria com o ICLEI - Governos Locais pela Sustentabilidade, com base científica e metodologia multissetorial. O estudo subsidiará a formulação do Plano de Ação Climática e ampliará a capacidade prospectiva do Estado, com lançamento previsto ainda em 2025. Até o momento, porém, os documentos oficiais e consolidados ainda não foram publicados.
Diante disso, recomenda-se a manutenção do estágio intermediário, em razão da ausência de um inventário oficial e conclusivo de riscos climáticos e vulnerabilidades setoriais, embora o Estado apresente iniciativas consistentes e promissoras em fase de estruturação.</t>
  </si>
  <si>
    <t>O Plano Plurianual 2024-2027 do RS incorpora ações climáticas, com destaque para a Ação Programática "Ações para Mitigar as Mudanças Climáticas", que prevê inventários, planos de mitigação e de resiliência. Também há iniciativas na Defesa Civil, saneamento, PSA e neutralidade de carbono. No entanto, essas ações ainda estão concentradas em setores específicos e não se articulam com os principais programas estruturantes. Políticas de educação, saúde, habitação e infraestrutura, por exemplo, não incorporam critérios de adaptação ou sustentabilidade.
A recente instituição do Plano Rio Grande (Lei nº 16.134/2024) e seu Fundo (FUNRIGS), com o Projeto RIOS e ações multissetoriais, representam avanço significativo, assim como o processo de revisão do PPA, que visa incluir riscos climáticos em todo o ciclo de planejamento. Ainda assim, essas alterações não estão plenamente consolidadas.</t>
  </si>
  <si>
    <t>O Estado do Rio Grande do Sul dispõe de mecanismos formais que asseguram, de maneira estruturada, o alinhamento entre secretarias na agenda climática. O Fórum Gaúcho de Mudanças Climáticas, instituído por decreto, possui regimento interno, composição multissetorial, e dinâmica regular de funcionamento, com atas, resoluções e câmaras técnicas, como a de Educação Ambiental Climática (Resolução FGMC nº 2/2024). Sua função consultiva viabiliza articulação política transversal. O Comitê Gestor do Plano ABC+RS, instituído pela Resolução SEAPI nº 01/2023, reúne secretarias setoriais e instituições técnicas, com atribuições formais e atuação comprovada por relatórios anuais. Complementarmente, o Comitê Científico de Adaptação e Resiliência Climática assessora tecnicamente a formulação de políticas, integrando ciência e governo. A Secretaria da Reconstrução Gaúcha (SERG) possui, por lei (nº 16.134/2024), competência para coordenar a implementação das ações do Plano Rio Grande em articulação com secretarias finalísticas, fortalecendo a resiliência climática e a transversalidade no planejamento e na execução de projetos. Tais estruturas evidenciam capacidade de articulação horizontal consolidada.</t>
  </si>
  <si>
    <t>O RS participa de mecanismos formais de articulação com outras unidades da federação voltados à agenda climática. É signatário da Carta dos Órgãos Estaduais de Meio Ambiente pelo Clima (ABEMA, 2023) e da Resolução nº 3/2024 do Conselho da Federação, que institui o Compromisso pelo Federalismo Climático. O Estado mantém representação no CB27 e na ABEMA, com participação ativa em reuniões, cartas conjuntas e fóruns técnicos. Também integra redes internacionais como o ICLEI e a Under2 Coalition, com presença em conferências da ONU e atuação no Consórcio COSUD.</t>
  </si>
  <si>
    <t>O RS participa de instâncias verticais relevantes na agenda climática. O governador esteve presente na primeira reunião do Conselho da Federação (2023), e a SEMA/RS passou a integrar a Comissão Tripartite Nacional na área ambiental, coordenada pelo MMA, com representação formal desde 2024. No plano estadual, o Decreto nº 56.939/2023 institui Comissões Municipais sobre Mudanças Climáticas, com mais de 300 municípios cadastrados, oficinas regulares e integração via ASCLIMA. A Lei nº 16.134/2024 (Plano Rio Grande) prevê cooperação interfederativa, incluindo a FAMURS no Conselho deliberativo. A SERG também implementa ações com ministérios e municípios. Em reforço à articulação federativa, o Estado lançou o RoadMap Climático do RS, instrumento estratégico de longo prazo voltado à transição climática, que articula compromissos com municípios e setores econômicos.</t>
  </si>
  <si>
    <t>O Estado do Rio Grande do Sul dispõe de mecanismos institucionais relevantes para o engajamento das partes interessadas na agenda climática. O principal é o Fórum Gaúcho de Mudanças Climáticas (FGMC), instituído pelo Decreto nº 56.437/2022 e atualizado pelo Decreto nº 57.063/2023. O Fórum possui regimento interno, realiza reuniões periódicas e inclui representação da sociedade civil, setor produtivo, academia e diferentes secretarias estaduais. A participação externa também ocorre no Conselho do Plano Rio Grande (Lei nº 16.134/2024), com assento da FAMURS, e na Câmara Técnica de Educação Ambiental Climática, vinculada ao FGMC, com composição multissetorial.
Apesar desses avanços, os mecanismos existentes ainda são restritos a instâncias consultivas e concentrados em órgãos ambientais. Não há procedimentos padronizados de escuta pública setorial ou digital contínua, tampouco sistemática para retorno institucional às contribuições recebidas. A interação com populações vulneráveis e setores como saúde, infraestrutura, segurança hídrica ou educação ainda é incipiente. Portanto, o Estado conta com instâncias legítimas de participação, mas o escopo e a efetividade dos processos indicam estágio intermediário.</t>
  </si>
  <si>
    <t>O Estado aprimorou a estrutura do Fórum Gaúcho de Mudanças Climáticas (FGMC), com a Portaria SEMA nº 91/2025 formalizando a composição de sua Plenária com representantes do governo, sociedade civil organizada, setor produtivo e academia, superando a condição inicial de "convidados". Reuniões regulares com participação de entidades como FIERGS, FARSUL, CREA e OAB são verificadas.
Contudo, para caracterizar o estágio avançado, o manual exige "ampla participação formalizada, baseada em um mapeamento de partes interessadas". A representatividade atual, embora formalizada, parece resultar mais de uma designação por portaria do que de um processo metodológico de mapeamento e engajamento de todos os segmentos relevantes da sociedade gaúcha. A abrangência e a profundidade da representação permanecem em desenvolvimento.
Dessa forma, mantém-se a classificação em estágio intermediário, reconhecendo a evolução institucional mas observando que o critério de amplitude baseada em mapeamento não está plenamente atendido.</t>
  </si>
  <si>
    <t>O ProClima2050 e o Plano Rio Grande demonstram uma preocupação crescente com a vulnerabilidade social e a necessidade de respostas inclusivas à crise climática. O ProClima2050 adota a transição energética justa como um de seus pilares, reconhecendo os impactos sociais da descarbonização em regiões carboníferas. Além disso, a estratégia menciona ações voltadas à participação comunitária, capacitação da defesa civil, diagnósticos de risco e criação de protocolos de resposta a desastres, voltados às comunidades vulneráveis.
Reconhece-se a iniciativa do Estado em elaborar um estudo de análise de riscos e vulnerabilidades climáticas, com previsão de conclusão em 2025, seguindo metodologia do IPCC, e a existência de ações pontuais, como o processo de transição justa na região carbonífera. No entanto, para classificação como "estágio intermediário", o manual exige um "mapeamento" concluído dos grupos vulneráveis e de suas necessidades. Até o momento, o Estado não apresentou um produto próprio e formalizado que atenda integralmente a este critério, baseando-se principalmente em plataformas de terceiros (AdaptaBrasil MCTI) e em estudos em andamento. A ausência de diretrizes normativas consolidadas que identifiquem explicitamente, de forma intersetorial e interseccional, todos os grupos sociais vulneráveis no território gaúcho e suas necessidades específicas frente à mudança do clima indica que o processo de identificação ainda está em fase de construção.</t>
  </si>
  <si>
    <t>O Estado do Rio Grande do Sul dispõe de diagnósticos climáticos recentes com recortes territoriais e socioeconômicos, especialmente após as enchentes de 2023-2024. O Relatório Técnico DEE-SPGG 2025 apresenta avaliação dos danos sociais e econômicos, com mapas que cruzam inundações, pobreza, moradia precária, infraestrutura deficiente e grupos vulneráveis. O Plano Rio Grande também evidencia atenção a territórios atingidos e populações em risco, ainda sem detalhamento interseccional. Já o ProClima2050 prevê metodologia de diagnóstico de riscos e vulnerabilidades, mas não inclui recortes por raça, gênero ou faixa etária, o que limita a abrangência.
No campo participativo, existem instâncias como o Conselho do FUNRIGS, que reúne universidades, setor produtivo, trabalhadores e sociedade civil, com atribuições consultivas e fiscalizatórias. Entretanto, os mecanismos vigentes ainda não asseguram a inclusão direta e sistemática das comunidades mais vulneráveis, em especial populações indígenas, quilombolas e grupos em situação de pobreza urbana e rural.
Assim, embora haja avanços na caracterização territorial das vulnerabilidades e na criação de espaços de governança participativa, permanecem lacunas relevantes quanto à representatividade plena desses grupos. Por isso, considera-se adequado manter a classificação no estágio intermediário, baseada em diagnósticos robustos e instrumentos participativos, porém ainda limitados na efetiva inclusão interseccional.</t>
  </si>
  <si>
    <t>O Estado do Rio Grande do Sul implementa ações que beneficiam populações vulneráveis de forma territorializada - especialmente nos municípios atingidos pelas enchentes de 2023-2024 - , mas não há evidência de critérios estruturados de justiça climática na definição de prioridades ou na alocação de recursos. O Plano Rio Grande executa programas nas áreas de habitação, saúde e assistência social, com foco nas regiões atingidas, e criou o FUNRIGS, um fundo específico para resposta emergencial e reconstrução. No entanto, não há indicadores de priorização explícita por raça, gênero, idade ou pertencimento étnico. O ProClima2050 menciona "transição justa", mas também não define critérios operacionais de priorização. Portanto, embora haja intenção política e ações emergenciais orientadas ao território, falta um marco normativo e metodológico que assegure a priorização sistemática de grupos historicamente marginalizados. Por isso, este item é classificado como estágio inicial.</t>
  </si>
  <si>
    <t>A Assembleia Legislativa do Estado do RS aprovou marcos legais relevantes para a governança climática nos últimos anos, como a Lei do Plano Rio Grande (Lei nº 16.134/2024), a Lei do Sistema Estadual de Meio Ambiente (Lei nº 15.434/2020) e normas relacionadas ao ProClima. Há registro de audiências públicas sobre desastres climáticos e transição energética (ex: debates sobre carvão na região carbonífera). Há uma Comissão de Saúde e Meio Ambiente, e há a proposta de criação de uma Comissão Permanente de Meio Ambiente e Mudanças Climáticas em debate. Contudo, não há uma comissão permanente ou frente parlamentar dedicada ao clima, e a atuação legislativa segue mais reativa a eventos extremos do que proativa em estruturação de políticas.</t>
  </si>
  <si>
    <t>O Tribunal de Contas do Estado do Rio Grande do Sul estabeleceu a Resiliência Climática como projeto estratégico institucional, posicionando o tema como diretriz para auditorias, supervisão técnica e capacitação voltadas à resposta climática. Em 2025, o TCE-RS divulgou relatório detalhado sobre a resposta à calamidade climática de 2024, destacando a reformulação do Plano de Fiscalização "ReconstruçãoRS" e o lançamento do programa de Gestão Assistida, com foco em orientar municípios atingidos na aplicação de recursos emergenciais, ações estratégicas com ênfase em resiliência climática inclui auditorias da Defesa Civil e de Gestão de Recursos Hídricos, uso de indicadores (MMD-TC) e capacitações voltadas à temática climática.</t>
  </si>
  <si>
    <t>O Tribunal de Justiça do Estado do Rio Grande do Sul criou, em outubro de 2024, o Núcleo de Justiça 4.0 - Enchentes 2024, no âmbito da Rede de Inteligência e Inovação para o enfrentamento das consequências das enchentes (Nota Conjunta nº 1/2024 - TJRS e instituições parceiras). O núcleo foi concebido em alinhamento às diretrizes do Conselho Nacional de Justiça (Resoluções CNJ nº 385/2021 e nº 433/2021), com foco no julgamento célere e digital de demandas relacionadas à tragédia climática. Trata-se de iniciativa formal e relevante, mas que, até o momento, não se desdobra em um conjunto mais amplo de medidas que alcance o critério mínimo de três ações previsto no Manual. Assim, a atuação do Poder Judiciário no RS é classificada em estágio inicial, por já dispor de medida institucionalizada e em funcionamento, ainda que limitada em escopo.</t>
  </si>
  <si>
    <t>"O Estado do RJ possui um quadro legal e regulatório abrangente, que inclui tanto mitigação quanto adaptação, conforme Art. 1º da Lei Estadual nº 5.690, de 14 de abril de 2010, que dispõe sobre a Política Estadual sobre mudança global do clima e desenvolvimento sustentável, atualizada pela LEI Nº 9.072 DE 27 DE OUTUBRO DE 2020. 
Além disso, possui diversos outros normativos relacionados ao tema, tais como: Lei Estadual nº 5.050/2007: Cria o dia estadual de reflexão sobre as mudanças climáticas</t>
  </si>
  <si>
    <t>O Município do Rio de Janeiro possui uma política municipal de mudanças climáticas aprovada por lei, formalmente instituída pela Lei nº 5.248, de 27 de janeiro de 2011. Além dela há o Decreto Rio nº 46.078/2019: Institui a Política de Desenvolvimento Sustentável e o Comitê Integrado de Planejamento e Desenvolvimento Sustentável
Decreto Rio nº 46.079/2019: Cria o Programa Cidade pelo Clima, voltado à implementação e monitoramento das ações climáticas
Decreto Rio nº 48.940/2021: Institui o Plano de Desenvolvimento Sustentável e Ação Climática (PDS)
Decreto Rio nº 48.941/2021: Cria o Fórum de Governança Climática e o Programa de Governança Climática da cidade
Decreto Rio nº 53.633/2023: Institui o Orçamento Climático do Município, integrando a dimensão climática ao planejamento orçamentário.
Esses instrumentos demonstram que o município possui uma política aprovada por lei, com foco em mitigação e adaptação (como pode ser evidenciado nos itens 4.2 e 4.3, presentes nas páginas 75 a 112 do PDS).</t>
  </si>
  <si>
    <t>A Lei nº 5.248/2011 instituiu a Política Municipal sobre Mudança do Clima e Desenvolvimento Sustentável no Rio de Janeiro, alinhando-se à legislação estadual, à Política Nacional de Mudanças Climáticas (Lei nº 12.187/2009) e aos compromissos internacionais assumidos pelo Brasil.
O Plano de Desenvolvimento Sustentável e Ação Climática (PDS) do Município propõe metas locais de mitigação e adaptação às mudanças climáticas, e declara alinhamento aos 17 Objetivos de Desenvolvimento Sustentável (ODS) da Agenda 2030.
As metas municipais de redução de GEE são (PDS - Item 4.2.5 - páginas 83 a 88):
2030: Redução de 20% das emissões em relação a 2017
2050: Redução de 100% das emissões em relação a 2017.
O plano apresenta objetivos de redução de emissões de GEE compatíveis com os compromissos nacionais. A referência à Política Nacional sobre Mudança do Clima (Lei nº 12.187/2009) e a adoção de metodologias reconhecidas internacionalmente sugerem tentativa de articulação com estratégias nacionais no tema climático.
 O monitoramento das emissões segue o padrão internacional GPC (Global Protocol for Community-Scale Greenhouse Gas Emissions Inventories), com nível de reporte Basic+, adotado desde o primeiro inventário da cidade, com apoio do WRI, C40 e ICLEI.</t>
  </si>
  <si>
    <t>Atualmente, o Estado encontra-se na fase de desenvolvimento do Projeto Rio Clima. O projeto está estruturado em quatro metas específicas, sendo a de número 3 voltada a desenvolver cenários de emissões de gases de efeito estufa (GEE) e propor metas setoriais de mitigação, considerando o potencial de redução de cada setor e apoiando a transição do Estado para uma economia de baixo carbono.
Conforme descrito no Produto 3.2 - Metas Setoriais de Mitigação de Emissões e Comércio de Gases de Efeito Estufa no Estado do Rio de Janeiro:
A revisão e atualização das metas de mitigação de gases de efeito estufa (GEE) no Estado do Rio de Janeiro será uma iniciativa de alinhamento das políticas estaduais com os compromissos nacionais e internacionais assumidos pelo Brasil. Essa meta garantirá que o Estado esteja em consonância com as Contribuições Nacionalmente Determinadas (NDCs) do Brasil, compromissos essenciais sob o Acordo de Paris para limitar o aumento da temperatura global a bem abaixo de 2°C acima dos níveis pré-industriais. Importante destacar que as metas propostas deverão ser factíveis e realizáveis, adequadas à realidade econômica, social e ambiental do Rio de Janeiro."
Embora o alinhamento com os planos e compromissos nacionais esteja previsto no plano de trabalho, não é possível afirmar que, no momento, haja harmonização entre as metas estaduais e as estratégias climáticas nacionais, uma vez que tais metas ainda se encontram em fase de elaboração.</t>
  </si>
  <si>
    <t>O artigo 6º da Lei Estadual nº 9.072/2020 estabelece que planos, programas, políticas, metas e ações vinculadas a atividades emissoras de gases de efeito estufa, tanto do setor público quanto do setor privado, devem incorporar estratégias que fomentem a economia circular e favoreçam a transição para uma economia de baixo carbono. O dispositivo legal detalha diretrizes específicas para diversos setores estratégicos, como energia, transportes, resíduos, construção civil, agricultura e pecuária, ambiente florestal, serviços, turismo e saneamento básico, orientando, por exemplo, o uso de fontes renováveis, práticas sustentáveis de mobilidade, reaproveitamento de resíduos, reflorestamento e tecnologias de baixo impacto ambiental.</t>
  </si>
  <si>
    <t>Embora o Planejamento Plurianual (PPA 2022-2025) não mencione explicitamente as leis climáticas, seus objetivos centrais incluem ações alinhadas a elas, como: Mobilidade urbana sustentável, Qualidade ambiental e Mudanças climáticas (Anexos, págs. 2 a 4)
O PPA contempla, ainda, o Tema Transversal: Mudanças Climáticas e Resiliência (Anexos, págs. 16 a 18).
O Plano Diretor de Desenvolvimento Urbano Sustentável (Lei Complementar nº 270/2024) estabelece princípios e diretrizes voltados à:
Proteção ambiental
O Plano Municipal de Gestão Integrada de Resíduos Sólidos (PMGIRS), instituído pelo Decreto Rio nº 50.868/2022, faz referência direta às legislações climáticas. 
Em 2024, o Centro de Operações e Resiliência (COR) lançou o Plano Verão 2024/2025, com estratégias para enfrentar riscos climáticos.
Os planos de mobilidade urbana (Decreto 45.781/2019) e o Plano Municipal de Saneamento (Decreto 54.227/2024) não fazem referência explícita à legislação climática municipal.
Por fim, a Prefeitura do Rio instituiu o Orçamento Climático (Decreto nº 53.633/2023), que integrará metas climáticas ao planejamento financeiro municipal, com monitoramento e verificação das ações. A implementação está prevista até dezembro de 2026.
Dessa forma, observa-se a presença parcial da integração de aspectos climáticos.</t>
  </si>
  <si>
    <t>O Decreto nº 48.395, de 14 de março de 2023, que alterou e consolidou a estrutura organizacional da Secretaria de Estado do Ambiente e Sustentabilidade (SEAS), instituiu a Subsecretaria de Mudanças do Clima e Conservação da Biodiversidade (SUBCLIM), composta por:
Superintendência de Mudanças do Clima e Florestas, com as Coordenadorias de Mudanças do Clima e de Restauração Ecológica
Superintendência de Gestão Ecossistêmica, com as Coordenadorias de Biodiversidade e de Gestão do Território
Assessoria Especial de Cidades Resilientes, com as Coordenadorias de Estudos e Projetos e de Cidades Resilientes.
Além dessa estrutura administrativa, o Estado conta, como instrumento da Política Estadual de Mudanças Climáticas, com o Fórum Rio de Janeiro de Mudanças Climáticas (FRJMC), ativo desde 2023.
Essa configuração demonstra a existência de instâncias técnicas e participativas voltadas especificamente para o tema, fortalecendo a governança climática no âmbito estadual e possibilitando maior articulação entre diferentes setores e atores sociais.</t>
  </si>
  <si>
    <t>O Município do Rio de Janeiro instituiu, pelo Decreto Rio nº 48.941/2021, o Fórum de Governança Climática e o Comitê Executivo de Mudanças Climáticas, com atribuições de coordenação, articulação e assessoramento técnico. Contudo, só foi localizada a ata da reunião inaugural, sem registros posteriores que comprovem funcionamento regular. 
Embora a estrutura formal exista, não foram localizadas evidências de funcionamento contínuo, como atas, relatórios ou registros de reuniões recentes. A ausência de comprovação operacional impede afirmar que tais instâncias estejam ativas e efetivas.
Auditorias anteriores do TCMRio apontaram fragilidades de articulação institucional, ausência de órgão integrador e fragmentação de ações ambientais. Diante da falta de evidências de operação contínua dessas instâncias, o componente G2.A situa-se no nível "Intermediário", conforme critérios do Manual.</t>
  </si>
  <si>
    <t>O Regimento Interno do Fórum Rio de Janeiro de Mudanças Climáticas, formalizado pela Resolução SEAS nº 207, de 23 de dezembro de 2024, estabelece de forma clara as competências e responsabilidades sobre as ações relacionadas à implantação, fiscalização e execução da Política Estadual sobre mudanças climáticas. O documento define a composição, atribuições e funcionamento do Fórum, bem como o papel dos diferentes atores governamentais e não governamentais, promovendo a articulação intersetorial e a integração de políticas. Não foram identificadas lacunas ou sobreposições relevantes nas responsabilidades estabelecidas.</t>
  </si>
  <si>
    <t>O Dec. Rio nº 48.941/2021 institui o Fórum de Governança Climática e distribui responsabilidades entre órgãos da administração, como a Prefeitura (presidência), a  Secretaria de Fazenda (coordenação do Plano de Ação Climática), a  Secretaria de Meio Ambiente (estratégias, inventários de GEE e ações), o IPP (Monitoramento e projeções) e o  COR (resposta a eventos extremos).
As funções de liderança, coordenação, implementação e monitoramento estão formalmente atribuídas, mas o decreto não define responsabilidades sobre a transparência, o que representa lacuna relevante.
Além disso, fiscalização anterior (Proc. nº 040/100286/2021, p. 58) identificou indefinições nas responsabilidades institucionais em políticas ambientais, inclusive entre entes da própria estrutura da Prefeitura.
Assim, embora haja diretrizes normativas, a ausência de atribuição clara quanto à transparência e as fragilidades previamente apontadas indicam que  a resposta à questão G2.B não pode ser considerada plenamente positiva.</t>
  </si>
  <si>
    <t>O responsável por liderar, orientar e coordenar as respostas estaduais e municipais às mudanças climáticas possui elevada autoridade para mobilizar os diversos setores, uma vez que o Fórum Rio de Janeiro de Mudanças Climáticas (FRJMC) é presidido pelo próprio Governador do Estado do Rio de Janeiro, conforme Art. 8º da RESOLUÇÃO SEAS N.º 207 DE 23 DE DEZEMBRO DE 2024, que disciplina o funcionamento do fórum. 
Além disso, o Fórum Rio de Janeiro de Mudanças Climáticas possui uma composição mista e interinstitucional, conforme previsto no Art. 2º do Decreto nº 46.912, de 24 de janeiro de 2020. Participam de sua estrutura representantes de órgãos do Governo do Estado, de instituições públicas, do setor produtivo, da sociedade civil organizada e da academia.</t>
  </si>
  <si>
    <t>O Fórum de Governança Climática, instituído pelo Decreto Rio nº 48.941/2021, é presidido pelo(a) Prefeito(a) do Rio de Janeiro e conta com a participação de Secretários(as) das principais pastas e representantes da sociedade civil. O decreto também cria o Comitê Executivo de Mudanças Climáticas, instância técnica encarregada de subsidiar o Fórum com dados, avaliações e informações sobre políticas, programas e projetos de mitigação, adaptação e sequestro de carbono.
A composição do Fórum demonstra que a liderança climática está formalmente alocada a autoridade de alta hierarquia, com capacidade de mobilização intersetorial, e conta com um comitê técnico de apoio para fundamentação das decisões.
Entretanto, não foram encontradas evidências documentais de funcionamento ativo e contínuo do Fórum, como atas, relatórios ou registros de encaminhamentos. Fiscalizações anteriores do Tribunal apontaram dificuldades de articulação entre órgãos municipais, o que pode indicar fragilidade na efetividade da liderança climática, apesar da estrutura normativa instituída.
Embora a ausência de evidência sobre o funcionamento regular dessas instâncias e as fragilidades de coordenação apontadas em fiscalizações anteriores, a liderança climática no Município está formalmente atribuída à chefia do Executivo, com apoio técnico previsto em decreto. A posição institucional do responsável pela liderança e a estrutura técnica de assessoramento atendem aos critérios formais exigidos.</t>
  </si>
  <si>
    <t>O Plano de Desenvolvimento Sustentável e Ação Climática da Cidade do Rio de Janeiro - PDS apresenta mapeamento e possível impacto dos perigos climáticos (elevação do nível do mar, deslizamento de terra, ondas de calor e inundações).
No ano de 2024 houve a produção do Relatório do Plano Verão, para o período de 2024/2025, que traz o mapeamento dos riscos climáticos baseados em eventos históricos.
No âmbito da Fundação GeoRio, há mapeamento de risco geológico referente ao Maciço da Tijuca, com base em estudos técnicos. No entanto, não há mapeamento atualizado para o Maciço da Pedra Branca, região também sujeita a movimentos de terra, o que representa uma lacuna na cobertura territorial do mapeamento de riscos geológicos.
O Alerta Rio reúne dados de diversos parâmetros climáticos que ajudaram a subsidiar alguns mapeamentos.
O Município do Rio de Janeiro possui mapeamentos atualizados nos últimos cinco anos, com base em evidências científicas, que contemplam parte dos principais riscos associados à mudança do clima. Contudo, a cobertura territorial é parcial, com lacunas importantes em regiões suscetíveis a eventos extremos, como o Maciço da Pedra Branca.</t>
  </si>
  <si>
    <t>O Estado do Rio de Janeiro dispõe do documento intitulado "Mapa de Vulnerabilidade da População dos Municípios do Estado do Rio de Janeiro frente às Mudanças Climáticas", elaborado em 2011. Entretanto, o material não foi atualizado ou revisado nos últimos cinco anos.</t>
  </si>
  <si>
    <t>Como o "Mapa de Vulnerabilidade da População dos Municípios do Estado do Rio de Janeiro frente às Mudanças Climáticas", elaborado em 2011, não foi atualizado ou revisado nos últimos cinco anos, não há base técnica atualizada para que os riscos climáticos sejam devidamente considerados e incorporados aos principais instrumentos de planejamento de médio e longo prazo do Estado.</t>
  </si>
  <si>
    <t>O PPA 2022-2025, embora não mencione diretamente leis climáticas, incorpora ações alinhadas a elas, como mobilidade urbana sustentável, qualidade ambiental e mudanças climáticas. Destaca-se o tema transversal "Mudanças Climáticas e Resiliência", evidenciando alguma incorporação do tema no planejamento estratégico do Município.
No que tange ao uso de mapeamentos de riscos e vulnerabilidades, pode-se citar alguns programas do PPA 2022/2025:
Obras de mitigação geotécnica e operação dos sistemas Alerta-Rio e alarme sonoro, sob gestão da Fundação GeoRio (Programa 0023 - Proteção de Encostas e Áreas de Risco Geotécnico).
No Programa 0616 - Saneamento Básico e Gestão de Resíduos Sólidos, há metas para:
Desenvolvimento de projetos e estudos voltados ao controle de enchentes e manejo de corpos hídricos.
Desassoreamento e manutenção de estruturas hidráulicas, visando à melhoria das condições de vida.
O Plano Rio Verão 2024/2025 apresenta uma série de iniciativas (Programas) da cidade para enfrentamento da situação climática.
Os instrumentos de planejamento do Município incorporam alguns elementos relacionados a riscos climáticos, mas de forma parcial e sem articulação clara com os mapeamentos de vulnerabilidade existentes.</t>
  </si>
  <si>
    <t>O Fórum Rio de Janeiro de Mudanças Climáticas pode ser considerado um mecanismo efetivo de articulação entre diferentes áreas do governo estadual. Isso porque, além da Secretaria de Estado do Ambiente e Sustentabilidade, o Fórum inclui, em sua composição, diversas outras secretarias estratégicas, como a Casa Civil e Governança, Desenvolvimento Econômico, Ciência e Tecnologia, Educação, Transportes, Agricultura, Saúde e Defesa Civil, conforme disposto no Decreto nº 46.912/2020.
Adicionalmente, o regimento interno instituiu cinco Câmaras Temáticas vinculadas ao Fórum, voltadas a temas centrais da agenda climática: Mitigação e Descarbonização, Adaptação e Resiliência, Pesquisa em Mudanças Climáticas, Educação Ambiental e Comunicação Social, e Justiça Climática.
As atas das reuniões do Fórum evidenciam que o mecanismo está ativo e em funcionamento.</t>
  </si>
  <si>
    <t>O Município do Rio de Janeiro possui diferentes instâncias formais de coordenação entre órgãos municipais voltadas à agenda climática:
 - 	O Comitê Integrado de Planejamento e Desenvolvimento Sustentável, (Decreto Rio nº 46.078/2019), reúne cerca de 40 órgãos da Prefeitura
 - 	O Programa de Governança Climática (Decreto Rio nº 48.941/2021) institui o Comitê Executivo de Mudanças Climáticas como instância técnica
 - 	o Comitê de Desenvolvimento de Protocolos para Enfrentamento de Calor Extremo - CDPECE foi criado em 2024 (Decreto Rio nº 54.740/2024), com participação intersetorial.
Entretanto, faltam evidências de funcionamento contínuo dessas estruturas. A última ata,  do Comitê Integrado, disponível no site do Escritório de Planejamento é de 2023 e não há registros atualizados de reuniões do Fórum de Planejamento Climático desde 2021https://fgc-rio-pcrj.hub.arcgis.com/pages/acomp. Também não foram localizados dados públicos sobre a atuação do  CDPECE.
O Município dispõe de mecanismos formais de coordenação horizontal entre seus órgãos, voltados à agenda climática e ao planejamento sustentável. Contudo, faltam evidências de funcionamento contínuo e ativo das instâncias existentes, o que limita sua efetividade como instrumentos de coordenação institucional.
Apesar da existência de mecanismos normativos, a ausência de comprovação de atividade regular compromete sua efetividade como instrumentos de coordenação.</t>
  </si>
  <si>
    <t>O Estado do Rio de Janeiro participa de mecanismos institucionais de coordenação horizontal com outros entes subnacionais para enfrentar desafios comuns relacionados às mudanças climáticas, sendo signatário da Under2 Coalition, da Regions4 e integrante do Carbon Pricing in the Americas.
A Under2 Coalition reúne governos comprometidos em limitar o aquecimento global a até 2°C (preferencialmente abaixo de 1,5°C), promovendo a troca de experiências em políticas de baixo carbono, energia limpa, mobilidade sustentável, gestão de resíduos e definição de metas de redução de emissões.
A Regions4 conecta governos regionais para cooperação em desenvolvimento sustentável e conservação da biodiversidade, facilitando o intercâmbio de boas práticas, projetos e financiamentos em adaptação climática e preservação de ecossistemas.
O Carbon Pricing in the Americas é uma plataforma pan-americana que articula governos nacionais e subnacionais, com apoio de instituições e organizações sem fins lucrativos, para promover políticas de precificação de carbono como instrumento de redução de emissões e incentivo à economia de baixo carbono.
A atuação do Estado do Rio de Janeiro foi objeto de destaque pela Regions4, reconhecendo-o por boas práticas de gestão ambiental e adaptação, informando ainda, de sua participação na COP16 para o compartilhamento de estratégias. Também foram identificadas publicações complementares sobre a participação ativa do ERJ na COP16.</t>
  </si>
  <si>
    <t>A cidade do Rio de Janeiro participa de mais de uma aliança de coordenação intergovernamental, com destaque para:
- Rede ICLEI (rede global de mais de 2.500 governos locais e regionais comprometida com o desenvolvimento urbano sustentável.) 
- associado do CNCA (aliança de cidades líderes globais que trabalham em colaboração para alcançar a neutralidade de carbono nos próximos 10 a 20 anos.) 
- participante do Fórum CB27 ( Fórum de Secretários de Meio Ambiente das Capitais Brasileiras - CB27) https://americadosul.iclei.org/projetos/forum-cb27/
- integrante do C40 Cities (A C40 é uma rede global de quase 100 prefeitos das principais cidades do mundo, unidos na ação para enfrentar a crise climática.)
Neste contexto, destaca-se que no ano de 2025 a cidade participou de um encontro do Fórum CB27 de gestores locais (sudeste) para fortalecer a atuação rumo à COP30 (https://americadosul.iclei.org/forum-cb27-reune-gestores-locais-para-fortalecer-a-atuacao-rumo-a-cop30) e que irá sediar o encontro da Cúpula Mundial de Prefeitos da C40 de 2025 (https://www.c40.org/news/c40-world-mayors-summit-2025-announcement/).
O Município do Rio de Janeiro participa ativamente de redes e fóruns intergovernamentais voltados à agenda climática, com evidências documentadas de engajamento contínuo em iniciativas, encontros e compromissos internacionais e nacionais. A atuação em redes como ICLEI, C40, CB27 e CNCA indica cooperação horizontal estruturada com outros entes de mesmo nível federativo.</t>
  </si>
  <si>
    <t>O Município do Rio de Janeiro tem representante na Comissão Tripartite Estadual do Rio de Janeiro. O Art. 20 da Portaria GM/MMA Nº 1.022, DE 27 DE MARÇO DE 2024, demonstra a nomeação de Tainá Reis de Paula Kapaz (Secretária de Meio Ambiente do Município) como representante titular da cidade e de Artur Miranda Sampaio, como suplente.
Na última reunião da Comissão Tripartite Nacional foi registrada a presença do Coordenador Nacional do Fórum CB27, cujo o Município é integrante.
Embora haja previsão formal de representação do Município em espaços de coordenação interinstitucional entre esferas de governo, não foram identificadas evidências de atuação efetiva e contínua nessas instâncias. A ausência de registros documentais sobre reuniões ou contribuições técnicas compromete a verificação do funcionamento articulado entre os níveis federativos.</t>
  </si>
  <si>
    <t>Quanto aos mecanismos de coordenação vertical, o Estado do Rio de Janeiro é membro da Comissão Técnica Tripartite Estadual, instituída pela Portaria MMA nº 289/2004, por meio da participação da Secretaria de Estado do Ambiente e Sustentabilidade (SEAS) e do Instituto Estadual do Ambiente (INEA). 
Em 17/06/2024 a Comissão Tripartite realizou reunião abordando temas ambientais prioritários, fato este que confirma a atividade do mecanismo de coordenação vertical. Ainda que o ERJ tenha sido representado, foi constatado por meio da ata, quanto à necessidade de atualização do representantes do SEAS e INEA.
Além disso, o Estado do Rio de Janeiro participa do Conselho da Federação, instância de articulação entre União, Estados e Municípios. Em reunião realizada em 03/07/2024, da qual o Governador Cláudio Castro participou compondo a mesa, foi aprovado o Compromisso para o Federalismo Climático (Res. Nº 3/2024), estabelecendo a institucionalização da governança climática federativa e colaborativa entre as diferentes esferas de governo.
Portanto, o Estado do Rio de Janeiro demonstra atuar em mecanismos de coordenação vertical relacionados com a mudança climática, embora careça, parcialmente, da  atualização na designação de seus representantes.</t>
  </si>
  <si>
    <t>O Fórum Rio de Janeiro de Mudanças Climáticas tem entre seus objetivos específicos, conforme disposto no Decreto nº 46.912/2020, o de "facilitar a interação entre a sociedade civil e o poder público, de modo que o tema das mudanças climáticas seja internalizado em todas as esferas de atuação dos atores sociais relevantes".
O Fórum contempla, em sua composição, representantes da sociedade civil, do setor privado e da academia, o que reforça seu caráter participativo e plural. A presença e manifestação ativa desses segmentos foi registrada, por exemplo, na ata da reunião realizada em dezembro/24, que registrou falas de representantes como Maria Eduarda (advogada, sociedade civil), Juliana (Movimento O Clima é de Mudança), Suelem (Movimento dos Atingidos por Barragens) e Aécio (ONG FASE).
No entanto, ainda não foram identificados relatórios públicos que demonstrem o encaminhamento institucional das contribuições recebidas da sociedade, ou seja, não há evidências documentais sobre como as sugestões foram incorporadas ou justificadamente rejeitadas.</t>
  </si>
  <si>
    <t>No que se refere aos mecanismos de participação, é importante mencionar a existência do Conselho Municipal de Meio Ambiente da Cidade do Rio de Janeiro (CONSEMAC), criado pela Lei 2.390 de 01/12/1995. São atribuições do CONSEMAC, resguardadas outras estabelecidas pela legislação em vigor: definir, acompanhar, fiscalizar, promover e avaliar políticas, ações, projetos e programas referentes às questões relativas ao meio ambiente. Reuniões são realizadas a cada dois meses.
Conforme o DECRETO RIO "P" No 196 DE 12 DE JUNHO DE 2024, o CONSEMAC possui representação paritária de membros do Poder Executivo e da Sociedade Civil.
No endereço eletrônico https://ambienteclima.prefeitura.rio/consemac/ são apresentadas as atas das reuniões.
Há, ainda, o sítio eletrônico participa.rio (https://participario-pcrj.hub.arcgis.com/), que fomenta a participação popular no planejamento de algumas políticas públicas da Cidade.
Ressalta-se ainda, a existência do Fórum de Governança Climática (Decreto 48.941/2021), que conta com a participação de 10 representantes da sociedade civil.
Apesar da existência de mecanismos formais e ativos de participação social nas políticas ambientais e climáticas do Município, incluindo instâncias deliberativas e canais digitais, não foram identificadas evidências de resposta institucional estruturada às contribuições da sociedade civil, como relatórios públicos que demonstrem quais sugestões foram acolhidas, rejeitadas ou consideradas no processo decisório.</t>
  </si>
  <si>
    <t>O Decreto nº 46.912/2020 estabeleceu formalmente a composição do Fórum Rio de Janeiro de Mudanças Climáticas, prevendo a inclusão de representantes da sociedade civil, do setor privado e da comunidade acadêmica nos mecanismos de participação. Conforme artigo 2º, integram o Fórum instituições como a Federação das Indústrias do Estado do Rio de Janeiro (FIRJAN), o Conselho Empresarial Brasileiro para o Desenvolvimento Sustentável (CEBDS), o Instituto Clima e Sociedade (ICS), o Centro Brasileiro do Clima (CBC), a Federação da Agricultura do Estado do Rio de Janeiro (FAERJ), a Associação Nacional de Órgãos Municipais de Meio Ambiente - ANAMMA-RJ, o Instituto BVRio e dois representantes de universidades sediadas no estado, indicados pelo Conselho de Reitores.
Além dos membros permanentes, o decreto prevê a possibilidade de participação de convidados externos, conforme a pertinência temática de cada reunião, o que amplia a capacidade do Fórum de incorporar diferentes perspectivas e conhecimentos especializados.
Ademais, no primeiro trimestre de 2025 foi realizado o Chamamento Público nº 001/2025, com o objetivo de fomentar a participação de representações da sociedade civil na composição das Câmaras Temáticas vinculadas ao Fórum. As Câmaras Temáticas são instâncias técnicas de suporte à Plenária do Fórum, criadas com a finalidade de promover a discussão e a articulação de temas específicos relacionados às mudanças do clima.</t>
  </si>
  <si>
    <t>o CONSEMAC conta com a participação de:
10 membros da Sociedade Civil, com a seguinte distribuição
a) 03 representantes de entidades da defesa e proteção do meio ambiente
b) 03 representantes de associações empresariais
c) 02 representantes de associações profissionais e entidades técnico-científicas:
d) 01 representante de entidade comunitária
e) 01 representante de entidade sindical
Dois convidados da Sociedade Civil:
a)Associação Brasileira de Oceanografia
b) Federação das Associações de Moradores do Município 
O Fórum de Governança da Cidade não estabelece quais segmentos da sociedade civil devem estar representados.
Em resumo, evidencia-se no CONSEMAC a participação da população e seus representantes e das empresas e associações do setor produtivo. Apesar da indicação de dois representantes de associações profissionais e entidades técnico-científicas, estas são a Fundação Brasileira para a Conservação da Natureza - FBCN e a Sociedade dos Engenheiros e Arquitetos do Estado do Rio de Janeiro - SEAERJ, não havendo representantes de universidades e centros de pesquisa do setor acadêmico. 
Mesmo considerando que o estudo elaborado pela COPPE/ UFRJ, "Estratégia de Adaptação às Mudanças Climáticas da Cidade do Rio de Janeiro" (Centro Clima/COPPE/UFRJ, 2016), foi referência bibliográfica para implementação do PDS do Município, entende-se que esta foi uma ação pontual de participação.</t>
  </si>
  <si>
    <t>Não foram identificadas evidências de que o Governo do Estado do Rio de Janeiro disponha de um mapeamento atualizado dos grupos populacionais mais vulneráveis aos impactos das mudanças climáticas.
Entretanto, o Plano de Trabalho do Projeto Rio Clima II, contratação destinada a apoiar ações governamentais vinculadas à Política Estadual de Mudanças do Clima e do Desenvolvimento Sustentável, prevê, entre suas diretrizes estratégicas:
1. A promoção do desenvolvimento sustentável em suas múltiplas dimensões, considerando setores e temas estratégicos, com vistas à redução das desigualdades e à transição justa
2. A promoção da justiça climática, incorporando dimensões de gênero, raça, etnia, idade, classe social e demais fatores que influenciam a vulnerabilidade.
Adicionalmente, no item 5.1, Quadro 4 - Eixos Transversais de Ações de Adaptação, consta o componente justiça climática, que reconhece a importância de assegurar equidade no acesso às políticas públicas. Conforme definido no documento, a justiça climática "busca assegurar o acesso às políticas de adaptação de forma que estas promovam benefícios equitativos, impedindo a sustentação das desigualdades existentes e garantindo a todos os grupos sociais acesso isonômico a recursos, proteção e oportunidades para se adaptar às mudanças climáticas".</t>
  </si>
  <si>
    <t>O Município do Rio conta com mapeamentos atualizados nos últimos cinco anos que abrangem parte dos principais riscos associados às mudanças climáticas, muito embora a cobertura não seja absoluta, apresentando lacunas significativas em áreas vulneráveis a eventos extremos, como o Maciço da Pedra Branca.
A Prefeitura mantém ações contínuas de atendimento emergencial às famílias impactadas por desastres e situações socioambientais adversas, bem como iniciativas de caráter preventivo e estruturante. Entre estas, a criação do GT (Resolução SMAC/IPP nº 01/2023), voltado ao estabelecimento de critérios socioambientais para ações sustentáveis em assentamentos precários, especialmente favelas.
A atenção aos grupos vulneráveis também se encontra integrada a instrumentos estratégicos de gestão. Os Planos Estratégicos 2021-2024 e 2025-2028 incorporam indicadores e metas vinculados à promoção da igualdade e da equidade, alinhando ações setoriais às necessidades específicas desses grupos. O PDS dedica capítulo específico ao planejamento para ação climática inclusiva, com objetivos voltados à proteção e promoção de direitos desses grupos.
Embora seja necessário ampliar a abrangência territorial dos mapeamentos e manter sua atualização contínua, as evidências mostram que o Município identifica os grupos vulneráveis, considera suas necessidades e incorpora essa abordagem aos principais instrumentos de gestão climática, com ações já em andamento.</t>
  </si>
  <si>
    <t>O Município do Rio de Janeiro possui instâncias e canais institucionais que possibilitam a participação social na formulação e acompanhamento de políticas ambientais e climáticas. Destaca-se o Conselho Municipal de Meio Ambiente (Lei nº 2.390/1995) com atribuições de definir, acompanhar, fiscalizar e avaliar políticas, ações ambientais, reunindo-se bimestralmente e contando com dez membros da sociedade civil.
Além dele, há o portal participa.rio, para consultas e sugestões da população: Fórum de Governança Climática (Decreto Rio nº 48.941/2021), com dez representantes da sociedade civil, e o Conselho Municipal de Favelas (Decreto Rio nº 49.812/2021), que apoia a Prefeitura em políticas voltadas às favelas.
Também houve a participação popular na elaboração do Plano Estratégico do Município (com registros em suas páginas 40, 45-47, 263 e 301) e do Plano de Desenvolvimento Sustentável e Ação Climática (PDS) (págs. 40-61), por meio de oficinas, consultas públicas e eventos abertos.
Entretanto, não foram identificadas evidências específicas de que grupos sociais e/ou econômicos em situação de vulnerabilidade  -  especialmente os mais expostos aos impactos climáticos  -  tenham participação sistemática e estruturada no processo decisório de políticas e estratégias climáticas. Faltam registros documentais que demonstrem como as contribuições desses grupos foram incorporadas ou justificadamente rejeitadas.</t>
  </si>
  <si>
    <t>O Plano de Trabalho do Projeto Rio Clima II, no mesmo item 5.1, Quadro 4 - Eixos Transversais de Ações de Adaptação, estabelece que o Fórum Rio de Janeiro de Mudanças Climáticas (FRJMC) será a instância responsável pela escuta social e pela recepção de propostas e soluções voltadas à priorização de populações e territórios em situação de vulnerabilidade.
O Fórum constitui espaço institucional para reunir representantes da sociedade civil, órgãos governamentais, instituições de pesquisa e demais atores relevantes, permitindo a construção conjunta de estratégias, políticas e planos climáticos que considerem as demandas específicas desses grupos, em alinhamento com os princípios de justiça climática.</t>
  </si>
  <si>
    <t>O Município do Rio de Janeiro possui normas e planos que reconhecem a importância da equidade nas políticas climáticas. A Lei nº 5.248/2011 estabelece como objetivo identificar vulnerabilidades e promover ações de adaptação para populações e ecossistemas mais frágeis.
O Plano de Desenvolvimento Sustentável e Ação Climática (PDS) inclui metas específicas voltadas a esses grupos, como evitar moradia em áreas de risco, capacitar pessoas vulneráveis para trabalho em hortas comunitárias, e reduzir ameaças ambientais em comunidades vulneráveis.
No entanto, apesar dessas diretrizes, ainda não há clareza sobre quais grupos vulneráveis são efetivamente atendidos pelas ações. Os planos contemplam a equidade, mas não abrangem sistematicamente todos os segmentos mais expostos.
Conclui-se que, embora a legislação e os planos municipais prevejam proteção a populações vulneráveis, a falta de um mapeamento integrado dificulta avaliar a efetividade das políticas, refletindo um estágio intermediário que requer aprimoramento na identificação e acompanhamento desses grupos.</t>
  </si>
  <si>
    <t>Não foram identificadas evidências de que o quadro legal vigente no Estado do Rio de Janeiro incorpore, de forma explícita, uma perspectiva de equidade nos dispositivos de suas estratégias, políticas e planos climáticos.
Embora o Plano de Trabalho do Projeto Rio Clima II contemple, em suas diretrizes estratégicas e no componente de justiça climática, a importância de promover benefícios equitativos e impedir a perpetuação de desigualdades, tais disposições ainda não se encontram formalizadas ou integradas de maneira explícita aos instrumentos legais e normativos do Estado.</t>
  </si>
  <si>
    <t>A Câmara Municipal do Rio de Janeiro possui comissão permanente de Meio Ambiente, com objetivo de estudar e promover debates e pesquisa sobre todas as formas de poluição e realizar estudos sobre a preservação e ampliação das áreas verdes do município. Esta Comissão tem se reunido ao mínimo uma vez por mês, envolvendo-se em atividades climáticas, como audiências públicas.
Existe ainda, comissão temporária com o objetivo de acompanhar as políticas de enfrentamento às mudanças climáticas e os consequentes impactos socioambientais na cidade do Rio de Janeiro. Só houve a reunião de abertura desta comissão, em 20/03/2025.
Existem as Comissões Permanentes de Obras Públicas e Infraestrutura, Proteção e Defesa Civil e Transportes e trânsito, no entanto, não há evidências de que a questão climática seja tratada de forma transversal nestas.
Conclui-se que existe Comissões Permanente e temporária que tratam das questões climáticas, envolvendo-se em atividades relacionadas com a mudança do clima. No entanto, a questão climática não é tratada de forma transversal em comitês ou comissões que não tenham apenas o foco climático.</t>
  </si>
  <si>
    <t>A Assembleia Legislativa do Estado do Rio de Janeiro (ALERJ), no exercício de suas atribuições constitucionais, apresenta consistência em sua atuação frente ao arcabouço legal, às políticas públicas e estratégias estaduais voltados às mudanças do clima e seus efeitos sobre a população fluminense.
No âmbito de suas recentes deliberações, ressalta-se a revisão da Política Estadual sobre Mudança Global do Clima, promovida pela Lei nº 9.072/2020, de iniciativa da ALERJ, que reforçou a política climática ao determinar a elaboração do Plano Estadual sobre Mudanças Climáticas, prever a atualização periódica das metas de mitigação e adaptação alinhadas à NDC brasileira e fortalecer a integração intersetorial das ações governamentais.
Quanto à atuação de suas comissões permanentes, a de Defesa do Meio Ambiente tem realizado relevantes audiências públicas como em 2024, discutindo impactos climáticos e medidas de adaptação, e em 2022, abordando a preservação ambiental e mitigação de riscos. Outras comissões permanentes atuam também, de forma transversal, como: a de Minas e Energia que contribui para a mitigação climática ao discutir a transição energética
Ante o exposto, a ALERJ demonstra atuação institucional ativa e alinhada às demandas de mitigação e adaptação climática, consolidando seu compromisso com a sustentabilidade e a proteção da população fluminense.</t>
  </si>
  <si>
    <t>O Tribunal de Contas do Estado do Rio de Janeiro (TCE-RJ), no exercício de suas atribuições constitucionais de fiscalização contábil, financeira, orçamentária, operacional e patrimonial da administração pública, tem desempenhado atuação relevante no âmbito do controle externo aplicado às mudanças climáticas.
No primeiro semestre de 2025, o TCE-RJ realizou Auditoria Governamental (Fiscalização nº 31/2025, Processo TCE-RJ nº 100.848-9/25) visando diagnosticar os serviços de drenagem e manejo de águas pluviais urbanas (DMAPU), sob os eixos de planejamento, operação, gestão de riscos e governança climática em seus 91 municípios jurisdicionados. Cumpre destacar que a fiscalização contemplou a obtenção de informações a respeito do grau de preparo das Prefeituras Municipais frente aos efeitos das mudanças climáticas, sendo essa temática uma componente significante do diagnóstico produzido. 
Em consulta institucional à Controladoria Geral do Estado do Rio de Janeiro (CGE-RJ), foi constatada a ausência de procedimentos específicos de controle interno relacionados às mudanças climáticas nos últimos 5 anos.
Por todo o exposto e considerando que a presente avaliação trata conjuntamente dos Controles Interno e Externo do Estado do Rio de Janeiro obteve-se o avanço intermediário para as referidas atuações.</t>
  </si>
  <si>
    <t>Com relação as auditorias realizadas pelo TCMRio, destacam-se:
2021-Auditoria Operacional: Avaliação de Políticas Públicas nas Unidades de Conservação da Natureza, processo 40/100286/2021
2021-Auditoria de Conformidade: Plano Municipal de Gestão Integrada de Resíduos Sólidos (PMGIRS) do Município, processo 40/101285/2021
2022-Acompanhamento das ações correlacionadas às áreas de controle de enchentes e drenagem, processo 40/100825/2022
2022-Acompanhamento das ações: Programas de Contenção de Encostas e Áreas de Risco Geotécnico e de Resiliência e gestão de risco, processo 40/100826/2022
2022-Acompanhamento das ações: Manutenção da região de florestas na Cidade do Rio de Janeiro, em especial o programa "Refloresta Rio", processo 40/101818/2022
No que diz respeito à Controladoria Geral do Município-CGM, listam-se as seguintes auditorias:
2022-Auditoria na Meta de concluir obras em 25 localidades de mais alta prioridade quanto ao risco de deslizamentos até 2022-RAG 178/2022
2022-Auditoria no aterro metropolitano de Gramacho-RAG 210/2022
2024-Auditoria na Obra de Canalização do Rio Tindiba-RAG 006/2024
2024-Auditoria na Meta de ampliar  os serviços de conservação e manutenção de cursos desassoreamento-RAG 159/2024
Conclui-se que tanto o Tribunal de Contas do Munícipio quanto a CGM tem realizado ações de controle para avaliar as ações governamentais relacionadas com as mudanças do clima. Contudo, as auditorias supracitadas não possuem o tema mudança do clima como foco principal.</t>
  </si>
  <si>
    <t>O Tribunal de Justiça do Estado do Rio de Janeiro (TJRJ) demonstra atuação institucional consistente no contexto da gestão jurisdicional frente às mudanças climáticas, conforme a Resolução CNJ nº 433/2021 (alterada pela Resolução CNJ nº 611/2024), cujas ações implementadas indicam o alinhamento do Poder Judiciário à agenda climática e ambiental, por meio da criação de instâncias especializadas (art. 6º, I), da capacitação de magistrados e servidores (art. 6º, II e III), da incorporação de ferramentas tecnológicas (art. 6º, IV) e do fortalecimento da articulação interinstitucional (art. 6º, V), em conformidade com os eixos estruturantes da política judiciária para o clima e o meio ambiente.
Cumpre destacar que os atos de instituição do Grupo de Meio Ambiente (GMA-TJRJ), a criação do Observatório de Questões Ambientais e a participação de magistrado no Fórum Nacional para o Meio Ambiente (Fonamb), conjuntamente com a adesão ao Programa Justiça 4.0, reforçam a atuação do Judiciário na agenda climática.
No que tange às ações educacionais e da tecnologia da informação, verifica-se a realização de cursos de capacitação e de formação pela EMERJ e ESAJ, e a utilização da "Plataforma Natureza Fluminense", que permite o acompanhamento georreferenciado de processos ambientais.
Ante o exposto, as constatações evidenciam que o TJRJ dispõe de arranjos institucionais adequados às diretrizes da Resolução CNJ nº 433/2021.</t>
  </si>
  <si>
    <t>Item não se aplica ao ente avaliado.</t>
  </si>
  <si>
    <t>A Lei nº 4.437, de 17 de dezembro de 2018, do estado de Rondônia, institui a Política Estadual de Governança Climática e Serviços Ambientais (PGSA) e cria o Sistema Estadual de Governança Climática e Serviços Ambientais (SGSA). O objetivo principal é promover a governança climática, o desenvolvimento sustentável e a implementação de mecanismos de Pagamento por Serviços Ambientais (PSA) no estado. A lei, porém, ainda não foi regulamentada.
Por meio do Decreto nº 25.968/2021, foi criado o FUNCLIMA (Fundo Estadual de Governança Climática e Serviços Ambientais), para promover a governança climática e garantir a oferta de serviços ambientais no estado de Rondônia. O FUNCLIMA pode ter seus recursos aplicados através de convênios, acordos e outros instrumentos, celebrados com órgãos públicos ou entidades do terceiro setor.
Em 2024, o Governo do Estado publicou o Decreto Nº 29.556, de 14 de outubro de 2024, instituindo o Comitê Gestor para Adaptação e Enfrentamento às Mudanças Climáticas, um órgão com base em Rondônia, com o objetivo de discutir e implementar medidas para lidar com as mudanças climáticas e fortalecer a resiliência dos municípios. 
O Plano Estratégico de Prevenção e Adaptação aos Efeitos Adversos da Mudança do Clima e aos Eventos Climáticos Extremos - 2025 de Rondônia (RO) é um plano estadual para identificar, antecipar e reduzir riscos de eventos climáticos severos, com foco nas áreas mais vulneráveis do estado.</t>
  </si>
  <si>
    <t>A legislação estadual não explicita metas numéricas de redução de GEE (gases de efeito estufa), tampouco estabelece compromissos quantitativos que dialoguem diretamente com o Acordo de Paris ou com as Contribuições Nacionalmente Determinadas (NDCs) do Brasil.
Embora a PGSA trate de diretrizes para mitigação, como REDD+, serviços ambientais e desmatamento evitado, não há metas próprias com horizonte temporal e percentual compatível com os compromissos nacionais. Esse ponto pode ser considerado uma lacuna de alinhamento técnico-operacional, especialmente no que tange à comparabilidade das ambições climáticas.</t>
  </si>
  <si>
    <t>Embora a lei estadual determine a integração climática nos instrumentos de planejamento, não há evidência clara de que os principais documentos de planejamento e orçamento do Estado (como PPA, LDO, LOA ou planos setoriais específicos) tenham absorvido plenamente essas diretrizes.
Existe, contudo, relação entre a lei que instituiu o PGSA e 0 Plano Estratégico de Prevenção e Adaptação aos Efeitos Adversos da Mudança do Clima e aos Eventos Climáticos Extremos. Existem algumas disposições, porém são vagas.</t>
  </si>
  <si>
    <t>A Secretaria de Estado do Desenvolvimento Ambiental (SEDAM) é o órgão responsável pela agenda climática no estado. A Lei Estadual nº 4.437/2018 atribui à SEDAM a coordenação do Sistema Estadual de Governança Climática e Serviços Ambientais (SGSA). O Decreto nº 30.504/2025 estabelece a recriação e renomeação de cargos de direção superior na Secretaria de Estado do Desenvolvimento Ambiental, conforme a estrutura prevista na LC 965/2017. Entre os cargos, foi incluído o "Diretor de Governança Climática", indicando formalmente a criação de uma unidade específica para o tema mudanças climáticas no quadro do órgão. Em que pese a criação do cargo, não foram atribuídas as competências para a unidade no âmbito da SEDAM.
Como mencionado, também existe o Comitê Permanente de Gestão para Adaptação e Enfrentamento às Mudanças Climáticas.
O Decreto 28.613/2023 instituiu o Comitê de Crise Hídrica, com composição multissetorial (CBM/CEPDEC, Casa Civil, PGE, SEDAM, SEFIN, SEPOG, SEAGRI, CAERD, SECOM, EMATER, IDARON, AGEVISA, SEDEC) e coordenação pelo CBM/Defesa Civil, com possibilidade de GTs.</t>
  </si>
  <si>
    <t>Autoridade coordenadora definida em lei. A Lei 4.437/2018 (PGSA/SGSA) institui o Sistema Estadual de Governança Climática e Serviços Ambientais (SGSA) e explicita seus componentes (Conselho Gestor
Apesar do mandato legal claro da SEDAM e de comitês/GTs formalizados, faltam evidências normativas e operacionais de que as responsabilidades climáticas estejam distribuídas e integradas, por setor, com matriz de atribuições (quem faz o quê, prazos, produtos) e autoridade transversal efetiva (p. ex., instruções normativas conjuntas, resoluções do Conselho Gestor impondo deveres setoriais, agendas/atas com deliberações intersetoriais vinculantes e monitoradas). Os decretos mostram composição e coordenação (especialmente em hídrico/adaptação), mas não comprovam, por si, a mainstreaming climático em todas as pastas (transportes, saúde, planejamento, fazenda etc.) com papéis operacionais definidos e rotinas de prestação de contas.</t>
  </si>
  <si>
    <t>"Liderança institucional identificada e publicizada. A SEDAM abriga a Diretoria de Governança Climática (DGOVCLIMA), com titular nomeado e canal institucional (""Quem é quem"" e página própria), o que evidencia ponto focal político-técnico para a agenda climática no Executivo estadual. Esses elementos confirmam a existência do ator líder e a priorização formal do tema dentro da SEDAM. Sinalizações do alto escalão e comitês transversais. O Executivo editou decretos criando e ajustando instâncias intersetoriais (inicialmente o Comitê de Crise Hídrica/2023 e, em 2024, o Comitê Gestor para Adaptação e Enfrentamento às Mudanças Climáticas com grupos de trabalho de apoio e captação de recursos). Essas normas explicitaram a coordenação e chamaram secretarias-chave (Casa Civil, SEDAM, SEFIN, SEPOG, SEAGRI, CAERD, CBM/Defesa Civil), sinalizando liderança governamental para articular resposta a riscos e adaptação. 
Apesar dessas sinalizações e arranjos, faltam evidências públicas regulares de exercício efetivo de liderança transversal pelo alto escalão (governador/secretariado em funcionamento rotineiro do Comitê Gestor): calendário e atas de reuniões com deliberações vinculantes, plano anual de trabalho com metas intersetoriais, encaminhamentos cobrados e prestação de contas</t>
  </si>
  <si>
    <t>Em Rondônia há evidência setorial (especialmente em recursos hídricos): o PERH/RO traz leitura de eventos críticos (cheias/estiagens), áreas suscetíveis e fragilidades do sistema, com diretrizes de gestão e lacunas de dados. Isso demonstra alguma capacidade de diagnóstico  -  suficiente para afastar "sem progresso". Porém, falta uma avaliação de risco climática estadual integrada e baseada em cenários (multissetorial, com método, mapas de exposição/sensibilidade/capacidade adaptativa, priorização territorial), e faltam séries e bases primárias para consolidar vulnerabilidades além do hídrico. O TCE-RO (03703/2024), ao auditar Proteção e Defesa Civil sob a lente de intensificação climática, apontou ausência de instrumentos formais de planejamento e de mensuração de impacto/indicadores, o que reforça a inexistência de um RAA (risk assessment) estadual estruturado. Conclusão: há diagnósticos parciais e setoriais, mas não uma avaliação climática integrada  -  inicial.</t>
  </si>
  <si>
    <t>Não há demonstração de que os riscos climáticos (cheias prolongadas, secas severas, ondas de calor, incêndios florestais extremos) estejam formalmente internalizados nos instrumentos setoriais como requisito decisório (por exemplo, matrizes de risco anexas a planos/PPAs setoriais, checklists de licenciamento/planejamento que obriguem análise de risco, critérios de priorização de investimentos com base em risco). A auditoria do TCE-RO também reporta fragmentação, foco reativo (resposta) e carência de arranjos intersetoriais estáveis, o que revela baixa institucionalização da integração do risco no ciclo de políticas. Assim, inicial: existem portas de entrada setoriais, mas a integração climática não está institucionalizada de modo transversal.
Vale frisar que o Plano de Adaptação de Mudanças Climáticas foi elaborado com base em risco, porém, não há evidências tão robustas da construção do plano, tampouco há vínvulo deste com as peças orçamentárias.</t>
  </si>
  <si>
    <t>Apesar da criação do Comitê Permanente de Gestão para Adaptação e Enfrentamento às Mudanças Climáticas, com a participação formal de secretarias como SEDAM, SEDEC, SEAS, SESAU, SEPOG, DER, Emater e CAERD, não há evidência de que todas essas áreas estejam, de fato, envolvidas de forma sistemática na formulação e execução de estratégias de mitigação e adaptação às mudanças climáticas. As reuniões noticiadas concentram-se em respostas emergenciais a eventos críticos (estiagem, queimadas, enchentes), com foco operacional na Defesa Civil e em pastas ambientais e de infraestrutura. Os arquivos foram juntados nos itens anteriores.
 A ausência de diretrizes claras e vinculantes para atuação coordenada em todos os setores estratégicos, conforme preconizado pela metodologia do Painel ClimaBrasil, compromete a efetividade da governança horizontal.
Assim, embora o comitê exista e se reúna, a baixa institucionalização da integração intersecretarial no cotidiano da administração pública estadual impede a caracterização de um arranjo maduro de governança climática. Diante disso, recomenda-se classificação no estágio inicial, respeitando o princípio da efetividade prática sobre a mera formalização estrutural.</t>
  </si>
  <si>
    <t>Rondônia integra e participa de coalizões entre estados com pauta climática/ambiental: ABEMA (inclusive com representação em câmaras técnicas), Fórum de Secretários da Amazônia Legal, Fórum de Governadores/Consórcio Interestadual da Amazônia Legal (com Carta de Porto Velho, 2024). Essas instâncias criam canais de coordenação horizontal e declarações conjuntas. O que não aparece é evidência de programas interestaduais recorrentes com metas, governança e monitoramento sob liderança de RO (ou com entregas específicas para RO). Daí a nota inicial.</t>
  </si>
  <si>
    <t>No caso do Estado de Rondônia, ainda não há estrutura institucionalizada e permanente que articule, de forma sistêmica, a União, o Estado e os municípios na formulação, implementação e monitoramento de políticas climáticas.
Entretanto, há indícios de uma articulação mínima, embora fragmentada e reativa, especialmente em contextos de resposta emergencial. A Defesa Civil estadual, por exemplo, atua em cooperação com prefeituras em períodos críticos, como nas enchentes do Madeira e nos períodos de estiagem prolongada, por meio da coordenação de ações pontuais de distribuição de insumos, apoio técnico e emissão de alertas, o que implica algum grau de cooperação vertical.
O Decreto 28.613/2023 cria comitê "para articular ações integradas nos municípios durante a estiagem".</t>
  </si>
  <si>
    <t>Há mecanismos formais instituídos por lei: a Lei estadual 4.437/2018 cria o SGSA e prevê Fórum Estadual de Mudanças Climáticas e Conselho Gestor
Operacionalmente, o governo realizou Fórum Estadual de Mudanças Climáticas em 2024, reunindo órgãos governamentais, indústrias, pesquisadores, comunidades tradicionais e sociedade civil  -  evidência de ativação do mecanismo, ainda que episódica.
Evidências apresentadas nos itens anteriores.</t>
  </si>
  <si>
    <t>A representatividade está desenhada em lei: o Conselho Gestor do SGSA deve ser paritário entre governo e sociedade civil
Além do desenho, há evidência de ativação recente do Fórum/instâncias, com participação de múltiplos segmentos (governo, academia, setor produtivo, comunidades tradicionais), reforçando a diversidade de atores nas discussões. 
Falta evidenciar ocupação efetiva de todas as cadeiras, quórum e regularidade da participação com decisões/encaminhamentos documentados, além de publicação sistemática de listas de membros/representações e resultados (p. ex., recomendações do Fórum incorporadas em planos/leis). Ainda assim, o arranjo paritário em lei + mobilização multissetorial sustenta o nível intermediário especificamente no critério de representatividade.
Evidências apresentadas nos itens anteriores.</t>
  </si>
  <si>
    <t>"O governo de Rondônia reconhece e considera a vulnerabilidade de certos grupos sociais e econômicos, com menções específicas em dispositivos normativos. No entanto, a eficácia e a abrangência dessas ações depende de análises abrangentes, que englobem fatores que vão além dos aspectos geográficos, físicos e meteorológicos. A equipe não identificou qualquer evidência ou esforço do estado nesse sentido.
Não há evidência de um diagnóstico estadual integrado e multissetorial de vulnerabilidades climáticas com dados desagregados (gênero, raça/etnia, povos e comunidades tradicionais, renda, território) e priorização territorial</t>
  </si>
  <si>
    <t>Existem mecanismos formais previstos na Lei que Institui a Política Estadual de Governança Climática. Foram identificadas iniciativas que agregam a inclusão de grupos sociais e populações tradicionais nos debates de pautas relacionadas ao clima. Observou-se que o Comitê Estadual de Mudanças Climáticas se reúne poucas vezes e não tem deliberado em termos concretos sobre a política climática.
Falta, porém, comprovação regular e documentada de que grupos vulneráveis (povos indígenas/quilombolas, ribeirinhos, mulheres, catadores etc.) ocupam cadeiras, têm voz e influenciam decisões (calendário/atas, listas nominais por segmento, devolutivas).</t>
  </si>
  <si>
    <t>O quadro legal/regulatório (Lei de Governança Climática) incorpora perspectiva de equidade em seus dispositivos, muito embora não estabeleçam medidas/provisões para garantir benefícios e custos equitativos. Faltam metas e indicadores específicos de justiça climática (quem é atendido, onde, com que impacto), dados abertos padronizados, e MRV da distribuição de benefícios/adaptação por público-alvo.</t>
  </si>
  <si>
    <t>A Comissão Permanente de Meio Ambiente da ALE-RO está envolvida em temas climáticos estruturais, como o Zoneamento Socioeconômico-Ecológico e o FUNCLIMA e seus representantes participaram de encontro interinstitucional sobre "mudança climática, governança e intercâmbio comercial" no âmbito da preparação para a COP 30. Essas iniciativas demonstram mobilização institucional relevante do Legislativo. No entanto, ainda não foram identificadas ações estruturadas de fiscalização ou proposições legislativas ligadas diretamente à mitigação e adaptação climática.</t>
  </si>
  <si>
    <t>O controle interno estadual, por meio da Controladoria-Geral do Estado (CGE-RO), realizou auditoria específica com escopo socioambiental, intitulada "Auditoria de Integridade sobre a Governança da Exploração Florestal em Áreas Públicas". A ação envolveu diagnósticos, recomendações e pactuação de plano de ação com os órgãos envolvidos, sob monitoramento contínuo, conforme portaria conjunta CGE/SEDAM/SEFIM. No controle externo, o Tribunal de Contas do Estado de Rondônia (TCE-RO) publicou em 2023 um Relatório Técnico sobre a Governança Climática e Ambiental, abrangendo políticas, instrumentos e instâncias de governança nos níveis estadual e municipal. O TCE-RO também integra a Rede de Governança Climática do Sistema de Tribunais de Contas, contribuindo com análises, dados e boas práticas nacionais.</t>
  </si>
  <si>
    <t>O Tribunal de Justiça de Rondônia (TJ-RO) demonstra mobilização relevante na pauta ambiental por meio de duas frentes complementares:
Participação na Ecoliga (desde 2017):
O TJ-RO é um dos órgãos fundadores da Ecoliga, uma iniciativa de cooperação entre os Tribunais (TJRO, TRE-RO, TRT14, TRF1) e, posteriormente, com diversos parceiros como o TCE-RO, MP-RO, MPF, DPU e a UNIR. A Ecoliga tem atuado em diversas frentes relacionadas à gestão socioambiental e sustentabilidade institucional, incluindo:
Contratações sustentáveis compartilhadas.
Capacitações interinstitucionais (contratações sustentáveis, gestão de resíduos)
Realização de seminários e eventos temáticos
Essa atuação demonstra compromisso com práticas colaborativas e estruturantes de governança ambiental, indo além de ações isoladas.
Parceria com o Censipam (2024):
O TJ-RO também firmou acordo com o Censipam para o uso de dados de sensoriamento remoto no enfrentamento ao desmatamento ilegal, com aplicação dos dados em ações civis públicas e TACs ambientais, em articulação com o Ministério Público e a Defensoria.
Contudo, não há comprovação pública suficiente de cumprimento integral das rotinas da Res. CNJ 433/2021, alterada pela 611/2024 (p.ex., governança climática/jurisdicional com plano anual, indicadores de litígios climáticos, relatórios periódicos e painéis unificados).</t>
  </si>
  <si>
    <t>O estado de Roraima aprovou recentemente a Lei nº 2.224, de 02 de julho de 2025, a qual institui a Política Estadual de Mudanças Climáticas - PEMC. Podem ser citados também como parte do arcabouço legal a Lei n° 2.115/2025, que reconhece o estado de emergência climática no território do estado, e outros normativos/planos que abordam as mudanças climáticas mas de forma setorial, tais como: Lei Nº 1.865/2023 - institui no estado de Roraima a semana de conscientização sobre as mudanças climáticas
A lei geral (Lei 2.224/2025) embora estabeleça objetivos, diretrizes e providências, não estipula diretamente metas e responsabilidades. Em face também de sua recente aprovação, não há evidências de regulamentos e desdobramentos dela nos planos setoriais e instrumentos de planejamento.</t>
  </si>
  <si>
    <t>A Lei nº 2.224, de 02 de julho de 2025, que institui a Política Estadual de Mudanças Climáticas - PEMC de Roraima, possui objetivos e diretrizes que se alinham com a a Política Nacional sobre Mudança do Clima (Lei 12.187/2009). Não obstante, até em face de sua recente aprovação, não há fixação de metas de redução de emissões nela mencionadas em planos e outros instrumentos infralegais.</t>
  </si>
  <si>
    <t>A Lei Nº 2.224/2025 (Política Estadual de Mudanças Climáticas - PEMC) determina expressamente a integração das questões de mudanças climáticas em diversas esferas do planejamento e das políticas setoriais do estado.</t>
  </si>
  <si>
    <t>Não existe uma estrutura governamental específica no Estado para tratar das questões das mudanças climáticas.  As questões climáticas são tratadas dentre as competências gerais do órgão ambiental estadual, no caso a Fundação Estadual do Meio Ambiente e Recursos Hídricos (FEMARH).</t>
  </si>
  <si>
    <t>Não existe uma estrutura específica no Estado para tratar das questões das mudanças climáticas, não havendo por conseguinte definições de responsabilidades.</t>
  </si>
  <si>
    <t>Não existe uma estrutura específica no Estado para tratar das questões das mudanças climáticas.</t>
  </si>
  <si>
    <t>Não existe um mapeamento dos riscos e das vulnerabilidades presentes no território do estado de Roraima associados à mudança do clima.</t>
  </si>
  <si>
    <t>Nos estado de Roraima podem ser citados alguns mecanismos intragovernamentais que guardam relação com enfrentamento dos desafios relacionados com a mudança do clima, tais como: Comitê Gestor do PPCDQ, instituído pelo Decreto nº 38.204-E/2025
Decreto Nº 34.746-E/2023
Não obstante, as estruturas mencionadas referem-se a setores específicos além de não terem o estabelecimento claro de responsabilidades e procedimentos regulamentados. Além disso, a maioria não envolve os setores relevantes de infraestrutura, saúde e planejamento.</t>
  </si>
  <si>
    <t>O estado de Roraima participa dos mecanismos institucionais de coordenação horizontal intergovernamental listados a seguir:
Força-Tarefa dos Governadores para o Clima e as Florestas - GCFTF
Não obstante, para os fins do conceito da avaliação, não foram encontradas evidências de que a representação nesses fóruns é adequada e que ocorreram efetivas participações dos representantes nas reuniões ou encontros.</t>
  </si>
  <si>
    <t>O estado de Roraima não participa de mecanismos intergovernamentais específicos para discutir assuntos relacionados ao enfrentamento das mudanças climáticas.</t>
  </si>
  <si>
    <t>O Decreto Estadual Nº 29.710-E/2020, que trata de políticas de estímulo de baixas emissões de gases de efeito estufa provenientes do desmatamento e da degradação florestal, prevê alguns mecanismos que permitem a participação de atores não governamentais (arts. 12 e 18). No entanto, além de não tratar da temática de mudanças climáticas de forma mais ampla, não há evidências de que o Grupo de Trabalho Social, previsto no art. 12, e o Fórum Estadual de Impulsionamento do Desenvolvimento Econômico-Ambiental de Baixas Emissões, previsto no art. 18, estejam regulamentados, com representantes designados e em efetivo funcionamento.</t>
  </si>
  <si>
    <t>O art. 18 do Decreto Estadual Nº 29.710-E/2020 instituiu o Fórum Estadual de Impulsionamento do Desenvolvimento Econômico-Ambiental de Baixas Emissões, o qual prevê a representação da sociedade civil, setor privado e academia. No entanto, o fórum não engloba a temática de mudanças climáticas de forma ampla, além de não haver evidências de que esteja, regulamentado, com representantes designados e em efetivo funcionamento.</t>
  </si>
  <si>
    <t>O estado de Roraima não realizou trabalho de identificação de grupos sociais e/ou econômicos em situação de vulnerabilidade frente aos impactos das mudanças climáticas em seu território.</t>
  </si>
  <si>
    <t>O embrionário quadro legal relativo às mudanças climáticas(componente G1) do estado de Roraima e os planos de mitigação existentes não incorporam uma perspectiva de equidade em seus dispositivos.</t>
  </si>
  <si>
    <t>A Assembleia Legislativa do Estado de Roraima apesar de não possuir uma comissão exclusivamente dedicada às mudanças climáticas, trata da referida temática na Comissão de Meio Ambiente e Desenvolvimento Sustentável, que tem a finalidade de manifestar-se especificamente sobre política e direito ambientais
O tema em questão poderia ainda ser tratado de forma transversal na Comissão de Agricultura, Pecuária, Pesca, Aquicultura e Política Rural, que possui dentre suas competências metodologia e climatologia. Não obstante, não há evidências de que foram realizadas nessa comissão atividades com o tema de mudanças climáticas.</t>
  </si>
  <si>
    <t>Não foram realizadas, seja pelo Tribunal de Contas, seja pela Controladoria Geral do Estado, nos últimos 5 anos,  auditorias que tenham como foco principal as mudanças climáticas.</t>
  </si>
  <si>
    <t>Embora possua iniciativas na área de sustentabilidade, especialmente em suas próprias atividades, a maior parte das ações previstas no art. 6º da Resolução CNJ 433/2021, que institui a política nacional do Poder Judiciário para o meio ambiente, encontra-se ainda em fase de planejamento para implantação.</t>
  </si>
  <si>
    <t>Considerando que o município de Salvador possui um plano (PMAMC) que aborda de forma explícita e abrangente as dimensões de mitigação e adaptação, e que este plano está amparado por um decreto municipal e alinhado a políticas e instrumentos fiscais já existentes, a classificação mais adequada, segundo o manual de aplicação, é de "Estágio avançado".</t>
  </si>
  <si>
    <t>Em conformidade com os cinco atributos contidos no manual de aplicação, o município de Salvador demonstra consistência avançada com os planos climáticos nacionais. Isso é evidenciado pela ausência de contradição com dispositivos federais, pela compatibilidade das diretrizes de mitigação e adaptação, pela harmonização com as metas nacionais de GEE, pela integração de prazos e pela compatibilidade das metodologias de inventário e reporte, confirmada pelo uso do padrão GPC.</t>
  </si>
  <si>
    <t>O município de Salvador apresenta um quadro regulatório e institucional robusto para a integração das questões climáticas em seus instrumentos de planejamento e políticas setoriais, evidenciado pelo PMAMC. 
O plano estabelece diretrizes detalhadas e ações específicas, envolvendo múltiplos setores e atores, e abrange aspectos sociais, ambientais, de resiliência urbana e baixo carbono, garantindo alinhamento com os ODS.
Apesar de a Ação 1 ("Aplicar a lente climática a programas, planos e projetos da cidade") ainda estar em status de proposição, os mecanismos previstos e o alinhamento com documentos fiscais e de planejamento indicam um cenário favorável à execução futura.
Na visão da equipe de auditoria, essa abordagem formal e detalhada, com a especificação de setores e a abordagem de aspectos climáticos, atende aos critérios para uma classificação em "Estágio intermediário".</t>
  </si>
  <si>
    <t>O município de Salvador demonstra uma estrutura governamental avançada para a agenda climática. A criação de um Grupo de Trabalho intersetorial, formalizado por decreto (32.102/2020), e a designação de uma secretaria central (SECIS) para coordenação comprovam a existência de um mecanismo formal e atuante que internaliza o tema de forma transversal em diversos órgãos do governo municipal (SECIS, CODESAL, SEDUR, SEFAZ, SEINFRA e SEMOB).</t>
  </si>
  <si>
    <t>As responsabilidades para a agenda climática em Salvador estão claramente definidas, permitindo um estágio avançado de governança. A Secretaria Municipal de Sustentabilidade, Inovação e Resiliência (SECIS) é a responsável por liderar e coordenar o Plano de Mitigação e Adaptação às Mudanças do Clima (PMAMC). Um Grupo de Trabalho multissetorial (grupo de trabalho PMAMC, SECIS, CODESAL, SEDUR, SEFAZ, SEINFRA e SEMOB) é o ator central na implementação, enquanto o monitoramento é assegurado por uma comissão específica (comissão de coordenação e acompanhamento na CODESAL). A transparência foi garantida através de um processo participativo na elaboração do plano.</t>
  </si>
  <si>
    <t>A liderança da agenda climática em Salvador está em estágio avançado. A Secretaria Municipal de Sustentabilidade, Inovação e Resiliência (SECIS) detém a posição hierárquica e autoridade necessárias para mobilizar e coordenar os diferentes setores do governo. O acesso ao chefe do executivo, o prefeito, é evidenciado pela sua participação na iniciativa. A estrutura de coordenação possui uma composição mista, com a participação de atores de alto escalão (político) e funcionários de nível técnico, o que garante decisões subsidiadas por evidências.</t>
  </si>
  <si>
    <t>O município de Salvador demonstra um Estágio avançado na gestão de riscos climáticos. O Plano de Mitigação e Adaptação às Mudanças do Clima (PMAMC) foi construído sobre uma sólida base científica e técnica, com a participação de consultores como a Waycarbon, que oferece uma ferramenta de gestão de riscos climáticos.
A CODESAL (Defesa Civil) desempenha um papel central e ativo, com uma estrutura dedicada ao monitoramento e análise de alertas. O Índice de Risco Climático do município é abrangente, considerando riscos como inundação, deslizamentos e a proliferação de doenças.</t>
  </si>
  <si>
    <t>O município de Salvador alcançou um estágio intermediário na incorporação de riscos climáticos em seus instrumentos de planejamento. O Plano de Mitigação e Adaptação às Mudanças do Clima (PMAMC) guia de certa forma o planejamento, com metas e ações para responder a riscos específicos, como os de inundação e deslizamentos. A consideração dos riscos climáticos em outros planos municipais, como a "Estratégia de Resiliência" e o "PlanMob", comprova um nível integração sistêmica do tema.</t>
  </si>
  <si>
    <t>O município de Salvador se encontra no Estágio intermediário para o item "Coordenação horizontal intragovernamental".
Essa conclusão é justificada pelos seguintes atributos:
1. Existência e Formalidade de Mecanismos: O município instituiu um mecanismo formal, o Grupo de Trabalho PMAMC, por meio do Decreto nº 32.102/2020.
2. Abrangência Setorial: Este grupo de trabalho é multissetorial, incluindo representantes de secretarias e órgãos relevantes como Casa Civil, CODESAL, SECIS, SEDUR, SEFAZ, SEINFRA, SEMOB e SEMOP.
3. Dinâmica Ativa e Concreta: O mecanismo não é apenas formal, mas está ativo, como evidenciado pela elaboração do Plano de Mitigação e Adaptação às Mudanças do Clima (PMAMC) e a criação de uma equipe multidisciplinar para esse fim, entretanto não existem evidências que comprovem a realização de reuniões frequentes (atualmente) e concretude das atuações (resoluções, relatórios, deliberações conjuntas).</t>
  </si>
  <si>
    <t>O município de Salvador demonstra um Estágio avançado na coordenação horizontal intergovernamental.
Esta conclusão é justificada da seguinte forma:
1. Participação com representação adequada: A liderança da agenda climática está a cargo da Secretaria Municipal de Sustentabilidade, Inovação e Resiliência (SECIS), um órgão pertinente e com autoridade para representar o município em redes globais como o ICLEI e o C40.
2. Evidências de participação ativa: A colaboração com a Agência Alemã de Cooperação (GIZ) no programa Pró-Adapta e o desenvolvimento do Plano de Mitigação e Adaptação às Mudanças do Clima (PMAMC) com a participação do ICLEI e C40 são provas concretas de que a participação não é meramente formal, mas resulta em ações efetivas.
3. Participação em alianças e coalizões: O município participa das coalizões globais mencionadas, como o C40 Cities Climate Leadership Group, o Global Covenant of Mayors for Climate and Energy e o ICLEI.</t>
  </si>
  <si>
    <t>O município de Salvador demonstra um sólido compromisso e uma estrutura bem estabelecida para a coordenação vertical em relação às mudanças climáticas. 
O quadro legal e regulatório municipal (Lei nº 8.915/2015) explicitamente prevê e estimula a articulação com outras esferas de governo. 
O Conselho Municipal de Meio Ambiente (COMAM) serve como um mecanismo formal que inclui representantes de órgãos ambientais estaduais e federais, garantindo a representatividade adequada. 
Além disso, o Plano de Mitigação e Adaptação às Mudanças do Clima (PMAMC) foi construído com uma abordagem multissetorial e com a intenção de alinhar-se com políticas de diferentes níveis de governo, buscando ativamente o engajamento de atores de outras esferas e através de redes de conhecimento como o Painel Salvador de Mudança do Clima.
Entretanto não há evidências de participação do representante nas reuniões ou encontros que viabilizam a interação regular entre os atores.</t>
  </si>
  <si>
    <t>O município de Salvador demonstra um Estágio intermediário na "Existência de mecanismos de participação". A conclusão é justificada pelo atendimento dos 3 primeiros atributos:
1. Mecanismos de Participação: O município utilizou um processo de "construção coletiva" que funcionou como um mecanismo deliberativo e formal, com a participação da academia, sociedade civil e setor privado.
2. Interação Regular: O processo de elaboração do Plano de Mitigação e Adaptação às Mudanças do Clima (PMAMC) foi marcado por "mais de 60 oportunidades de escuta, audiências e workshops", o que demonstra uma interação regular e intensa.
3. Consideração das Perspectivas: As contribuições da sociedade foram levadas em consideração, resultando na definição de diretrizes e metas ambiciosas para o PMAMC.
4. Relatórios de Resposta Institucional: não há evidências de relatórios formais de resposta institucional à sociedade, entretanto há evidência da incorporação das sugestões no próprio plano.
De forma mais prudente, a equipe de auditoria classificou o item como intermediário.</t>
  </si>
  <si>
    <t>O município de Salvador se encontra no Estágio avançado para o item "Representatividade", conforme análise abaixo.
1. Ampla participação formalizada: O documento afirma que a elaboração do Plano de Mitigação e Adaptação às Mudanças do Clima (PMAMC) foi uma "construção coletiva" que contou com a "ampla participação da academia, da sociedade civil e do setor privado". Isso demonstra que os mecanismos de participação incluíram a representatividade de diversos segmentos sociais e econômicos, o que é um fator fundamental para a eficácia das políticas climáticas.
2. Mapeamento de partes interessadas: A menção de que o plano é resultado dessa ampla colaboração sugere que houve um esforço para incluir os atores relevantes, o que se alinha com o critério de participação formalizada e baseada em um mapeamento de partes interessadas.</t>
  </si>
  <si>
    <t>O município de Salvador demonstra um Estágio avançado na identificação de grupos em situação de vulnerabilidade. Essa conclusão é justificada pela identificação abrangente de diversos grupos sociais e econômicos vulneráveis, como a população de baixa renda, idosos, crianças, pessoas com deficiência, mulheres, agricultores familiares e indivíduos em situação de informalidade.
Além disso, o Plano de Mitigação e Adaptação às Mudanças do Clima (PMAMC) não apenas lista esses grupos, mas também associa as suas necessidades a ações climáticas específicas, como a criação de políticas de segurança alimentar e o fortalecimento da rede de saúde, o que demonstra um mapeamento detalhado e a consideração das necessidades dos mais vulneráveis.</t>
  </si>
  <si>
    <t>O município de Salvador demonstra um Estágio avançado, conforme os critérios de avaliação:
1. Grau de formalização do mecanismo: O processo de elaboração do Plano de Mitigação e Adaptação às Mudanças do Clima (PMAMC) foi estruturado de forma formal, através de um processo de "construção coletiva" que incluiu "mais de 60 oportunidades de escuta, audiências e workshops".
2. Representatividade dos grupos identificados: O processo contou com a "ampla participação da academia, da sociedade civil e do setor privado", o que demonstra a inclusão de diversos grupos relevantes.
3. Dinâmica do mecanismo: A frequência e a quantidade das oportunidades de escuta e workshops indicam que o mecanismo foi dinâmico e não uma consulta pontual.
4. Influência nas decisões: A menção de que as metas ambiciosas do plano são resultado das contribuições recebidas sugere que as vozes desses grupos realmente influenciaram as decisões, e não se limitaram a um papel consultivo. Isso atende ao critério de que as contribuições dos grupos devem ser levadas em consideração na redação final das políticas.</t>
  </si>
  <si>
    <t>O município de Salvador demonstra um Estágio avançado na adoção de "Políticas equitativas". O Plano de Mitigação e Adaptação às Mudanças do Clima (PMAMC) é o instrumento que integra a equidade como um princípio central, associando ações climáticas a grupos vulneráveis identificados, como população de baixa renda, idosos, crianças, pessoas com deficiência e mulheres. A política também estabelece a meta de reduzir a população em áreas de risco, demonstrando a intenção de traduzir a equidade em objetivos quantificáveis com impacto social direto.</t>
  </si>
  <si>
    <t>A análise demonstra que a Câmara Municipal de Salvador vem ampliando de forma significativa seu papel na agenda climática, evidenciado pela criação de comissões especializadas e pela realização de debates públicos e ações de fiscalização sobre planos e políticas ambientais. Esses avanços indicam um engajamento institucional crescente e uma maior sensibilidade dos vereadores à urgência do tema.
Apesar dos progressos, ainda há desafios para consolidar uma atuação legislativa plenamente integrada e transversal, sobretudo no que se refere à incorporação sistemática da pauta climática nas demais comissões permanentes e nos processos de deliberação orçamentária e legislativa. O fortalecimento de mecanismos internos, a ampliação da transparência e a articulação com sociedade civil, academia e órgãos técnicos são passos essenciais para que o Legislativo avance para um estágio mais maduro e estratégico de contribuição às metas de mitigação e adaptação climática do município.</t>
  </si>
  <si>
    <t>Não foram identificadas evidências que confirmem a realização de auditorias, seja pela CGM de Salvador ou pelo TCM/BA.</t>
  </si>
  <si>
    <t>Não é aplicável à avaliação do governo municipal.</t>
  </si>
  <si>
    <t>"A Lei n. 14.675/2009 institui o Código Estadual do Meio Ambiente. 
O Decreto n. 3.273/2010 regulamenta o Fórum Catarinense de Mudanças Climáticas Globais e Biodiversidade
A Lei 14.828/2009 institui a Política Estadual sobre Mudanças Climáticas e Desenvolvimento e estabelece seus fins, princípios, diretrizes, objetivos e instrumentos, como: o Fórum Catarinense de Mudanças Climáticas Globais e de Biodiversidade</t>
  </si>
  <si>
    <t>SC incorpora princípios, diretrizes e objetivos estabelecidos na Política Nacional Mudança do Clima. 
A legislação catarinense, em simetria com a PNMC que instituiu o Fundo Nacional sobre Mudança do Clima e o Fórum Brasileiro de Mudança do Clima, estabeleceu o Fundo Catarinense de Mudanças Climáticas (FMUC) e o Fórum Catarinense de Mudanças Climáticas Globais e de Biodiversidade (FCMCG), regulamentados pelos Decretos 3273/2010 e 3254/2010.
Em linha com o Plano Setorial para a Adaptação à Mudança do Clima e Baixa Emissão de Carbono na Agropecuária (Plano ABC+ Ciclo 2020-2030), lançado pelo Ministério da Agricultura e Pecuária, o Estado de SC dispõe do Plano Estadual ABC+ 2020-2030, coordenado pela Secretaria de Estado da Agricultura e Pecuária.
Em conformidade com a Política Nacional do Hidrogênio de Baixa Emissão de Carbono, Lei 14948/2024, SC promulgou a Política Estadual do Hidrogênio Verde, Lei n 19062/2024, que tem, entre outros objetivos, contribuir para a diminuição da emissão de GEE e o enfrentamento das mudanças climáticas.
A proposta de Política Estadual de Pagamento por Serviços Ambientais de SC formalizada em Anteprojeto de Lei, está alinhada às principais políticas e instrumentos climáticos nacionais, especialmente à Política Nacional sobre Mudança do Clima. Guarda consonância com a Política Nacional de PSA (Lei 14119/2021) e com os propósitos da 4ª Comunicação Nacional do Brasil à UNFCCC para a conservação da vegetação nativa e na recuperação de áreas degra</t>
  </si>
  <si>
    <t>"A integração de aspectos das mudanças climáticas nos instrumentos de planejamento de SC, são constatados:
Criação da Resolução Estadual de Restauração Ecológica, com diretrizes e indicadores para a recuperação de áreas degradadas. ""I Workshop Técnico para Construção Colaborativa da Resolução Estadual de Restauração Ecológica"".
Núcleo Interinstitucional para a Gestão e Planejamento Ambiental do Estado de SC (Decreto 867/2020). Visa promover articulação e participação de diferentes esferas e secretarias de Estado para subsidiar decisões estratégicas de planejamento ambiental e territorial e propor diretrizes que visem a harmonização das políticas de desenvolvimento econômico sustentável. 
Programa Mais Verde de Pagamento por Serviços Ambientais, integrante do Plano de Governo 2023-2026. Defender o meio ambiente, incentivando o dono de propriedade rural que possui florestas e reserva legal a preservar a natureza. Lançamento previsto para o dia 22/09/2025. 
Zoneamento Ecológico Econômico, que seguirá a matriz de vulnerabilidade socioambiental baseada no Índice SC Resiliente, que avaliou o risco a desastres e as capacidades dos municípios. 
Além desses há outros que estão integrados à política Estadual, como o Programa Avança SC (2025-2035)</t>
  </si>
  <si>
    <t>Apresenta a competência da Secretaria do Meio Ambiente e da Economia Verde (SEMAE), nos termos do artigo 33-B, da Lei Complementar (estadual) n° 741/2019, alterada pela Lei estadual n° 18.646/2023, que dispõe sobre a estrutura organizacional básica e o modelo de gestão da Administração Pública Estadual, no âmbito do Poder Executivo.
Na mesma Lei Complementar estão estabelecidas as competências das demais secretarias do poder executivo, não havendo sobreposição de funções/competências entre órgãos. 
Verificamos que o tema está internalizado de forma transversal em diversos órgãos do Estado (Saúde, Epagri, SEMAE, SDC, Celesc, IMA, Secretaria da Agricultura e outros), Ocorre que nem todas as Secretarias atuam nessa transversalidade, o que denota que não está devidamente internalizada de forma transversal em todos os órgãos do Estado.</t>
  </si>
  <si>
    <t>As responsabilidades atinentes ao planejamento, formulação, normatização e coordenação de políticas, programas, projetos e ações relacionadas às mudanças climáticas encontram-se na SEMAE, conforme a art. 33-B, da Lei Complementar n 741/2019.
A Secretaria de Estado da Proteção e Defesa Civil (SDC) tem competências voltadas à coordenação das ações relativas à proteção e defesa civil, no âmbito da prevenção, minimização e respostas a riscos e desastres, nos termos do art. 41-A, da Lei Comp 741/2019, com as alterações promovidas pela Lei nº 18.646/2023.
O Instituto do Meio Ambiente do Estado de Santa Catarina (IMA) direciona suas atividades ao controle ambiental, com atribuições como a fiscalização e o licenciamento ambiental, a gestão das Unidades de Conservação do Estado, a coordenação do programa de prevenção e atendimento a acidentes com cargas perigosas, a execução de pesquisas acerca da proteção dos ecossistemas, entre outras, previstas no art. 2º, da Lei n 17.354/2017.
A competência de cada órgão está definida na Lei 741/2019, não se verificam sobreposições ou lacunas relevantes.</t>
  </si>
  <si>
    <t>O Secretário de Estado do Meio Ambiente e da Economia Verde lidera as ações climáticas em SC, com autoridade para mobilizar órgãos e coordenar respostas à mudança do clima. Ele também preside o Fórum Catarinense de Mudanças Climáticas Globais e de Biodiversidade e o Conselho Estadual do Meio Ambiente - CONSEMA (normativo e deliberativo), o que fortalece sua atuação estratégica e intersetorial no governo.
Para reforçar sua equipe, a SEMAE, em parceria com a Fapesc (Termo n 004/2023), lançou editais para bolsas de pesquisa no âmbito do Programa de Apoio à Pesquisa Aplicada às Políticas Públicas Ambientais. O Edital n. 41/2024 permitiu a contratação de mestres e doutores em áreas como Engenharia, Geografia, Direito e outras, com foco em políticas públicas relacionadas ao clima, biodiversidade, energia, recursos hídricos e educação ambiental.
No contexto da Política Estadual de Transição Energética Justa, a SEMAE contratou a FGV para desenvolver o Plano Estadual de Transição Energética Justa (PETEJ-SC), com entregas como análises multidimensionais, ferramentas estratégicas e modelos de governança.
A Secretaria também abriu processo para contratação de consultoria para a elaboração da Conformidade Climática, que subsidiará o Inventário de GEE, análise de riscos climáticos e o Plano de Ação Climática. Complementarmente, o Inventário Florístico Florestal de SC (IFFSC), coordenado pela FURB, fornece dados essenciais para o planejamento ambiental e climático do Estado.</t>
  </si>
  <si>
    <t>As cartas de suscetibilidade a movimentos de massas e inundações foram realizadas para cerca de 36% dos municípios do Estado, entretanto a maioria desses mapeamentos são anteriores a cinco anos, com datas de 2015, 2018 e 2019. 
Uma parceria com o Serviço Geológico do Brasil - SGB/CPRM, permitiu que o Estado fosse pioneiro em possuir 100% do território com setorização das áreas de risco alto e muito alto a inundações e deslizamentos. Atualmente um novo acordo de parceria para pesquisa, desenvolvimento e inovação (PD&amp;I) busca Proposição de Cartografias de Suscetibilidade e de Aptidão à Urbanização adaptadas ao contexto do Estado de Santa Catarina (SGPE 999/2025).
Pretendem mapear os 190 municípios que não possuem as cartas no Estado e mais 30 cartas geotécnicas de aptidão à urbanização para os municípios com os maiores números de crescimento populacional segundo o Censo do IBGE.
Entendemos que o Estado não está em estágio inicial, pois todos possuem cartas de risco geológico e mais de 100 possuem cartas de risco a movimentos gravitacionais de massas e inundações. 
Entendemos que não está avançado pois muitos mapeamos são anteriores a cinco anos.</t>
  </si>
  <si>
    <t>Santa Catarina apresenta diversas ações e mapeamentos voltados à adaptação às mudanças climáticas, impulsionados pela recorrência de eventos climáticos extremos no Estado. Entre as iniciativas destacam-se a construção e manutenção de barragens, cobertura por radares meteorológicos, a existência do Plano Estadual de Proteção e Defesa Civil e as capacitações contínuas promovidas por esse órgão. No setor da saúde, o Plano Vigedesastres orienta a atuação em situações de desastres climáticos. Como parte dos esforços de articulação e sensibilização, a SEMAE, por meio da Gerência de Clima e Energia (GCLIE), realiza anualmente o Seminário Catarinense de Adaptação, iniciado em julho de 2024, com próxima edição prevista para setembro de 2025.
A equipe verificou que tais instrumentos de planejamento são aplicados de forma sistemática e abrangente no Estado, como pode se observar no Plano Estadual de Proteção e Defesa Civil de Santa Catarina.</t>
  </si>
  <si>
    <t>Em Santa Catarina, diversos órgãos atuam de forma integrada na gestão de emergências e nas políticas ambientais e climáticas. A Secretaria de Estado da Defesa Civil conta com estruturas que operam horizontalmente no governo, como o GRAC e o CE-P2R2, acionados em eventos climáticos extremos conforme o Decreto nº 349/2023. O Ministério Público de SC coordena o GEDCLIMA, grupo que apoia a definição de estratégias para a defesa de direitos relacionados a desastres socioambientais e mudanças climáticas. O GEDCLIMA inclui instituições como SEMAE, Fiesc, Defesa Civil, Assembleia Legislativa, TCE/SC, Fecam, PMA, IMA, Epagri, Secretaria de Assistência Social e IFSC.
O Fórum Catarinense de Mudanças Climáticas Globais e de Biodiversidade (FCMCG) é um espaço de articulação entre governo, sociedade civil, academia e setor produtivo, promovendo debates e ações sobre clima e biodiversidade. Já o NIGEPLAM, criado pelo Decreto nº 867/2020, possui comissões técnicas como a do Zoneamento Ecológico-Econômico (ZEE-SC) e a do Plano Estadual de Gerenciamento Costeiro, com a missão de assessorar a SEMAE na formulação de políticas de gestão e planejamento ambiental no Estado.</t>
  </si>
  <si>
    <t>O Estado participa do Consórcio de Integração Sul e Sudeste - Eixo Meio Ambiente/Proteção e Defesa Civil
Em 2019, assinou Carta dos Órgãos Estaduais de Meio Ambiente pelo Clima (Carta da ABEMA), que fixa 17 compromissos de governança climática para os estados
É membro e participante do Consórcio de Integração Sul e Sudeste e do Conselho de Desenvolvimento e Integração Sul, espaço de articulação intergovernamental que discutem questões relacionadas ao meio ambiente e ao desenvolvimento sustentável. É signatário do Protocolo de Intenções do Consórcio Interestadual sobre o Clima
Coopera com o Carbon Disclosure Project (CDP), sistema mundial de divulgação de dados ambientais, reportando, anualmente, as informações sobre suas emissões de GEE, uso e energia, estratégias de mitigação, etc.
A equipe constatou a participação de representantes do governo nos mecanismos citados.</t>
  </si>
  <si>
    <t>SC participa do Fórum Brasileiro de Mudanças do Clima (Decreto n. 9082/2017) e instituiu o Fórum Climático Catarinense (DECRETO Nº 3.273/2010).
Projeto CEMADEN - Sistema de Alerta Antecipado Multiescalar. Natureza: Cooperação técnica-científica entre níveis federal e estadual, por meio de Acordo de Adesão para Expansão da Rede Observacional - Ciclo 2023 a 2026, conforme site.  
O Centro Integrado de Gerenciamento de Riscos e Desastres de SC produz os Boletins de hidrográficos do Estado a partir do Sistema de Informações de Recursos Hídricos de SC, onde há integração com os Comitês e Agências de Bacias, coordenação unificada pela Agência Nacional de Aguas, conforme Lei Federal nº 9.433/1997. 
O Plano Estadual de Proteção e Defesa Civil, no tópico de contexto legal, informa sobre a obrigatoriedade de integração vertical, entre a União, Estados e Municípios. 
Ainda citam-se o Programa Águas para Sempre da Cia. de Águas de Joinville, ANA  e Governo de SC, e o Programa Produtor de Água do Rio Camboriú (com Balneário Camboriú, Camboriú e ANA).</t>
  </si>
  <si>
    <t>O Estado de Santa Catarina conta com instâncias que integram a academia, governo, setor produtivo e sociedade civil na formulação de políticas ambientais e climáticas. Desde 2019, a participação acadêmica na Defesa Civil foi formalizada com a criação do Comitê Técnico Científico (CTC), composto por universidades como UFSC, UDESC, IFSC, UMinho, além de pesquisadores e instituições como a ABP-RRD. Há uma minuta de Regimento Interno em andamento. O Fórum Catarinense de Mudanças Climáticas Globais e de Biodiversidade (FCMCG), instituído em 2009, retomou suas atividades em dezembro de 2024 e visa propor ações de enfrentamento às mudanças climáticas. O CONSEMA, instância superior do SISEMA, também trata do tema em reuniões mensais públicas. O Estado promove ainda conferências ambientais participativas, como a 5ª Conferência Estadual do Meio Ambiente (março de 2025), com o tema "Emergência Climática", e participa da VI Conferência Infantojuvenil pelo Meio Ambiente (2025), que aborda educação e justiça climática.
classificação estágio intermediário, em razão de não serem encontrados relatórios de resposta institucional à sociedade.</t>
  </si>
  <si>
    <t>O Fórum Catarinense de Mudanças Climáticas Globais e de Biodiversidade (FCMCG) inclui, em sua composição, representantes da academia (UFSC, IFC, FURB, Sistema Acafe, entre outras), da sociedade civil (10 representantes de organizações não-governamentais de meio ambiente), e do setor privado (FIESC, FACISC, ANAMMA, entre outras), conforme o art. 2º, § 1º, do Decreto nº 3.273/2010.
Integram o Plenário do CONSEMA, além dos representantes do Poder Público estadual  -  inclusive da Universidade do Estado de Santa Catarina (UDESC)  - , 19 (dezenove) membros representantes da sociedade civil organizada (Art. 4º, Regimento Interno do CONSEMA).
A academia possui representação formal e um trabalho bastante efetivo no âmbito da SPDC (Portaria n. 8 de 23/01/2025).</t>
  </si>
  <si>
    <t>A identificação dos públicos vulneráveis em Santa Catarina é realizada com base em instrumentos técnicos e de gestão do SUAS, com apoio da Secretaria de Defesa Civil (SDC). A Secretaria de Assistência Social (SAS) não possui um mapeamento específico dos grupos sociais vulneráveis aos impactos climáticos, mas atua em parceria a Fecam para capacitar técnicos na redução de riscos e desastres. Entre os produtos disponibilizados estão o modelo editável do PlanCon-AS e o Caderno de Apoio, além da capacitação para implantação do plano, que já está homologado em 36 municípios. No entanto, ter o PlanCon-AS não significa que há mapeamento detalhado dos grupos vulneráveis, apenas orientação para fazê-lo. Não há mapeamento sistemático dos grupos vulneráveis à mudança climática, apenas iniciativas pontuais. Estudos em andamento usam indicadores socioeconômicos oficiais (IBGE, IPEA, MDS, entre outros) para análise de vulnerabilidade, como no projeto AdaptaCidades, que considera o número de pessoas no Bolsa Família. A Política Estadual de Transição Energética Justa prevê a identificação e proteção de grupos vulneráveis, buscando distribuição equitativa dos impactos da transição energética, conforme a Lei nº 18.330/2022./2022.</t>
  </si>
  <si>
    <t>A SAS informa que a participação social ocorre por meio de mecanismos institucionais do SUAS, como Conselhos e Conferências de Assistência Social, e articulação com a SDC, mas sem relação direta com mudanças climáticas. A SDC destaca a atuação dos Núcleos Comunitários de Proteção e Defesa Civil, que promovem prevenção e autoproteção em áreas vulneráveis. Também existem Comitês de Bacias Hidrográficas, que mediam conflitos entre usuários de água. Porém, não há evidências de que as decisões desses órgãos influenciem políticas climáticas. A SEMAE aponta que a 5ª Conferência Estadual do Meio Ambiente (março de 2025) contou com participação de povos tradicionais e teve "Justiça Climática" como tema prioritário, focando nas desigualdades e impactos sobre os mais vulneráveis. A Política Estadual de Transição Energética Justa prevê um arranjo democrático com diálogo com sociedade civil e comunidades afetadas, com reuniões e oficinas nos polos mais impactados, em elaboração pela FGB.</t>
  </si>
  <si>
    <t>As estratégias e ações desenvolvidas pela SAS no enfrentamento aos impactos das mudanças climáticas são norteadas por uma perspectiva equitativa e territorializada, conforme os princípios do SUAS, que reconhece e prioriza a proteção de grupos sociais em situação de maior vulnerabilidade. Foco nas ações preventivas e de respostas a desastres que incorporam dispositivos de equidade e diferenciação positva. Exemplos: PlanCon AS, diretrizes do SUAS, participação nos Grupos de Articulação e Coordenação (desastres).
A SDC informa que a Política Estadual de Proteção e Defesa Civil atende de maneira igualitária (não há menção ao tratamento equitativo). Cita a Lei n. 15.953/2013, em cujo teor não há referência ao tratamento desigual na proporção das desigualdades dos cidadãos atingidos por eventos climáticos extremos. 
A SEMAE informa que essas políticas equitativas estão em andamento. A previsão é que esses grupos sejam incluídos nos Planos de Ação Climática e de Transição Energética Justa.
Ou seja, não foram identificadas perspectivas de equidade nos dispositivos legais e regulamentares para mitigação e adaptação aos eventos climáticos.</t>
  </si>
  <si>
    <t>Possui Comissão Permanente de Meio Ambiente e Desenvolvimento Sustentável, criada pela Resolução n. 008/2024, art. 91-C do Regimento Interno.
Também possui a Frente Parlamentar para o Fortalecimento da COP-30 Belém/Pará 2025, constituída pelo Ato da Presidência n. 115-DL/2023.
Iniciaram as audiências públicas no mês de agosto de 2025, mas o tema só aparece transversalmente na Comissão de Agricultura. A transversalidade é observada em diversas comissões da Assembleia Legislativa, além da Comissão do Meio Ambiente e Desenvolvimento Sustentável, prevista no art. 91-C do Regimento Interno. Há previsão também no art. 75, II que dispõe sobre a recuperação e conservação do solo, reflorestamento e aproveitamento dos recursos naturais e a proteção do meio ambiente
Os auditores constataram que foram realizadas atos públicos, audiências, relacionadas à mudança do clima, que constam como evidências.</t>
  </si>
  <si>
    <t>CGE não realiza ou realizou, cfe. Ofício n. 351/2025 da CGE.
TCE realizou dois monitoramentos de uma AOP realizada em 2014.
- Rel. DAE 011/2019 - PMO 18/01194197.
- Rel. DAE 49/2023 - PMO 23/00134653.
TCE realizou um Levantamento acerca do uso indevido do solo frente aos desastres naturais no Estado (Rel. DAE 17/2023 - LEV 23/80020552)
TCE realizou inspeção nas barragens de contenção de chuvas do Estado (Rel. DAE 48/2024 - RLI 24/00429051)
TCE realizou inspeções em 22 municípios com o objetivo de avaliar as condições estruturais do serviço público municipal de defesa civil e a preparação para mitigar as consequências de desastres de origem geológica e/ou hidrológica na vida da população. (Rel. DAE 24/2025 - LEV 24/80085281).</t>
  </si>
  <si>
    <t>a) A Corregedoria Geral de Justiça informou que não há núcleos especializados, mas destacou a realização da Semana Pauta Verde, com foco na solução consensual de conflitos de processos ambientais.
b) Na medida do possível, a Academia Judicial promove cursos e eventos sobre a temática, como o "Sextas do Saber - Governança e Meio Ambiente" e possui cursos em elaboração sobre sustentabilidade, com implantação prevista para 2025 e 2026.
c) O TJSC inclui a temática ambiental no plano de ensino dos programas de formação e aperfeicoamento. A temática está presente em alguns dos cursos e programas de formação e nivelamento de servidores e magistrados, com disciplinas voltadas à sustentabilidade e o direito ambiental.     
d) O PJSC destacou o Termo de Cooperação Técnica com o IMA/SC, que prevê o desenvolvimento de ferramentas tecnológicas para monitoramento ambiental.       
e) O PJSC fomenta redes de articulação interinstitucional para o compartilhamento de dados geográficos. O Termo de Cooperação Técnica IMAPJSC n. 51/2024 e a Resolução TJ n. 3/2025, instaurados recentemente, preveem tais ações colaborativas com órgãos públicos e sociedade civil.</t>
  </si>
  <si>
    <t>A Lei nº 9.364/2024 Institui a Política Estadual sobre Mudanças Climáticas do Estado de Sergipe, estão entre os objetivos da Política a mitigação e adaptação às mudanças climáticas.</t>
  </si>
  <si>
    <t>A Lei nº 9.364/2024 de Sergipe é consistente com a Lei Federal nº 12.187/2009, ao adotar princípios comuns, como desenvolvimento sustentável, precaução e participação social, além de alinhar-se aos compromissos internacionais do Brasil. Prevê instrumentos como plano estadual, inventário de emissões, incentivos fiscais e mecanismos de mercado, em harmonia com a política nacional</t>
  </si>
  <si>
    <t>A PEMC estabelece como diretriz a incorporação de pautas climáticas na elaboração e na avaliação de planos, programas e projetos. Encontram-se em fase de licitação o Plano Estadual de Mudanças Climáticas, o Plano Sergipano de Segurança Hídrica</t>
  </si>
  <si>
    <t>Estado possui a Secretaria de Estado do Meio Ambiente, Sustentabilidade e Ações Climáticas - SEMAC. São integrantes da estrutura da SEMAC os Conselhos de Meio Ambiente-CEMA, de Recursos Hídricos-CONERH, Fundo Estadual de Recursos Hídricos - FUNERH, Fundo de Defesa do Meio Ambiente de Sergipe - FUNDEMA/SE</t>
  </si>
  <si>
    <t>As Leis nº 9.364/2024 e nº 9.156/2023 de Sergipe estabelecem os atores responsáveis pela política estadual sobre mudanças climáticas. A Lei nº 9.364/2024 define atribuições para o Poder executivo Estadual, por meio da SEMAC, ADEMA, Defesa Civil, SES, setor privado e sociedade civil, enquanto a Lei nº 9.156/2023 reforça a competência formal da SEMAC e da ADEMA no planejamento, execução e monitoramento de ações climáticas.</t>
  </si>
  <si>
    <t>As lideranças estão definidas na política estadual sobre Mudanças Climáticas do Estado de Sergipe, Política Estadual de Recursos Hídricos, Estrutura Organizacional Básica da Administração Pública Estadual, Política Estadual de Combate à Desertificação - PECD. Embora tenha um líder de alto nível definido (SEMAC), carece de evidência sobre um critério fundamental: a composição mista do órgão de coordenação (Comitê Estadual). A lei principal delega a definição da composição do comitê a um futuro regulamento, o que torna a comprovação do critério impossível no momento da análise</t>
  </si>
  <si>
    <t>Plano Estadual de Proteção e defesa Civil, além de mapeamentos de áreas de risco geológicos realizados pela CPRM e participação no monitor de Secas do brasil. Não existe um mapa de risco completo que abranja todo Estado.</t>
  </si>
  <si>
    <t>Planos de contingência municipais não contêm menção expressa a riscos decorrentes das mudanças climáticas, mas representam uma atenção inicial devendo ser melhorados com foco nas questões climáticas.</t>
  </si>
  <si>
    <t>Diversos mecanismos de interação intragovernamental</t>
  </si>
  <si>
    <t>As evidências comprovam a participação em alianças relevantes (critério 3), mas carecem de prova de participação ativa (critério 2)</t>
  </si>
  <si>
    <t>Comissão Tripartite estadual</t>
  </si>
  <si>
    <t>O Governo de Sergipe, por meio da Secretaria de Estado do Meio Ambiente, Sustentabilidade e Ações Climáticas (Semac), realiza audiências públicas (Plano Estadual de Gerenciamento Costeiro de Sergipe (Gerco), Assessoria Técnica Popular  para o enfrentamento aos impactos das mudanças climáticas nos territórios tradicionais</t>
  </si>
  <si>
    <t>A Lei 8.785/2020 cria um conselho com representação formal, mas limitada. Evidencia-se ainda a realização de consulta pública.</t>
  </si>
  <si>
    <t>Embora tenham sido informados pela SEPLAN, a existência da lei nº 8.980/2022, referente ao zoneamento ecológico-econômico costeiro, a lei nº 8.635/2019, referente ao cadastro técnico estadual de atividade potencialmente poluidora, Plano ABC+ Sergipe, não foram identificados nestes documentos a existência de mapeamento de grupos vulneráveis. Assim, atendendo a orientação do escopo, este item ficou classificado como "Sem progresso"</t>
  </si>
  <si>
    <t>Consulta pública sobre gerenciamento costeiro, com lideranças comunitárias, ambientalistas, profissionais de áreas técnicas, pescadores, estudantes e representantes do poder executivo e de órgãos públicos dos municípios da região</t>
  </si>
  <si>
    <t>Não foram identificados os grupos sociais e/ou econômicos em situação de vulnerabilidade (avaliado no item A). Consequentemente não há evidências de estratégias e planos dedicados a grupos sociais ou econômicos vulneráveis.</t>
  </si>
  <si>
    <t>Existem Projetos de Lei em tramitação relacionados ao tema, a exemplo da inclusão da temática de "educação climática" no programa da rede de ensino do estado de Sergipe, a inclusão da temática de educação climática no programa de ensino das escolas da rede pública, do Estado de Sergipe, Criação da Política Estadual de Atenção às Emergências Climáticas e Combate ao Racismo Ambiental com Foco em Mitigação dos Efeitos das Enchentes.</t>
  </si>
  <si>
    <t>O TCE/SE tem realizado nos últimos anos auditorias relacionadas a temática das mudanças climáticas, a exemplo da Auditoria Operacional Regional Coordenada em Políticas Públicas de Combate à Desertificação do Semiárido e de Proteção ao Bioma Caatinga.</t>
  </si>
  <si>
    <t>Não existe núcleo específico para apreciação e julgamento de questões relacionadas à mudança do clima.</t>
  </si>
  <si>
    <t>O município de São Luís possui um marco legal climático abrangente, justificando a classificação "Estágio Avançado". A principal norma é o recente Plano Diretor (Lei nº 7.122/2023), que estabelece a sustentabilidade socioambiental como princípio orientador. A lei determina, de forma explícita, a elaboração de um inventário de emissões de GEE e o desenvolvimento de políticas tanto para mitigação ("redução dessas emissões") quanto para adaptação ("gestão dos efeitos das mudanças climáticas"). Esse arcabouço abrangente atende plenamente aos critérios para a classificação máxima, que exige a abordagem de ambas as frentes. O marco legal é ainda reforçado por legislações anteriores que demonstram o engajamento histórico do município com a pauta. A Lei nº 5.555/2011, que criou o Programa Municipal de Combate às Mudanças Climáticas, e a Lei nº 4.917/2008, que instituiu o Biênio de Ações Mitigadoras, são exemplos disso. A existência de uma Política de Meio Ambiente desde 2006 (Lei nº 4.738/2006) também forneceu a base para a evolução da legislação climática local. Em conjunto, as normas formam um quadro legal que evoluiu ao longo do tempo e se consolidou de forma abrangente e atualizada para enfrentar os desafios climáticos.</t>
  </si>
  <si>
    <t>A classificação "Estágio Inicial" se justifica porque o marco legal de São Luís é consistente com as diretrizes gerais da política climática nacional, mas ainda carece de detalhamentos técnicos e metas harmonizadas. O Plano Diretor (Lei nº 7.122/2023) alinha-se à Política Nacional sobre Mudança do Clima (PNMC) ao determinar a elaboração de estratégias para mitigação ("redução dessas emissões") e adaptação ("gestão dos efeitos das mudanças climáticas"). Isso demonstra a compatibilidade do município com os princípios federais, critério para esta classificação. Contudo, a legislação analisada não avança para um estágio superior por não apresentar metas quantitativas de redução de emissões alinhadas à Contribuição Nacionalmente Determinada (NDC) do Brasil, nem prazos definidos para as ações de adaptação. Também não há, nos textos, menção a metodologias de inventário compatíveis com os padrões nacionais, requisito para classificações mais avançadas. Portanto, o alinhamento é principiológico, mas não técnico-quantitativo.</t>
  </si>
  <si>
    <t>A classificação "Estágio Avançado" se justifica pela existência de mecanismos legais específicos que determinam a integração da pauta climática em instrumentos de planejamento setorial e orçamentário. O Plano Diretor (Lei nº 7.122/2023) é a principal evidência. Seu Art. 6º, X, estabelece como diretriz a promoção de ações de forma "articulada e integrada com as demais políticas setoriais", listando áreas como saneamento, mobilidade e habitação. Como o plano possui objetivos climáticos, essa diretriz obriga a transversalidade do tema. Adicionalmente, a Lei nº 5.555/2011 prevê um mecanismo de integração financeira, ao determinar que o Executivo deve incluir na proposta orçamentária os recursos para projetos de mitigação climática. A combinação de um mandato para integração em múltiplas políticas setoriais (planejamento político) com a obrigação de integração no orçamento (planejamento financeiro) constitui um mecanismo detalhado e abrangente, alinhado aos critérios para a classificação mais alta. Observa-se ainda que o princípio da integração já estava presente na Política Municipal de Meio Ambiente (Lei nº 4.738/2006), que prevê a "gestão integrada" e a "transversalidade das ações entre as secretarias". A Lei nº 4.917/2008, do Biênio de Ações Mitigadoras, também instituiu um mecanismo ao determinar que a designação do biênio constasse em todos os impressos oficiais.</t>
  </si>
  <si>
    <t>A classificação como "Sem progresso" reflete a análise da legislação que estrutura a principal pasta ambiental do município. Embora o Município de São Luís tenha instituído a Secretaria Municipal de Meio Ambiente (SEMMAM) por meio da Lei nº 4.872/2007, definindo-a como órgão central para a execução da política ambiental local, o escopo de atuação previsto na norma não atende ao critério específico deste item. A metodologia do Painel ClimaBrasil orienta que a avaliação verifique a existência de uma estrutura governamental formalmente estabelecida "para tratar das questões das mudanças climáticas". Ao examinar as competências da SEMMAM descritas na referida lei, não foram localizadas menções explícitas a "mudança do clima", "gases de efeito estufa" ou responsabilidades diretas sobre mitigação e adaptação climática. As atribuições concentram-se na gestão ambiental tradicional, como controle da poluição, licenciamento e fiscalização. Dessa forma, com base na evidência documental analisada, não é possível confirmar a existência de uma estrutura com mandato formal para a agenda climática. A ausência dessa atribuição explícita na norma de criação do órgão ambiental fundamenta a classificação.</t>
  </si>
  <si>
    <t>A classificação como "Sem progresso" foi atribuída porque a legislação que estrutura a pasta ambiental do município não define formalmente as responsabilidades para as ações relacionadas à mudança do clima, conforme exigido pelos critérios do Painel ClimaBrasil. A Lei Municipal nº 4.872/2007 estabelece um conjunto de atribuições para a Secretaria de Meio Ambiente (SEMMAM), abrangendo funções de planejamento, coordenação, execução e fiscalização da política ambiental de São Luís . Contudo, o critério do item G2.B avalia especificamente se as responsabilidades de "liderar, coordenar, implementar, monitorar e dar transparência" foram claramente definidas para as "respostas subnacionais sobre mudanças climáticas". Ao examinar a referida lei, verifica-se que não há menções explícitas a "mudança do clima" ou "emergência climática". As responsabilidades são atribuídas no contexto ambiental geral. Desta forma, a situação se enquadra na definição de "Sem progresso" conforme critérios do Painel ClimaBrasil, que descreve a ausência de atribuição de responsabilidades para a agenda climática. Para uma avaliação diferente, seria necessária a identificação de atos normativos que designem formalmente essas competências climáticas a um órgão municipal.</t>
  </si>
  <si>
    <t>A classificação como "Sem progresso" decorre da ausência, na legislação analisada, de uma liderança formalmente designada para a agenda climática do município. Os critérios de aplicação do Painel ClimaBrasil estabelecem que este item avalia se a liderança das ações climáticas possui posição hierárquica e autoridade para mobilizar outros órgãos do governo. A Lei nº 4.872/2007 define o Secretário de Meio Ambiente como uma autoridade com acesso direto ao chefe do Executivo, o que demonstra potencial de articulação. Contudo, essas prerrogativas são para a política ambiental em geral. O critério de avaliação exige que a liderança seja especificamente para as "respostas... às mudanças climáticas". O texto da Lei nº 4.872/2007 não atribui ao Secretário ou à SEMMAM qualquer competência relacionada à mudança do clima. Como não há uma liderança formalmente designada para a pauta climática, não é possível avaliar sua capacidade de mobilização sobre o tema, o que enquadra a situação na definição de "Sem progresso".</t>
  </si>
  <si>
    <t>A classificação é Estágio Avançado porque o Município possui um processo consolidado e contínuo para mapear seus riscos e vulnerabilidades relacionados ao clima. As evidências, materializadas nos relatórios de "Mapeamento de Áreas de Risco" de 2022 e 2023, demonstram que o trabalho é atualizado anualmente, atendendo ao critério de atualização nos últimos cinco anos, conforme exigido pela metodologia. A análise se destaca por sua robusta base científica, um dos principais atributos para esta avaliação. Os relatórios explicitamente se baseiam em informações e prognósticos de plataformas oficiais e instituições de pesquisa, como o Centro Nacional de Monitoramento e Alerta de Desastres Naturais (CEMADEN), o Instituto Nacional de Meteorologia (INMET) e o Núcleo de Meteorologia da UEMA. Isso garante que a identificação de áreas vulneráveis a deslizamentos, inundações e alagamentos seja tecnicamente fundamentada. Além disso, o mapeamento estabelece uma conexão direta com os impactos das mudanças climáticas. Os documentos analisam as perspectivas climáticas, como a influência de fenômenos como o La Niña, e utilizam os prognósticos de precipitação para compreender o cenário de risco. A cidade identifica e classifica 72 pontos de risco (ano base 2023), permitindo a priorização de ações de monitoramento e resposta. Essa abordagem sistemática une atualização constante, base científica sólida e consideração dos impactos climáticos.</t>
  </si>
  <si>
    <t>A classificação Estágio Intermediário é atribuída porque o principal instrumento de planejamento de São Luís, o Plano Diretor (Lei nº 7.122/2023), incorpora os riscos climáticos de forma estruturada e consistente em suas políticas. O Plano define uma Macrozona de "Áreas Vulneráveis à Deslizamento de Terra, Erosão e Enchente" , alinhada aos riscos mapeados anualmente pela Defesa Civil. A gestão de riscos é uma diretriz explícita nas políticas de desenvolvimento urbano (Art. 6º), habitação (Art. 78) e meio ambiente (Art. 103), superando uma abordagem apenas pontual. Contudo, a classificação não atinge o nível "Avançado" porque o próprio Plano Diretor projeta a elaboração futura de instrumentos essenciais para aprofundar a gestão de riscos, como o "Mapa de Vulnerabilidade Socioambiental" (Art. 22) e o "Plano de Recuperação de Encostas" (Art. 31). Isso indica que, embora o arcabouço para a gestão de riscos esteja bem definido, a aplicação abrangente e efetiva dos dados de risco para guiar todas as frentes do planejamento é uma etapa que ainda será consolidada com a criação desses novos documentos. O município estabeleceu a base, mas a plena integração ainda está em andamento.</t>
  </si>
  <si>
    <t>O município de São Luís possui um arcabouço legal que estabelece a necessidade de coordenação horizontal entre suas secretarias para a pauta ambiental e climática, mas carece de evidências sobre a sua efetiva operacionalização. A Lei nº 4.872/2007, que cria a Secretaria Municipal de Meio Ambiente (SEMMAM), estabelece que a pasta atuará "em nível transversal com outras secretarias afins" e coordenará a implementação ambiental do Plano Diretor. Essa exigência é reforçada pela Lei nº 7.122/2023 (Plano Diretor), que determina que os planos setoriais sejam "articulados de modo transversal e intersetorial". Esses dispositivos legais representam um mecanismo formal que orienta a ação coordenada. No entanto, as evidências apresentadas, as próprias leis, são, por sua natureza, insuficientes para comprovar a dinâmica e a regularidade dessa interação. Para uma classificação superior, seria necessário demonstrar que essa coordenação está de fato ativa, por meio de documentos como atas de reunião, planos de trabalho conjuntos ou relatórios de deliberações intersecretariais. Para avançar na avaliação, seria necessária a comprovação da efetiva instalação e da dinâmica de funcionamento desses mecanismos, como atas de reunião, deliberações conjuntas ou relatórios de atividades que demonstrem a interação periódica entre as diferentes pastas para tratar da agenda climática.</t>
  </si>
  <si>
    <t>A classificação de Estágio Intermediário para a coordenação horizontal (G4.B) reflete o compromisso formal do município em colaborar com outras cidades na agenda de sustentabilidade. São Luís demonstrou essa cooperação por meio de evidências concretas, como o termo de adesão ao Fórum de Cidades Amazônicas e a confirmação de participação no Programa Cidades Sustentáveis. Essas iniciativas são fundamentais, pois inserem o município em redes importantes de troca de experiências e construção de soluções conjuntas para desafios comuns, especialmente os relacionados ao clima e ao desenvolvimento sustentável. No entanto, para que a classificação alcançasse o estágio "Avançado", a metodologia do Painel ClimaBrasil exige a comprovação não apenas da participação, mas também dos resultados práticos decorrentes dessa colaboração. As evidências apresentadas são excelentes para comprovar a adesão e o engajamento formal nos fóruns. Contudo, não foi possível identificar documentos que demonstrem os desdobramentos dessa participação, como a elaboração de planos de ação conjuntos, a implementação de projetos em parceria ou relatórios sobre as atividades desenvolvidas. O avanço para o próximo estágio dependerá da demonstração de como essa valiosa cooperação está se traduzindo em ações concretas e resultados mensuráveis.</t>
  </si>
  <si>
    <t>A classificação como Estágio Intermediário se justifica porque o município possui um robusto arcabouço legal e institucional que estabelece a coordenação com os governos estadual e federal como diretriz formal. O Plano Diretor (Lei nº 7.122/2023) define a integração com as esferas estadual e federal como um objetivo geral. Além disso, leis específicas criaram secretarias com competências claras para essa articulação. A Secretaria de Meio Ambiente (SEMMAM) deve se articular com organismos federais e estaduais para executar programas e obter financiamentos. A Secretaria de Projetos Especiais (SEMPE), por sua vez, tem a finalidade de gerenciar o relacionamento com agentes financeiros e de cooperação nacionais. Esses atos normativos comprovam a existência de mecanismos e de representação adequada para a cooperação vertical. A classificação não é "Avançado" porque as leis, por si sós, não evidenciam a participação efetiva e regular nesses fóruns, sendo este o próximo passo a ser verificado na avaliação.</t>
  </si>
  <si>
    <t>A classificação como Estágio Intermediário reflete a existência de um diversificado arcabouço legal para a participação social em São Luís, embora ainda sem a previsão de mecanismos formais de devolutiva sobre as contribuições recebidas. O principal instrumento é o Plano Diretor (Lei nº 7.122/2023), que estabelece o Conselho da Cidade (CONCID) como uma instância permanente, paritária e deliberativa para o controle social das políticas de desenvolvimento. A lei garante a "efetiva participação da sociedade civil no processo de formulação, execução, controle e revisão do Plano Diretor", o que se estende às políticas climáticas. A Lei nº 4.872/2007, que estruturou a Secretaria de Meio Ambiente, reforça essa diretriz ao prever o apoio ao Conselho Municipal de Meio Ambiente (COMUMA) e ao definir como competência da Coordenadoria de Educação Ambiental o incentivo à "participação da sociedade civil na formulação e execução de políticas de gestão ambiental". Assim, o município atende aos critérios de possuir mecanismos formais para a concepção e implementação de políticas, com interação regular e poder de deliberação. Contudo, a legislação não exige a publicação de relatórios de resposta que demonstrem como as sugestões da sociedade foram incorporadas, um requisito para a classificação "Avançado".</t>
  </si>
  <si>
    <t>O município de São Luís possui um mecanismo formal para o engajamento da sociedade, o Conselho Municipal do Meio Ambiente (COMUMA), regulamentado pela Lei nº 4.739/2006. A legislação assegura a participação dos três setores-chave avaliados pela metodologia do Painel ClimaBrasil, sendo um ponto positivo para a governança climática local. A composição do conselho inclui representantes da academia, do setor privado (empresários) e de múltiplos segmentos da sociedade civil, como Organizações Não Governamentais, trabalhadores, movimentos populares e conselhos de classe. A classificação como "Estágio intermediário" é atribuída porque, apesar da representação ser formal e bastante diversificada, não foi encontrada na legislação a evidência de que essa estrutura foi definida com base em um "mapeamento de partes interessadas". Este mapeamento é o critério específico que o Manual de Aplicação do Painel ClimaBrasil indica para a classificação como "Estágio avançado". A existência e a pluralidade do COMUMA são uma base sólida. Para evoluir, seria importante que o município realizasse e documentasse um mapeamento de stakeholders para fundamentar futuras revisões em sua estrutura de participação, garantindo uma representatividade ainda mais abrangente e alinhada às melhores práticas.</t>
  </si>
  <si>
    <t>O município de São Luís demonstra um progresso relevante na identificação de seus grupos vulneráveis, fundamentando a classificação. O "Mapa de Vulnerabilidade Socioambiental de São Luís 2023" é um instrumento robusto que utiliza dados socioeconômicos do CadÚnico, como renda, trabalho e escolaridade, para mapear a vulnerabilidade para além do simples risco geográfico. Os "Mapeamentos de Áreas de Risco" (anos base 2022 e 2023) complementam essa análise ao identificar populações que vivem em áreas com risco de deslizamentos, inundações e alagamentos, mencionando a condição de vulnerabilidade socioeconômica desses moradores. A classificação é definida como Estágio Intermediário porque, embora a identificação dos grupos vulneráveis seja consistente, o mapeamento de suas necessidades específicas, conforme exigido pela metodologia do Painel ClimaBrasil, ainda é parcial. Os documentos apresentados focam em necessidades emergenciais e de infraestrutura (obras de contenção, limpeza de córregos, etc.) e na caracterização da vulnerabilidade em si. Contudo, não aprofundam o diagnóstico de outras necessidades essenciais (como segurança alimentar, hídrica e acesso à saúde) no contexto da formulação de políticas de adaptação climática equitativas. Para alcançar o estágio avançado, seria necessário detalhar claramente essas necessidades específicas, conectando o diagnóstico à formulação de ações de justiça climática.</t>
  </si>
  <si>
    <t>O município demonstra um avanço considerável ao dispor de múltiplos mecanismos formais e diversificados para a participação social em pautas relevantes para o clima. Estão em funcionamento plataformas institucionalizadas como o portal "Participa São Luís" e o sistema e-OUV , além da promoção de eventos deliberativos de ampla participação, como a 6ª Conferência Municipal da Cidade. A aplicação prática desses instrumentos é comprovada na elaboração de políticas específicas, como o Plano de Arborização, que contou com "Oficina de Escuta" e consulta pública. Contudo, a classificação não atinge o nível "Avançado" porque a documentação apresentada não evidencia que a mobilização para esses espaços participativos foi diretamente orientada pelo mapeamento de grupos em situação de vulnerabilidade (analisado no item G6.A). Embora os canais sejam abertos, falta a comprovação de uma estratégia proativa e direcionada para garantir a inclusão específica das comunidades mais vulneráveis, requisito essencial da metodologia para a classificação máxima.</t>
  </si>
  <si>
    <t>A classificação de "Estágio Avançado" é justificada porque, embora São Luís ainda precise desenvolver e consolidar seus planos de mitigação e adaptação, o município já integrou com sucesso os princípios de justiça climática e equidade em seu quadro legal e nos instrumentos setoriais que dão os primeiros passos nessas áreas. Ou seja, São Luís demonstra um compromisso avançado com a justiça climática, integrando a equidade em seu arcabouço legal e em suas políticas setoriais. O principal instrumento é o novo Plano Diretor (Lei nº 7.122/2023), que estabelece a justiça social como diretriz e visa proteger grupos vulneráveis, como "comunidades tradicionais, quilombolas, de pescadores" e a "população de baixa renda". Nas políticas de mitigação, a Lei de Incentivo à Energia Solar (nº 7.030/2022) promove uma transição energética justa ao prever benefícios diretos para "famílias de baixa renda" e a "população mais carente". Nas estratégias de adaptação, o Plano Diretor determina a elaboração de um Mapa de Vulnerabilidade Socioambiental e programas habitacionais para famílias em áreas de risco. O engajamento em redes como o Programa Cidades Sustentáveis, que visa a construção de "cidades mais justas", reforça essa diretriz. O marco legal evoluiu de normas mais gerais, como a Política de Meio Ambiente de 2006, para instrumentos atuais e específicos que contemplam os mais vulneráveis.</t>
  </si>
  <si>
    <t>A classificação de Estágio Avançado para a Casa Legislativa (G7.A) reflete o engajamento robusto e multifacetado da Câmara Municipal com a agenda climática. A avaliação se baseia em um conjunto de evidências que atendem plenamente aos critérios da metodologia. Primeiro, existe um mecanismo institucional consolidado, a "Comissão de Assuntos Portuários e Meio Ambiente", que garante a análise contínua do tema. Segundo, a Câmara demonstra intensa atividade legislativa específica, realizando audiências públicas relevantes, como a que debateu a qualidade do ar, e processando ativamente projetos de lei cruciais. Além disso, a casa legislativa possui um histórico comprovado de produção de marcos legais, transformando debates em políticas públicas efetivas. Finalmente, a pauta climática demonstra transversalidade no processo legislativo. Os projetos sobre o clima não se limitam à comissão de meio ambiente, mas tramitam também por outras instâncias essenciais, como as comissões de Justiça e de Orçamento, para análise de sua legalidade e viabilidade financeira. Esse fluxo comprova que a dimensão climática é considerada em diferentes esferas da análise legislativa. O conjunto de ações posiciona o Legislativo Municipal em um patamar avançado de governança climática.</t>
  </si>
  <si>
    <t>A classificação "Sem progresso" reflete a ausência de auditorias, nos últimos cinco anos, que tenham avaliado as ações do município relacionadas às mudanças climáticas, seja pelo controle externo ou interno. Conforme a metodologia do Painel ClimaBrasil, a análise do item G7.B deve considerar fiscalizações realizadas "no ente sob avaliação". Houve uma auditoria do Tribunal de Contas sobre saneamento e resíduos sólidos em 2024, contudo, embora relevante para a pauta climática, não incluiu a capital em seu escopo, não podendo, portanto, ser considerada para a pontuação. Adicionalmente, não foram encontradas evidências de que a controladoria interna do município tenha realizado trabalhos de controle com foco principal, significativo ou secundário na agenda climática local. A inexistência dessas ações de controle, essenciais para a fiscalização, transparência e aprimoramento da governança climática, justifica a classificação neste estágio. Indica-se, assim, uma oportunidade para que os órgãos de controle fortaleçam sua atuação nesta área estratégica.</t>
  </si>
  <si>
    <t>A classificação "Não se aplica" para o âmbito municipal fundamenta-se na estrutura constitucional do Poder Judiciário brasileiro, que é organizado nas esferas estadual e federal. O município não possui um Poder Judiciário próprio e, portanto, não detém competência para criar estruturas organizacionais especializadas ou implementar as medidas da Resolução CNJ nº 433/2021, que são o foco de avaliação deste item. A própria metodologia do Painel ClimaBrasil reconhece essa particularidade, indicando que o item G7.C não é aplicável aos municípios.</t>
  </si>
  <si>
    <t>O quadro legal e regulatório para o tratamento da mudança do clima é composto, principalmente, pela Lei Municipal 14.933, de 5 de junho de 2009, que institui a Política de Mudança do Clima do Município de São Paulo, e pelo respectivo Plano de Ação Climática (PlanClima-SP), aprovado pelo Decreto Municipal 60.289, de 3 de junho de 2021. Em conjunto, tais instrumentos formam um marco legal e regulatório atual e abrangente.</t>
  </si>
  <si>
    <t>Considerando a existência da Política Estadual de Mudanças Climáticas (Lei Estadual nº 13.798/09, atualizada pelo Decreto nº 68.308/24) e a previsão recorrente em seu texto de planos e ações voltadas a mitigação e adaptação, entende-se que o item está em estágio avançado.</t>
  </si>
  <si>
    <t>Considerando que a PEMC, o PEARC e o PAC 2050 do Estado de São Paulo são compatíveis com os principais dispositivos federais, além de apresentarem metas de redução de emissões de GEE, bem como prazos e metas de adaptação harmônicas com as metas nacionais, e seguirem metodologias de inventário e reporte de emissões semelhantes às recomendadas pelo governo federal, entende-se que o item está em estágio avançado.</t>
  </si>
  <si>
    <t>"A Política de Mudança do Clima no Município de São Paulo (PMCMSP) é consistente com a Política Nacional sobre Mudança do Clima (PNMC) pois: (1) é regida pelo mesmo conjunto de princípios que a PNMC</t>
  </si>
  <si>
    <t>A Lei Municipal 14.933, de 5 de junho de 2009, prevê, explicitamente, a inclusão da mudança do clima em importantes instrumentos de planejamento. Notadamente, citam-se as normas de planejamento urbano e do uso do solo (art. 3º, IV) e a política de mobilidade urbana (art. 6º, caput). Há detalhamento de aspectos a serem considerados nesse processo, a exemplo da redistribuição da demanda pelo espaço viário, uso de combustíveis renováveis (art. 6º, caput) e planejamento da malha viária (art. 6º, I, a) e do emprego do princípio da cidade compacta (art. 18, caput). Há, ainda, previsão da inclusão da dimensão climática em planos, programas e projeto em geral, por meio do emprego da Avaliação Ambiental Estratégica (art. 3º, VII). Contudo, não há previsão explícita da integração da dimensão climática ao orçamento público (leis orçamentárias, leis de diretrizes orçamentárias ou planos plurianuais), razão pela qual o item foi avaliado, apenas, como intermediário.</t>
  </si>
  <si>
    <t>Considerando que a PEMC apresenta disposições detalhadas, com a especificação dos setores, dos atores e dos aspectos climáticos a serem considerados nos instrumentos de planejamento e nos planos e políticas setoriais, entende-se que o item está em estágio avançado.</t>
  </si>
  <si>
    <t>Considerando a reorganização do Conselho Estadual de Mudanças Climáticas (CEMC) e do Comitê Gestor da Política Estadual de Mudanças Climáticas (CGPEMC) pelo Decreto Estadual nº 68.308/24, bem como as agendas, atas e outros documentos de acesso público disponíveis em seus respectivos portais eletrônicos, entende-se que o item está em estágio avançado.</t>
  </si>
  <si>
    <t>A principal estrutura de governo para lidar com a mudança do clima é a Secretaria Executiva de Mudanças Climáticas (SECLIMA), da Secretaria de Governo Municipal (SGM), criada pelo art. 5º, inciso VI, do Decreto Municipal 60.038, de 31 de dezembro de 2020, e cujas atribuições são estabelecidas pelo Decreto Municipal 60.290, de 4 de junho de 2021. Há evidências de sua atuação, a exemplo dos relatórios de acompanhamento da implementação do PlanClima-SP, cuja coordenação é de sua responsabilidade. No entanto, o tema não está completamente transversalizado em todos os principais órgãos do município, em especial, levando em consideração o baixo desempenho do município nos itens P4.A., P4.B e P5.A. Por este motivo, o item foi avaliado como estágio intermediário.</t>
  </si>
  <si>
    <t>O PlanClima-SP atribui a responsabilidade pela implementação de suas ações a um conjunto de 25 secretarias líderes. O Decreto Municipal 60.290/2021 atribui à Secretaria Executiva de Mudanças Climáticas (SECLIMA) os papéis de liderança (art. 1º, V), de coordenação (art. 1º, I, VI a VIII) e de monitoramento (art. 1º, II e III) da ação climática do município de São Paulo. Há lacuna formal, no entanto, na responsabilidade por dar transparência à ação climática municipal, razão pela qual o item foi avaliado como em estágio intermediário. Contudo, apesar de não previsto expressamente no referido Decreto, o papel de dar transparência à ação climática também recai sobre a SECLIMA, que é responsável por publicar o resultado do acompanhamento do PlanClima-SP.</t>
  </si>
  <si>
    <t>Considerando a instituição do Conselho Estadual de Mudanças Climáticas (CEMC) por meio da Lei Estadual nº 13.798/09, com regulamentação pelo Decreto nº 68.308/24, com a definição de respectivas atribuições, entende-se que o item está em estágio avançado.</t>
  </si>
  <si>
    <t>Considerando a instituição do Conselho Estadual de Mudanças Climáticas (CEMC) por meio da Lei Estadual nº 13.798/09, com regulamentação pelo Decreto nº 68.308/24, entende-se que o item está em estágio avançado.</t>
  </si>
  <si>
    <t>A Secretaria Executiva de Mudanças Climáticas (SECLIMA), por integrar a Secretaria de Governo Municipal, detém posição hierárquica adequada para mobilizar, efetivamente, os atores necessários à ação climática do governo municipal. Além disso, há acesso direto ao chefe do Executivo. A SECLIMA conta, ainda, com corpo técnico multidisciplinar para oferecer subsídio a tomadas de decisão.</t>
  </si>
  <si>
    <t>O Plano de Ação Climática do município de São Paulo (PlanClima-SP) contém seção destinada aos riscos climáticos que detalha, territorialmente, os riscos de ondas de calor e de inundações. Há, também, territorialização da ameaça de seca. Há, ainda, referência ao mapeamento do risco de deslizamentos de encostas e solapamentos mantido pela Coordenadoria Municipal de Defesa Civil (COMDEC), disponível no GeoSampa. Outras ameaças e impactos relevantes trazidos no texto, mas não georreferenciados, incluem baixa umidade relativa do ar, impactos na saúde e segurança alimentar e nutricional. De modo geral, o mapeamento apresentado é atual e baseado em evidências científicas.</t>
  </si>
  <si>
    <t>Considerando as informações do Plano Estadual de Adaptação e Resiliência Climática (PEARC) e do Zoneamento Ecológico-Econômico do Estado de São Paulo (Decreto Estadual n° 67.430/22), baseadas em evidências científicas e o apoio técnico do Deutsche Gesellschaft fur Internationale Zusammenarbeit (GMBH), entende-se que o item está em estágio avançado.</t>
  </si>
  <si>
    <t>A integração dos riscos climáticos a dois instrumentos de planejamento, o Plano de Ação Climática e o Plano Plurianual 2022-2025, foi analisada. Os riscos climáticos mapeados no município de São Paulo são integrados sistematicamente e de modo abrangente em seu Plano de Ação Climática (PlanClima-SP). Contudo, no PPA, tal integração é consideravelmente mais superficial. Não há menção explicita a quais riscos climáticos as ações do PPA visam a tratar ou podem contribuir para o tratamento. No entanto, há documento gerencial relativo ao Plano Plurianual 2022-2025 (PPA) que estabelece vínculo entre ações do PPA com 23 ações do PlanClima-SP. Tal documento permite estabelecer vínculo entre alguns dos riscos mapeados no PlanClima-SP e algumas das ações do PPA. Em razão disso, o item foi avaliado como intermediário.</t>
  </si>
  <si>
    <t>Considerando a governança estabelecida no marco regulatório estadual, especialmente com a atuação do Comitê Gestor e do Conselho Estadual para fomento da execução e do acompanhamento da Política Estadual de Mudanças Climáticas (PEMC), entende-se que o item está em estágio avançado.</t>
  </si>
  <si>
    <t>A principal estrutura coordenação intragovernamental para lidar com a mudança do clima é a Secretaria Executiva de Mudanças Climáticas (SECLIMA), da Secretaria de Governo Municipal (SGM), criada pelo art. 5º, inciso VI, do Decreto Municipal 60.038, de 31 de dezembro de 2020, e cujas atribuições são estabelecidas pelo Decreto Municipal 60.290, de 4 de junho de 2021. Entre suas atribuições, constam a de "articular [...] medidas voltadas à conexão e integração das políticas, planos, programas e ações de mitigação e adaptação às mudanças climáticas [...]" (art. 1º, I) e a de "orientar e incentivar os órgãos municipais na inclusão da variável climática nas suas ações e processos decisórios [...]" (art. 1º, V). A principal evidência de sua atuação, para fins de coordenação da ação climática municipal, se dá na sua atuação nos Grupos de Trabalho Participativo e Intersecretariais responsáveis pelo acompanhamento do PlanClima-SP e pela revisão do Plano. Há evidências de sua atuação em ambas atividades, como os relatórios de acompanhamento do PlanClima-SP e as atas do processo de revisão do PlanClima-SP.</t>
  </si>
  <si>
    <t>"O município de São Paulo firmou Protocolo de Intenções com o Consórcio Intermunicipal Grande ABC para atuação conjunta com o município da região do Grande ABC com ênfase na mitigação e adaptação à mudança do clima. O município designou formalmente, por meio da Portaria do Prefeito 856/2024, representantes para atuar no Comitê de Mudanças Climáticas previsto no referido Protocolo de Intenções. Há evidências da atuação do referido mecanismo. Além disso, o município de São Paulo participa das seguintes coalizões: ICLEI - Governos Locais pela Sustentabilidade</t>
  </si>
  <si>
    <t>Considerando a participação do Estado de São Paulo através de representante da Secretaria de Meio Ambiente, Infraestrutura e Logística no Consórcio Interestadual sobre o Clima - Brasil Verde (CBV), bem como nas alianças e coalizões internacionais "Under2 Coalition, Race to Zero e Race to Resilience, Regions4 e ICLEI", entende-se que o item está em estágio avançado.</t>
  </si>
  <si>
    <t>O município instituiu mecanismos de coordenação para sua ação climática que incluem representantes do Estado de São Paulo e da União. O Comitê Municipal de Mudança do Clima e Ecoeconomia (CMMCE) conta com representação da Secretaria Estadual de Meio Ambiente, Infraestrutura e Logística (SEMIL) e com representação da Agência Brasileira de Inteligência (ABIN). Há representações relevantes do Estado, ainda, no Comitê Gestor do Programa de Acompanhamento da Substituição de Frota por Alternativas Mais Limpas (COMFROTA), notadamente, representação da Secretaria dos Transportes Metropolitanos do Estado de São Paulo, da Empresa Metropolitana de Transportes Urbanos, da SEMIL, da Companhia Ambiental do Estado de São Paulo e da Agência Reguladora de Serviços Públicos Delegados de Transporte do Estado de São Paulo. Há evidências de atuação dos respectivos mecanismos.</t>
  </si>
  <si>
    <t>Considerando que o Conselho Estadual de Mudanças Climáticas conta com representantes do Governo do Estado de São Paulo, municípios e da sociedade civil, entende-se que o item está em estágio avançado.</t>
  </si>
  <si>
    <t>A Lei Municipal 14.933/2009 - a Política de Mudança do Clima no Município de São Paulo (PMCMSP) - criou o Comitê Municipal de Mudança do Clima e Ecoeconomia (CMMCE) com o objetivo de apoiar a implementação da política. As competências do CMMCE, estabelecidas pelo Decreto Municipal 50.866/2009, incluem sua atuação na formulação (art. 2º, I) e implementação (art. 2º, II) dos planos, dos programas e das ações da PMCMSP. O Comitê é o principal mecanismo formal e contínuo para debater a mudança do clima, como um todo, no município. Os atores se reúnem, mensalmente, e debatem assuntos relevantes para o enfrentamento do problema. Não se obteve evidência acerca da existência de relatórios de resposta institucional à sociedade, demonstrando como sugestões advinda do Comitê foram incorporadas ou justificadamente rejeitadas. Por esse motivo, o item foi avaliado como em estágio intermediário.</t>
  </si>
  <si>
    <t>Considerando que o CEMC conta com representantes do Governo do Estado de São Paulo, municípios e da sociedade civil, e, conforme Art. 27 de seu Regimento Interno, apresenta disposições para levar em consideração as perspectivas expressas por esses atores, sendo seus encontros e deliberações formalizadas em atas de reunião disponibilizadas em portal eletrônico próprio, entende-se que o item está em estágio avançado.</t>
  </si>
  <si>
    <t>Considerando que o CEMC conta com representantes do Governo do Estado de São Paulo, municípios e da sociedade civil, entende-se que o item está em estágio avançado.</t>
  </si>
  <si>
    <t>A composição do Comitê Municipal de Mudança do Clima e Ecoeconomia inclui representantes formais do governo, da sociedade civil e do setor privado. No entanto, a representatividade da sociedade civil foi considerada insuficiente por não incluir associações comunitárias, movimentos sociais e demais coletivos cidadãos. Por esta razão, o item foi avaliado no estágio intermediário.</t>
  </si>
  <si>
    <t>Considerando que os grupos mais vulneráveis aos impactos das mudanças climáticas foram identificados e que suas necessidades específicas foram indicadas no PEARC, entende-se que o item está em estágio avançado.</t>
  </si>
  <si>
    <t>O PlanClima faz referência específica aos seguintes grupos de pessoas vulneráveis: população mais pobre, moradores de assentamentos precários, em situação de moradia irregular ou em áreas de risco, moradores de áreas periféricas, moradores e trabalhadores da zona rural, crianças, idosos, população em situação de rua, trabalhadores informais, indígenas, refugiados, mulheres e pessoas com mobilidade reduzida. Para os riscos de inundação e ondas de calor, uma parcela destas vulnerabilidades foi considerada em razão do emprego do Índice Paulista de Vulnerabilidade Social (IPVS), o qual leva em conta os fatores de vulnerabilidade renda, gênero, idade e alfabetização. Há, ainda, um mapeamento das favelas do município e Censo, datado de 2021, da população em situação de rua. Não há, no entanto, levantamento detalhado e claro das necessidades específicas de todos esses grupos. Em razão disto, o item foi avaliado como em estágio intermediário.</t>
  </si>
  <si>
    <t>Considerando que durante a fase de consulta pública do PEARC, 200 das 634 contribuições (31,5%) às Ações e Subações do Plano foram coletadas durante Rodas de Conversa com comunidades vulnerabilizadas, entende-se que o item está em estágio avançado.</t>
  </si>
  <si>
    <t>Considerando que a Política Estadual de Mudanças Climáticas (PEMC), os Decretos Estaduais nº 68.308/2024 e nº 69.320/2025, bem como o Plano Estadual de Adaptação e Resiliência Climática (PEARC) e o Plano de Ação Climática (PAC 2050) incorporam uma perspectiva de equidade em seus dispositivos e contemplam os grupos vulneráveis mais relevantes no território de São Paulo, entende-se que o item está em estágio avançado.</t>
  </si>
  <si>
    <t>A Política de Mudança do Clima no Município de São Paulo (PMCMSP) não aborda, explicitamente, a justiça climática em seu texto. No entanto, seus princípios incorporam, em parte, noções de justiça climática ao tratar de uma distribuição mais justa dos custos e benefícios ambientais. Essa perspectiva é vista nos princípios do poluidor-pagador (art. 1º, III), do usuário-pagador (art. 1º, IV), do protetor-receptor (art. 1º, V) e da internalização de custos sociais e ambientais (art. 1º, VIII). Nesse contexto, destacam-se ainda os princípios das responsabilidades comuns, porém diferenciadas (art. 1º, VI) e do direito de acesso à informação, participação pública no processo de tomada de decisão e acesso à justiça nos temas relacionados à mudança do clima (art. 1º, IX). Além disso, o PlanClima-SP considera, explicitamente, a necessidade de se distribuir os benefícios de sua implementação de maneira justa e equitativa. Algumas ações do PlanClima-SP, nesse sentido, buscam aumentar a resiliência das populações mais vulneráveis aos impactos da mudança do clima. Nesse contexto, destacam-se as ações 21 - Incrementar o provimento habitacional para população de baixa renda, 27 - Incluir análise de vulnerabilidade climática [...] nos empreendimentos sujeitos a licenciamento ambiental ou estudo de impacto de vizinhança. Tais ações, no entanto, não abordam explicitamente todos os grupos vulneráveis listados pelo próprio PlanClima-SP, razão pela qual o item foi avaliado em estágio inicial.</t>
  </si>
  <si>
    <t>Considerando que a ALESP promove Audiências Públicas sobre Meio Ambiente e Mudanças Climáticas, bem como conta com Comissão de Meio Ambiente e Desenvolvimento Sustentável que, além de tratar de assuntos próprios, realiza Reuniões Conjuntas com outras Comissões, entende-se que o item está em estágio avançado.</t>
  </si>
  <si>
    <t>A atuação do Legislativo do município de São Paulo não será avaliada nesta edição do Painel ClimaBrasil devido à limitação de recursos da equipe de fiscalização. Atualmente, contamos com apenas um auditor responsável pela análise, o que inviabilizou a realização da avaliação dentro do prazo estabelecido. A inclusão desse item poderá ser reavaliada em futuras edições, conforme a disponibilidade de equipe técnica.</t>
  </si>
  <si>
    <t>O Tribunal de Contas do Município de São Paulo está executando fiscalização acerca da gestão das áreas permeáveis do município, a qual, embora não tenha a mudança do clima como tema principal, inclui questões de auditoria pertinentes ao Plano de Ação Climática do Município de São Paulo. Tais questões representam componentes significativos da auditoria. A controladoria geral do município, no entanto, informou que não efetuou fiscalização cuja mudança do clima fosse tratada como tema principal ou secundário. Portanto, classificou-se o item como "estágio intermediário".</t>
  </si>
  <si>
    <t>O TCE-SP e a CGE-SP produziram, respectivamente, em 2023 e 2025, relatórios de auditoria abordando aspectos de mudanças climáticas como componentes significativos do trabalho, embora não como foco principal. No caso, os temas das auditorias envolveram desastres naturais. Portanto, entende-se que o item está em estágio intermediário.</t>
  </si>
  <si>
    <t>Considerando que quatro das cinco ações previstas no art. 6º da resolução do CNJ estão em processo de implementação ou já foram implementadas pelo TJ-SP, entende-se que o item está em estágio intermediário.</t>
  </si>
  <si>
    <t>Item trata da atuação do Poder Judiciário estadual na apreciação e julgamento de questões relacionadas à mudança do clima. Não se aplica, portanto, a avaliações municipais.</t>
  </si>
  <si>
    <t>Há um Plano de Ação Climática de Teresina, logo o município possui marco normativo relacionado a mudança climática. O ente federativo possui um quadro legal e regulatório abrangente, que inclui tanto mitigação quanto adaptação.</t>
  </si>
  <si>
    <t>Em análise aos produtos relacionados ao PAC de Teresina, verificou-se alinhamento das ações propostas, parâmetros, prazos e metas e metodologia de inventário. Quadro legal e regulatório é compatível com os principais dispositivos federais, apresenta metas de redução de emissões de GEE, bem como prazos e metas de adaptação harmônicas com as metas nacionais, e segue metodologias de inventário e reporte de emissões semelhantes às recomendadas pelo governo federal (atributos 1 a 5).</t>
  </si>
  <si>
    <t>Há a indicação dos atores-chaves com as indicações das respectivas ações e prazos para implementação. Existem algumas disposições mais detalhadas, com a especificação dos setores, dos atores e dos aspectos climáticos a serem considerados nos instrumentos de planejamento e nos planos e políticas setoriais.</t>
  </si>
  <si>
    <t>Conforme verificado no Organograma da PMT, há uma coordenação específica bem como foi analisado o documento "Relatório Agenda 2030" o qual apresenta histórico da atuação. Existe uma estrutura governamental formal e atuante para tratar dos aspectos relacionados às mudanças climáticas e o tema está devidamente internalizado de forma transversal nos diversos órgãos do ente.</t>
  </si>
  <si>
    <t>No PAC, Produto 04, os tópicos 05 e 06 referem-se as instituições líder conforme cada ação e sub-ação elencada. As responsabilidades de liderar, coordenar, implementar, monitorar e dar transparência às ações governamentais relacionadas com a emergência climática foram atribuídas aos atores envolvidos e não existem lacunas ou sobreposições relevantes.</t>
  </si>
  <si>
    <t>Embora haja uma Coordenadoria específica da Agenda 2030 no organograma da Secretaria Municipal de Planejamento (SEMPLAM), notou-se que a mesma não está sob a mais alta liderança do governo, portanto sem acesso direto ao chefe do executivo. O responsável por liderar detém posição hierárquica adequada para a efetiva mobilização atores e orientação/coordenação das respostas estaduais/ municipais às mudanças climáticas, mas não tem acesso direto ao chefe do executivo e/ou não conta com a participação de funcionários governamentais das áreas técnicas mais relevantes para subsidiar a tomada de decisões.</t>
  </si>
  <si>
    <t>Em análise ao documento intitulado "Mapas de ameaças climáticas no município de Teresina - Área Urbana e Rural" verificaram-se mapas de inundação, alagamento, deslizamento, ondas de calor, ameaça de arboviroses dentre outros efeitos adversos. O ente federativo possui um mapeamento de riscos ou de vulnerabilidades relacionadas com as mudanças climáticas, produzido ou atualizado nos últimos 5 anos, baseado em evidências científicas e/ou informações de plataformas oficiais.</t>
  </si>
  <si>
    <t>Conforme apontado na Tabela 1 do arquivo intitulado "Produto 4 - Plano de Ação Climática da cidade de Teresina" têm-se alguns instrumentos normativos com objetivos e metas ligados à mudança do clima, entretanto não há evidência de influência efetiva e abrangente no planejamento municipal. Os riscos climáticos são utilizados de forma incidental ou pontual nos instrumentos de planejamento. Além disso, O decreto  nº 27.767, de 28 de fevereiro de 2025 instituiu o comitê de redução de riscos de desastres. Por julgamneto profissional, a classificação é a intermediária.</t>
  </si>
  <si>
    <t>Verificou-se a existência de um Conselho Municipal de Meio Ambiente (COMDEMA) composto por 27 órgãos integrantes, contudo, não foram identificados mecanismos ativos como reuniões, resoluções e demais atuações específicas na temática mudança climática. "Existem mecanismos que atendem aos dois primeiros atributos, mas não há evidências de uma dinâmica que possibilite a regular interação entre os atores.</t>
  </si>
  <si>
    <t>Verificou-se que o município de Teresina é associado ao ICLEI - Governos Locais pela Sustentabilidade. Entretanto, não foi identificada indicação formal de representantes. Há representantes formalmente indicados e evidência da participação do ente nos mecanismos relevantes, mas não há atendimento integral aos atributos previstos em 1 e 2 (acima).</t>
  </si>
  <si>
    <t>Teresina participa de reuniões e eventos interfederativos, como a plenária do Plano Clima Participativo (CIM/Governo Federal) sediada no município, onde contou com representantes da SEMAM e SEMPLAN. Entretanto, não foram identificados representantes formalmente designados. Há representantes formalmente indicados em parte dos mecanismos existentes e/ou a indicação de representante é relativamente adequada (não há atendimento integral aos atributos previstos em 1 e 2 (acima).</t>
  </si>
  <si>
    <t>"Conforme apontado no documento intitulado ""Produto 4 - Relatório Oficinas Setoriais para elaboração do Plano de Ação Climática"" houve oficinas setoriais no processo de construção do PAC, reunindo portanto com base nos registros, organizações ligadas aos setores de Energia, Transporte, Resíduos e Efluentes, Indústria, Sociedade Civil, Lideranças Comunitárias dentre outros entes governamentais. Há mecanismos, mas eles atendem parcialmente aos três primeiros atributos de verificação (abrange a concepção e implementação de políticas</t>
  </si>
  <si>
    <t>Não foram identificadas representação dos setores, ou seja, item A deste componente foi considerado "Sem progresso".</t>
  </si>
  <si>
    <t>Apesar de o documento "Produto 4 - Plano de Ação Climática da cidade de Teresina" conter um tópico relativo ao perfil socioeconômico, não houve identificação específica dos grupos sociais mais vulneráveis aos impactos das mudanças climáticas por parte do governo. O Decreto nº 26.084, de 15 de abril de 2024 (Anexo 02), que institui a Comissão Municipal de Justiça Climática - COMJUCA, estabelece a finalidade de promover a discussão intersetorial e a formulação de políticas públicas locais voltadas para a justiça climática, reconhecendo como prioritários grupos como crianças, gestantes, idosos, migrantes e pessoas com deficiência. A comissão realiza reuniões periódicas sobre o tema e busca parcerias institucionais, como com o UNFPA (Fundo de População das Nações Unidas), com o qual assinou um memorando de entendimentos.
Entretanto, observa-se que, apesar dessas iniciativas, a identificação dos grupos vulneráveis não foi realizada de forma abrangente e sistemática no Plano de Ação Climática, carecendo de um mapeamento completo que permita a integração efetiva dessas informações às políticas públicas e estratégias de adaptação.</t>
  </si>
  <si>
    <t>Não foram identificados mecanismos de inclusão dos grupos vuneráveis no processo da tomada de decisões.</t>
  </si>
  <si>
    <t>Haja vista a não identificação clara e expressa dos grupos vulneráveis (já exposto no item anterior) não há equidade entre os grupos sociais. O quadro legal/regulatório (componente G1) e os principais planos de mitigação e de adaptação não incorporam uma perspectiva de equidade em seus dispositivos.</t>
  </si>
  <si>
    <t>Não foram identificados mecanismos (comissões, comitês) dedicados à mudança do clima.</t>
  </si>
  <si>
    <t>Não foram realizadas ações de controle no ente sob avaliação, seja pelo tribunal de contas, seja pela controladoria, nos últimos 5 anos, que tenha como foco principal as mudanças climáticas.</t>
  </si>
  <si>
    <t>O item se aplica apenas à avaliação dos governos estaduais.</t>
  </si>
  <si>
    <t>O Tocantins possui Política Estadual sobre Mudanças Climáticas instituída e Comitê Gestor de Enfrentamento às Mudanças Climáticas do Estado do Tocantins criado os quais evidenciam a existência de marco legal e regulatório que estão devidamente comprovados nas evidências anexadas.</t>
  </si>
  <si>
    <t>A Política Estadual sobre Mudanças Climáticas respeita os planos e estratégias nacionais, implementando redução de emissões em diversos setores. Quanto a Política Estadual de Atenção às Emergências Climáticas e o Combate ao Racismo Ambiental, prevê princípios e objetivos que vão ao encontro das métricas estabelecidas em nível nacional. Ratificando o que fora citado, o Tocantins instituiu Plano  Estadual de Mitigação e de Adaptação às Mudanças Climáticas para a Consolidação de uma Economia de Baixa Emissão de Carbono na Agricultura - Plano ABC-TO o que exemplifica o respeito as diretrizes nacionais nos setores de transversalidade com as mudanças climáticas. Portanto o estágio é inicial.</t>
  </si>
  <si>
    <t>Na LOA/2025 do Tocantins, foi previsto recursos para o Fundo Clima do Estado do Tocantins - FUNCLIMA incluindo programas de REDD+ e  Consórcio Interestadual de Desenvolvimento Sustentável da Amazônia Legal com previsão total de R$ 8.160.000. Alinhado com a LOA, o LDO previu estruturação de 04 subprogramas no âmbito do REDD+ e 02 instrumentos para implementação do FUNCLIMA. Conforme evidências anexadas, foram previstos mecanismos para implementação de ações governamentais, porém não ficou claro a transversalidade com planos e políticas de outros setores estratégicos, portanto o estágio é intermediário.</t>
  </si>
  <si>
    <t>Foi criado o Fórum Estadual de Mudanças Climáticas e de Biodiversidade, o Comitê Gestor de Enfrentamento às Mudanças Climáticas do Estado do Tocantins e a Gerência de Recursos Energéticos e Mudanças Climáticas inserida na SEMARH - Secretaria do Meio Ambiente e Recursos Hídricos.</t>
  </si>
  <si>
    <t>O Comitê Gestor de Enfrentamento às Mudanças Climáticas do Tocantins, em seu regimento interno, previu ações para coordenação das ações o respectivo monitoramento bem como sua transparência. Já a Gerência de Recursos Energéticos e Mudanças Climáticas é responsável pelo acompanhamento e coordenação da Política Estadual de Mudanças Climáticas. Sendo assim, é possível verificar a atribuição de responsabilidades o que enquadra em estágio avançado.</t>
  </si>
  <si>
    <t>No Tocantins, a SEMARH é o órgão responsável por liderar, orientar e coordenar as respostas às mudanças climáticas. Atua com autoridade para mobilizar diferentes setores, possui composição mista (técnica e política) e tem acesso direto ao chefe do Executivo, garantindo articulação intersetorial e efetividade na implementação das políticas climáticas. Portanto, estágio intermediário de acordo com a evidência.</t>
  </si>
  <si>
    <t>O Tocantins realiza o monitoramento dos recursos hídricos por meio da Sala de Situação de Emergência, que acompanha em tempo real variáveis como níveis dos rios, chuvas e alertas por bacia como também divulga boletins climáticos e de riscos de incêndios. No entanto, o Estado ainda não possui uma estrutura integrada para gestão de riscos, planejamento de ações e resposta coordenada a eventos extremos associados às mudanças climáticas. O Plano Estadual de Recursos Hídricos prevê a criação do Núcleo Integrado de Gestão de Eventos Críticos (NIGEC), no Subprograma A3, com esse propósito, mas o núcleo ainda não foi instituído. Portanto, conforme evidências, o estágio é inicial.</t>
  </si>
  <si>
    <t>Observa-se, no Estado do Tocantins, a existência de estudos pontuais relacionados às mudanças do clima, como os realizados pela SEPLAN para avaliação climática. No entanto, não há integração entre instituições e/ou sistemas que permita a gestão articulada e o acompanhamento permanente de municípios especialmente vulneráveis aos efeitos das mudanças climáticas. Considerando isso, o estágio é inicial.</t>
  </si>
  <si>
    <t>No Estado do Tocantins, existem mecanismos formais de funcionamento do Comitê Gestor de Enfrentamento às Mudanças Climáticas, com estrutura definida, composição interinstitucional e competências normatizadas para articular ações de mitigação e adaptação em âmbito estadual. Em vista disso, o estágio é avançado.</t>
  </si>
  <si>
    <t>Não foram localizados documentos oficiais que confirmem a adesão formal do Estado do Tocantins como signatário dos referidos acordos. No entanto o documento oficial PPCDIF apresenta essa informação - página 43. O Tocantins é membro do Consórcio Interestadual de Desenvolvimento Sustentável da Amazônia Legal em que uma das finalidades é conservação do clima. Além disso, por meio do anexo, verifica-se alinhamento do Tocantins com UNDER 2 MOU. Diante disso, o estágio é intermediário.</t>
  </si>
  <si>
    <t>A SEMARH é responsável pela coordenação do Comitê Gestor de Enfrentamento às Mudanças Climáticas e preside o Conselho de Meio Ambiente do Tocantins - COEMA que possui representantes da esfera municipal. Portanto, a governança do estado do Tocantins sobre mudanças climáticas possui abrangência no estado e ainda auxilia os entes municipais para enfrentamento dos desafios com mudanças climáticas. Outra evidência é a elegibilidade do Tocantins para acesso e captação de pagamentos por resultados de redução de emissões provenientes do desmatamento, determinada pela Resolução nº 05/2021 do MMA. Como não foi possível verificar a participação e interação regular, o estágio desse item é intermediário.</t>
  </si>
  <si>
    <t>O §1°, art. 3º do Decreto nº 6.907/2025, que criou o CGEMC, possibilita que representantes de outros órgãos e entidades, públicas ou privadas, bem como especialistas e técnicos, poderão ser convidados. O mecanismo citado será enquadrado em estágio inicial, pois os atores não governamentais não compõem o comitê de forma expressa entres os órgãos e entidades do Poder Executivo Estadual.</t>
  </si>
  <si>
    <t>O art. 2° do Decreto nº 4.450/2021, que instituiu Fórum Estadual de Mudanças Climáticas FEMC, elenca como integrantes das instituições públicas e privadas, representantes de instituições de ensino e de organizações não governamentais - ONG. A DECISÃO FEMC/TO Nº 01/2021, foi republicada para correção e Dispõe sobre a Criação da Câmara Temática Permanente de Pesquisas em Mudanças Climáticas no âmbito do Fórum Estadual de Mudanças Climáticas - FEMC, entretanto só foi possível verificar no § 1° do art. 1º a quantidade de membros e não a sua representatividade. Portanto, este item encontra-se em estágio inicial.</t>
  </si>
  <si>
    <t>A Política Estadual de Atenção às Emergências Climáticas e o Combate ao Racismo Ambiental, LEI Nº 4.618, DE 18 DE DEZEMBRO DE 2024, entre suas ações prioritárias cita o fortalecimento da Justiça Climática, mas não foi encontrado nenhuma identificação dos grupos em situação de vulnerabilidade aos impactos das mudanças climáticas.</t>
  </si>
  <si>
    <t>Na implementação do REDD+, o primeiro instrumento econômico da Política Estadual de Pagamento por Serviços Ambientais - PEPSA, foi utilizado metodologia que exige povos indígenas e comunidades tradicionais locais participem da concepção, implementação e monitoramento das atividades, todavia não foram encontrados elementos que garantam a  inclusão dos grupos sociais e/ou econômicos em situação de vulnerabilidade como parte do processo de tomada de decisão. Como o REDD+ almeja a redução da emissão dos GEE e apenas consulta grupos em vulnerabilidade, atribui-se sem progresso, porque é uma ação pontual.</t>
  </si>
  <si>
    <t>A Política Estadual de Atenção às Emergências Climáticas e o Combate ao Racismo Ambiental, LEI Nº 4.618, DE 18 DE DEZEMBRO DE 2024, entre suas ações prioritárias cita o fortalecimento da Justiça Climática, mas não foi encontrado nenhuma identificação dos grupos em situação de vulnerabilidade aos impactos das mudanças climáticas. (Item A do G6 - Justiça Climática). Quanto ao componente do G1, a Política Estadual sobre Mudanças Climáticas, Conservação Ambiental e Desenvolvimento Sustentável expressa em um dos seus objetivos sobre zoneamento das áreas de maior vulnerabilidade às mudanças climáticas. No entanto, não foi percebido algum documento em que trate dos grupos sociais e/ou econômicos bem com provisões para garantir soluções. Diante do exposto, define-se sem progresso.</t>
  </si>
  <si>
    <t>Apesar da existência de uma Comissão de Minas, Energia, Meio Ambiente e Turismo, a qual possui a temática Meio Ambiente, não foi identificado qualquer abordagem às mudanças climáticas. Entretanto, conforme publicado no Diário Oficial do Estado nº 6664, a Assembleia Legislativa do Estado do Tocantins (AL/TO) compõe o fórum Estadual de Mudanças Climáticas do Tocantins (FEMC/TO).</t>
  </si>
  <si>
    <t>"Os órgãos de controle não têm realizado trabalhos especificamente voltados à temática das mudanças climáticas. Não obstante, os processos supracitados guardam relação com o tema, considerando que as ações governamentais na área ambiental possuem transversalidade com a agenda climática. Assim, o estágio é classificado como sem progresso.
O TCE/TO realizou auditorias que se conectam de forma indireta à temática, a exemplo do processo E-Contas nº 4804/2019, referente ao Programa ICMS Ecológico, que avaliou ações governamentais em diversos eixos</t>
  </si>
  <si>
    <t>1. O TJ iniciou à implementação da gestão estratégica sustentável no ano de 2014. Possui desde 2015, setor específico relacionado a temática Ambiental - Atualmente o setor é denominado COGERSA - Coordenadoria de Gestão Socioambiental e de Responsabilidade Social                                                                                                                                                           2. Plano elaborado em cumprimento das diretrizes da Resolução CNJ no 594, de 08 de novembro de 2024  
3. Instituído pela Resolução CNJ nº 325/2020, a Estratégia Nacional do Poder Judiciário possui a finalidade de definir e alinhar diretrizes nacionais de atuação dos órgãos do Poder Judiciário para o período de 2021 a 2026.                                
4. O TJ-TO realiza desde 2022 Inventários de GEE.                                                                                                                            Verificou-se que o TJ adota medidas previstas no art. 6º da Resolução CNJ nº 433/2021, como a criação de núcleos ambientais nos centros de conciliação, capacitação continuada sobre direito ambiental e uso de ferramentas tecnológicas para planejamento e atuação estratégica. Diante disso, o estágio é inicial.</t>
  </si>
  <si>
    <t>O Ofício encaminhado (Ofício resposta_TCES_02431_2025_7), no item 2.a) se limita informar a existência do Decreto Municipal nº 17.923/2019 que institui o Comitê Gestor Local sobre Mudanças Climáticas, não constituindo, em si, um marco legislativo. 
Um arcabouço legal e regulatório climático deve ser implementado por meio de leis gerais de mudança do clima a exemplo de "Políticas Municipais de Mudanças Climáticas" para definir objetivos de mitigação e adaptação, atribuindo aos órgãos governamentais a responsabilidade por sua implementação. Também podem fazer parte legislações setoriais que dialogam com o enfrentamento climático e planos de adaptação e mitigação.</t>
  </si>
  <si>
    <t>Como não existe um marco legislativo, consequentemente não há consistência com os planos ou estratégias nacionais.</t>
  </si>
  <si>
    <t>Como não existe um marco legislativo, consequentemente não há mecanismos de integração.</t>
  </si>
  <si>
    <t>Existe Comitê Gestor Local sobre Mudanças Climáticas, instituído pelo Decreto 17.923-2019, porém não há evidências de sua implementação e atuação.
O Município está tratando de questões das mudanças climáticas no Conselho Municipal de Defesa do Meio Ambiente - COMDEMA, que entretanto, não é uma estrutura exclusivamente dedicada à mudança do clima.</t>
  </si>
  <si>
    <t>O ente federativo não atribuiu as responsabilidades de liderar, coordenar, implementar, monitorar e dar transparência às ações governamentais relacionadas com a emergência climática, conforme declaração do próprio ente em Ofício de Resposta.</t>
  </si>
  <si>
    <t>O ente federativo não atribuiu as responsabilidades de liderar em ações governamentais relacionadas com a emergência climática, conforme declaração do próprio ente em Ofício de Resposta.</t>
  </si>
  <si>
    <t>O município possui mapeamento de riscos em seu Plano Municipal de Redução de Risco de Vitória, além disso possui o Plano Municipal de Proteção e Defesa Civil - PMPDC, porém os documentos não são associados à mudança do clima e nem baseados em informações científicas relacionadas a esse tema.</t>
  </si>
  <si>
    <t>Os instrumentos de planejamento mais relevantes do ente federativo não incorporam os riscos climáticos, o que foi ratificado pelo ente em seu Ofício de resposta.</t>
  </si>
  <si>
    <t>Existe mecanismo institucional ativo que possibilita a coordenação horizontal entre os órgãos e entidades vinculados do Município para o enfrentamento dos desafios relacionados com a mudança do clima - Comitê Gestor Local sobre Mudanças Climáticas, instituído pelo Decreto Nº 17.923/2019 e sua estrutura comtempla todas as secretarias relevantes. Contudo, não se observou evidências de sua implementação e funcionamento.
O Município está tratando de questões das mudanças climáticas no Conselho Municipal de Defesa do Meio Ambiente - COMDEMA, que entretanto, não é uma estrutura exclusivamente dedicada à mudança do clima.</t>
  </si>
  <si>
    <t>O município não participa de mecanismos institucionais que possibilitam a coordenação horizontal, conforme indicado no Ofício resposta.</t>
  </si>
  <si>
    <t>O município não participa de mecanismos institucionais que possibilitam a coordenação vertical, conforme indicado no Ofício de resposta do ente.</t>
  </si>
  <si>
    <t>Não existem mecanismos exclusivos institucionais ativos para permitir o envolvimento das partes interessadas na elaboração e implementação de estratégias, planos e políticas climáticas de maneira consistente.
O Município indicou em Ofício de resposta a Lei Municipal nº 4.438 de 28/05/1997, a qual institui o Código Municipal de Meio Ambiente do Município de Vitória. Porém a lei não está relacionada à mudança do clima.
A referida lei descreve a constituição do COMDEMA - Conselho Municipal de Defesa do Meio Ambiente, o qual realiza reuniões periódicas que eventualmente tratam do assunto sobre mudanças climáticas. O COMDEMA apresenta na sua composição membros representantes da Administração Municipal, Câmara Municipal, órgãos estaduais e federais de meio ambiente, dentre outros, além de representantes de organizações populares e comunitárias sediadas no Município, evidenciando a participação de entes interessados.</t>
  </si>
  <si>
    <t>O mecanismo instituído para permitir o engajamento das partes interessadas com a devida representatividade dos setores não se encontra ativo. Decreto 17.923-2019 - Institui Comitê Gestor Local sobre Mudanças Climáticas.
O Município indicou em Ofício de resposta a Lei Municipal nº 4.438 de 28/05/1997, a qual institui o Código Municipal de Meio Ambiente do Município de Vitória. Porém a lei não está relacionada à mudança do clima.
A referida lei descreve a constituição do COMDEMA - Conselho Municipal de Defesa do Meio Ambiente, o qual realiza reuniões periódicas que eventualmente tratam do assunto sobre mudanças climáticas. O COMDEMA apresenta na sua composição membros representantes da Administração Municipal, Câmara Municipal, órgãos estaduais e federais de meio ambiente, Universidade Federal do Espírito Santo, Federação das Indústrias do Espírito Santo, dentre outros, além de representantes de organizações populares e comunitárias sediadas no Município, evidenciando a participação de entes interessados.
Diante disso, considera-se que o COMDEMA pode servir de um mecanismo institucional para tratar de mudanças climáticas, apesar de não ter sido criado para esta finalidade.</t>
  </si>
  <si>
    <t>Não foram localizados e nem apresentados documentos que identificassem as populações e grupos sociais e/ou econômicos em situação de vulnerabilidade frente aos impactos das mudanças climáticas em seus respectivos territórios, bem como mapeassem suas respectivas necessidades.
A resposta do ente considera ações para grupos sujeitos a situações de calamidade e emergência decorrentes de enchentes, alagamentos, deslizamentos, remoção de famílias que vivem em áreas de riscos geológicos e áreas de interesse ambiental. Porém não são ações que consideram a identificação a partir de estudos científicos de grupos em situação de vulnerabilidade frente aos impactos da mudança do clima.</t>
  </si>
  <si>
    <t>Não foram localizados nem apresentados documentos que identificassem mecanismos para incluir grupos sociais e/ou econômicos em situações de vulnerabilidade como parte do processo de tomada de decisão na elaboração e implementação de estratégias, políticas e planos climáticos.
A resposta do ente cita que a inclusão dos grupos sociais é feita por meio de Conselhos Municipais. Porém não foram identificadas evidências que comprovem ações dos Conselhos Municipais frente à temática mudanças do clima.</t>
  </si>
  <si>
    <t>A avaliação se baseia no quadro legal e regulatório, planos de mitigação e adaptação e na identificação de grupos vulneráveis. Porém tais elementos não existem, não sendo possível realizar a avaliação.</t>
  </si>
  <si>
    <t>Não foram identificadas estruturas organizacionais ativas (por exemplo, comissões ou comitês) que focam em questões relacionadas às mudanças climáticas.
A Câmara Municipal de Vitória encaminhou documentos com o intuito de comprovar a adoção de ações relacionadas à temática das mudanças climáticas. Contudo, após análise do material, verifica-se que os documentos não atendem aos critérios estabelecidos na auditoria, os quais visam aferir a existência de mecanismos dedicados à mudança do clima e/ou se o tema é considerado transversalmente em outras comissões/comitês e/ou é objeto de atividades legislativas específicas relacionadas à temática.</t>
  </si>
  <si>
    <t>Não houve auditorias nos últimos 5 anos em que constou como seu foco principal alguma questão relacionada com a mudança do clima.</t>
  </si>
  <si>
    <t>Não há Poder Judiciário em nível municipal.",,P
5282,"Políticas públicas",2025-09-12T15:28:55.628Z,"Versão de Avaliação 2025",Estado,Acre,12,P1,A,"Estágio avançado",1,"O Plano de Prevenção, Controle do Desmatamento e Queimadas do Estado do Acre (PPCDQ-AC) é considerado um plano de mitigação que tem como objetivo reduzir o desmatamento e a degradação da vegetação nativa, bem como controlar as queimadas e os incêndios florestais, garantindo, assim, a conservação da biodiversidade e a manutenção dos serviços ecossistêmicos.  A meta estabelece que o estado do Acre deverá reduzir 50% do desmatamento até 2027 com a projeção de 10% ao ano, sendo uma forte evidencia do item como exposto nas fls. 93/96 do PPCDQ.
Há ainda, o PROGRAMA ISA ADAPTAÇÂO ÀS MUDANÇAS DO CLIMA do Estado do Acre, apesar de ser um plano de adapatção contempla o Inventário de Gases de Efeito Estufa (GEE) e estabelece esse mecanismo periodicamente atualizado para monitorar e avaliar as
fontes e sumidouros de GEE no estado. fls. 52/53, e comtempla os principais setores emissores do Estado. O plano/política/estratégia de mitigação define meta própria de redução de
emissões de GEE alinhada com as metas nacionais que foram declaradas na Contribuição Nacionalmente Determinada (NDC) do Brasil, fls. 72/75 do ISA/CLIMA.",,P
5285,"Políticas públicas",2025-09-12T15:28:55.628Z,"Versão de Avaliação 2025",Estado,Acre,12,P1,B,"Estágio intermediário",0.666,"Como o maior percentual das emissões encontra-se no setor de uso da terra (97%), a estratégia de redução das emissões de carbono do Acre está voltada para a conservação florestal, pois o Estado dispõe de um total de 5.361.913,36 hectares em Unidades de Conservação e 2.390.112 hectares em Terras Indígenas, aumento de estoques de carbono através do reflorestamento, recuperação de áreas de preservação permanente e restauração florestal, manejo florestal de baixo impacto, redução de emissões de desmatamento, agricultura em bases de cadeias produtivas sustentáveis e pecuária diversificada que retirem a pressão sobre a floresta, e o controle efetivo das atividades ilegais.
Nas evidencias sobre o Estado do Acre somente foram encontradas monitoramentos relativos ao desmantamento, dessa forma se os mecanismos de monitoramento previstos no plano/política/estratégia de mitigação estão sendo de fato implementados não serão considerados avançados.",,P
5306,"Políticas públicas",2025-09-12T15:28:55.628Z,"Versão de Avaliação 2025",Estado,Acre,12,P1,C,"Estágio inicial",0.333,"As informações que estão disponíveis nos site do IMC, podem ser acessadas por qualquer cidadão. No entanto, essas informações não estão em níveis abertos, havendo apenas vérios documentos em formato PDF e não são tão claras e acessiveis onde se pode ver de forma evidente os cumprimentos das metas, prazos e usos dos recursos financeiros previstas no plano de mitigação. Os dados contemém liguagem simples, porém não obedecem uma continuidade constante. Apesar de serem encontrados inumeros documentos, estes não são suficientes em relação a clareza e avertura dos dados para que os cidadões acompanhem e possam aferir a efetividade do alcance das metas dos planos. 
Em relação ao Programa REM Acre FAse II, observa-se que contem relatórios dos avanços alcançados e implementados até o ano 2022, havendo uma descontinuidade de publicações anuais nos anos de 2023-2025.",,P
5322,"Políticas públicas",2025-09-12T15:28:55.628Z,"Versão de Avaliação 2025",Estado,Acre,12,P2,A,"Estágio avançado",1,"Existe um Plano de Adaptação e este está baseado em riscos e vulnerabilidades fundamentadas em evidências científicas. O plano contempla suas diretrizes, objetivos e metas de forma multisetorial e intersetorial, como pode ser visualizado a partir das fl. 72 do referido plano. O plano foi aprovado pela Lei nº 3.880/2021.",,P
5443,"Políticas públicas",2025-09-12T15:28:55.628Z,"Versão de Avaliação 2025",Estado,Acre,12,P2,B,"Estágio avançado",1,"O Instituto de Mudanças Climáticas mantém um Departamento de Monitoramento. Este setor acompanha a redução de emissões de gases de efeito estufa, quantificando e reportando os  resultados obtidos - e também autoriza a emissão de certificados que comprovam essa redução. Um trabalho que garante a correta condução do Programa ISA Carbono, a iniciativa governamental que coloca o Acre como referência mundial em REDD+. Também são responsabilidades do Departamento acompanhar atividades e metas do Plano de Ação das salvaguardas socioambientais, bem como o controle do desmatamento no Acre.  Para monitorar desmatamento no estado o IMC conta com a Unidade Central de Geoprocessamento do Estado do Acre (UCEGEO)
5445,"Políticas públicas",2025-09-12T15:28:55.628Z,"Versão de Avaliação 2025",Estado,Acre,12,P2,C,"Estágio inicial",0.333,"Exsitem sistemas, relatórios, websites ou outras ferramentas ou plataformas específcas (mecanismos) que apresenta os dados sobre a implementação da estratégia de adaptação e seus resultados de modo contínuo, com dados atualizados e disponíveis para pesquisa e auditoria (transparência ativa), sendo disponiveis em sites publicos e abertos para acesso dos cidadãos interessados. Não foram localizadas ações de transparencias voltadas especificamente para a estratégia de adaptação climática, com dados sobre os progressos das ações e dos resultados esperados.",,P
5743,"Políticas públicas",2025-09-12T15:28:55.628Z,"Versão de Avaliação 2025",Estado,Acre,12,P3,A,"Estágio avançado",1,"O ZEE-AC, especialmente, busca conciliar o uso sustentável dos recursos naturais com as atividades produtivas, promovendo o desenvolvimento socioeconômico e a proteção do meio ambiente. 
O ZEE do Acre contribui para a mitigação das emissões de GEE de diversas formas: Mapeamento e análise de emissões, Planejamento territorial, Gestão de recursos naturais, Programas de mitigação e Iniciativas de REDD+. No Centro Integrado de Geoprocessamento e Monitoramento Ambiental (Cigma), foram desenvolvidas as duas plataformas PgCAR e PCigma, onde é utilizada a base cartográfica do ZEE para construir as plataformas, que podem ser acessadas pelos técnicos para elaborar relatórios automatizados, de forma mais rápida e com filtros que permitem uma ampla visualização da situação territorial do Acre.",,P
5861,"Políticas públicas",2025-09-12T15:28:55.628Z,"Versão de Avaliação 2025",Estado,Acre,12,P3,B,"Estágio inicial",0.333,"Não foi encontrado a um nível de Estado evidências que possam afirmar que existam políticas públicas de redução de GEE nos transportes e mobilidade urbana.Como política pública de planejamento, o inventário de emissões de GEE do estado, por exemplo, inclui o setor de transportes como uma fonte relevante de emissões e recomenda uma política estruturada de mobilidade com foco em sustentabilidade para o futuro, não sendo ainda uma política vigente. Não foram encontrados a nível estadual uma política de transporte ou mobilidade urbana.",,P
5863,"Políticas públicas",2025-09-12T15:28:55.628Z,"Versão de Avaliação 2025",Estado,Acre,12,P3,C,"Estágio inicial",0.333,"O Estado do Acre, no ano de 2012 concluiu o seu Plano Estadual de Gerenciamento integrado de Resíduos Sólidos - PEGIRS.Dentre alguns dos objetivos do plano saõ
dos fluxos específicos de resíduos especiais demandados pela implementação da logística reversa.
Apesar do Estado prever a redução de GEE na no plano de gestão de resíduos, não foi encontrado no referido plano objetivos e ações específicas para tais reduções.",,P
6309,"Políticas públicas",2025-09-12T15:28:55.628Z,"Versão de Avaliação 2025",Estado,Acre,12,P3,D,"Estágio avançado",1,"O Estado do Acre de forma geral apresenta políticas públicas de florestania e conservação de meio ambiente avançadas. As ações dos programas são monitoradas frequentemente.",,P
6429,"Políticas públicas",2025-09-12T15:28:55.628Z,"Versão de Avaliação 2025",Estado,Acre,12,P4,A,"Estágio intermediário",0.666,"O PLERH é um instrumento de gestão que tem por objetivo fundamentar e orientar a implementação da Política Estadual de Recursos Hídricos, conforme estabelecido na Lei 1500/2003. Ele foi finalizado e instituído em 2012, tendo como horizonte o ano de 2030, com revisões previstas a cada 4 anos. No site de Agência de Notícias do Estado do Acre foi informado que haver sido realizada reunião para a revisão do Plano Estadual de Recursos Hídricos (PLERH) do Acre foi realizada nesta quarta-feira, 8, por meio de videoconferência, e que já é a segunda revisão realizada no documento, no entanto não há publicações demonstrando a revisão. 
O programa águas sustentáveis do PLERH tem como premissa principal que as esferas de governo federal, estadual e municipais estão alinhadas em torno do desenvolvimento sustentável, tendo a gestão dos recursos hídricos como um dos seus eixos principais, promovendo o ordenamento territorial, a eficiência na gestão pública e estratégias de mitigação e adaptação às mudanças climáticas. A última etapa consistiu na proposição de programas de programas e projetos a serem implantados pelo Estado e a Sociedade, com base nas diretrizes e recomendações levantadas nas etapas anteriores. O Estado conta com 24 e quipamentos que geram dados para tomada de decisões que visam mitigar os danos causados pelas enchentes em áreas urbanas.",,P
7121,"Políticas públicas",2025-09-12T15:28:55.628Z,"Versão de Avaliação 2025",Estado,Acre,12,P4,B,"Estágio intermediário",0.666,"Os planejamentos dos serviços de saúde no Acre preveem medidas para ampliar a resiliência dos serviços de saúde e ações de capacitação e conscientização. 
Não foram constatadas evidencias da implementação de tais medidas.",,P
7070,"Políticas públicas",2025-09-12T15:28:55.628Z,"Versão de Avaliação 2025",Estado,Acre,12,P4,C,"Estágio intermediário",0.666,"As políticas de adaptação climática no Acre focam na conservação da biodiversidade e dos serviços ecossistêmicos através de um modelo de desenvolvimento sustentável que se tornou referência, como o programa REDD+SES e o Plano Clima.
Algumas das políticas com exemplos de adapatação climática para a biodiversidade do Acre são: Programas de REDD (Redução de Emissões por Desmatamento e Degradação Florestal)
Apesar de ser mencionada a Adaptação climática na implementação dos programas, não foi possivel encontrar evidencias de monitoramento e efetividade dos programas",,P
7111,"Políticas públicas",2025-09-12T15:28:55.628Z,"Versão de Avaliação 2025",Estado,Acre,12,P5,A,"Estágio inicial",0.333,"A Defesa Civil coordena a prevenção e a resposta às enchentes por meio do Plano de Contingência do Governo do Estado. As principais iniciativas incluem: Monitoramento contínuo dos rios e envio de alertas preventivos à população
A SEMA/AC adquiriu, um total de 24 estações climatológicas que estão sendo instaladas em locais estratégicos para monitoramento de cheias e estiagens bem como de outros parâmetros que podem ocasionar mudanças climáticas relevantes à região.
Não foi possível identificar que haja integração com sistemas nacionais,como o S2iD. Também não foi localizados mapas de risco ou detalhamento espacial. 
As informações coletadas a partir dessa rede de estações hidrometeorológicas permitirão subsidiar os trabalhos da Comissão Estadual de Gestão de Riscos Ambientais (CEGdRA), quanto ao planejamento de ações de prevenção e preparação para redução dos riscos ambientais no estado do Acre, além de contribuírem para o contínuo aprimoramento do Zoneamento Ecológico-Econômico do Estado do Acre (ZEE-AC).
Esses dados irão contribuir para o planejamento das ações a serem executadas pelas instituições encarregadas da execução de ações tais como distribuição de itens essenciais, como água potável e cestas básicas
A implantação do sistema de alertas Idap, enviará notificações por SMS e redes sociais em casos de risco iminente.",,P
7097,"Políticas públicas",2025-09-12T15:28:55.628Z,"Versão de Avaliação 2025",Estado,Acre,12,P5,B,"Estágio avançado",1,"O Programa de Resiliência Socioambiental tem o objetivo de fortalecer a governança ambiental, restauração florestal, segurança hídrica e bioeconomia, é composta por quatro eixos estratégicos e será aplicada até o final de 2026.No eixo da Bioeconomia, o programa incentiva práticas sustentáveis como o extrativismo, a agricultura orgânica familiar e o turismo de base comunitária. Já o eixo de Restauração Florestal prevê ações para aumentar a resiliência das comunidades frente aos impactos das mudanças climáticas. As atividades incluem mitigação de riscos ambientais, recuperação de áreas degradadas e envolvimento de mulheres na gestão de riscos e adaptação climática.No campo da Segurança Hídrica, o programa promove o reflorestamento e a proteção das sub-bacias do Rio Acre. Além disso, investe em planejamento, educação, tecnologias sustentáveis e infraestrutura resiliente para fortalecer a capacidade adaptativa das comunidades locais quanto às mudanças climáticas. 
Por fim, o eixo de Governança aposta na capacitação com enfoque em gênero e interseccionalidade.
A plataforma Acre Climate irá permitir alguns diagnósticos e análises sobre os impactos das inundações, especialmente às pessoas socialmente vulneráveis em todo o Acre e Proporcionar uma resposta mais ágil e eficaz aos desastres naturais",,P
7100,"Políticas públicas",2025-09-12T15:28:55.628Z,"Versão de Avaliação 2025",Estado,Acre,12,P5,C,"Estágio inicial",0.333,"O estado do Acre possui cadastro no Sistema Integrado de Informações sobre Desastres (S2iD). O Acre é referência global porque tem lei, normas, princípios e respeito às salvaguardas Ambientais. A Lei do Sistema de Incentivo a Serviços Ambientais (Sisa) garante segurança para receber fundos climáticos e o respeito às populações tradicionais e indígenas. O Plano Estadual de Contingência  para o Enfrentamento deDesastre e emergência em Saúde púlbica por enchentes, aborda inumeras ações a serem realizadas enquanto durar o desastre, porém não aborda ações de recuperação baseadas em cenários climáticos futuros no conceito de reconstruir melhor.",,P
9883,"Políticas públicas",2025-10-21T19:11:54.453Z,"Versão de Avaliação 2025",Estado,Alagoas,27,P1,A,"Estágio intermediário",0.666,"1. O Estado possui política de mitigação formalizada, por meio da Lei 9304/2023, portanto atualizado há menos de 5 anos.
2. O plano ABC+ baseia-se em inventário de emissões que segue padrões internacionais reconhecidos, contudo as ações são voltadas primordialmente para o setor da Agropecuária, deixando de contemplar outros setores emissores também relevantes. Desse modo, segmentos como o da indústria e dos transportes urbanos também precisam ser contemplados.
3. O Plano ABC+ de Alagoas (2020-2030) está alinhado às metas e diretrizes da NDC brasileira, tanto em conteúdo técnico (adoção das mesmas tecnologias de mitigação e adaptação) quanto em estrutura temporal (metas até 2030).",,P
9863,"Políticas públicas",2025-10-21T19:11:54.453Z,"Versão de Avaliação 2025",Estado,Alagoas,27,P1,B,"Sem progresso",,"O Instituto do Meio Ambiente de Alagoas (IMA) lançou esse selo para reconhecer organizações que medem e registram suas emissões de GEE, por meio do Registro Público Estadual de Emissões de GEE. Isso implica monitoramento das emissões por parte das organizações participantes. 
O selo exige envio de relatório de emissões baseado no protocolo GHG (Escopo 1, 2 e 3 dependendo do grau de certificação), o que pressupõe que há um sistema de registro/análise desses relatórios.
O PROPSA está explícito como política pública para incentivar ações que contribuam para captura de carbono, redução de emissões de GEE e conservação de biodiversidade e do solo. Essa iniciativa pressupõe monitoramento das ações que geram esses serviços ambientais para poder pagar/recompensar.
O IMA monitora focos de queimadas (por exemplo, "IMA alerta para o aumento de 256% nos focos de queimadas em uma semana") e divulga relatórios semanais de ocorrência. Embora não seja exclusivamente um inventário de GEE, esse monitoramento contribui para identificar emissões de carbono resultantes de queimadas, que são fonte expressiva de GEE.
Embora haja políticas, não foram identificados sistemas de monitoramento, relatórios públicos recentes e periódicos de Alagoas, que mostrem o quanto já foi alcançado e dados quantificados já verificados. Também não há informações sobre se há verificações de campo, visitas técnicas regulares, auditorias externas para garantir a implementação das práticas declaradas.",,P
9884,"Políticas públicas",2025-10-21T19:11:54.453Z,"Versão de Avaliação 2025",Estado,Alagoas,27,P1,C,"Sem progresso",,"Embora haja políticas relacionadas à redução de GEE, não foram identificados sistemas de monitoramento e transparência, relatórios públicos recentes e periódicos de Alagoas, que mostrem o quanto já foi alcançado e dados quantificados já verificados. Neste mesmo sentido, não há informações sobre se há verificações de campo, visitas técnicas regulares, auditorias externas para garantir a implementação das práticas declaradas e também não é possível identificar se os dados são levantados por município, ou por porte de produtor, o que dificulta ver onde o plano está avançando.
Por fim, não foram apresentados relatórios periodicamente publicados, com dados quantitativos atualizados e comparativos com as metas (ainda que existam reuniões bimestrais do GGE).
Destaca-se, ainda, que, conforme resposta concedida pelo jurisdicionado, os sistemas para tal fim ainda estão em construção.",,P
9864,"Políticas públicas",2025-10-21T19:11:54.453Z,"Versão de Avaliação 2025",Estado,Alagoas,27,P2,A,"Estágio intermediário",0.666,"Embora haja objetivos e diretrizes legais, não foram evidenciadas metas quantificadas de adaptação com prazos definidos para todos os setores vulneráveis(por exemplo, metas específicas de infraestrutura resiliente, habitação segura em áreas de risco climático, redes de saúde adaptadas etc.), com cronograma.
O PPA de Alagoas tem "Eixo Meio Ambiente e Segurança Hídrica" nas discussões participativas, mas não foi identificado um plano de adaptação climático com indicadores ou orçamento específico para vulnerabilidade climática (como enchentes, seca, tempestades).
Também não foram localizados relatórios públicos de avaliação periódica de vulnerabilidades ou relatórios de monitoramento de ações de adaptação no estado que aponte resultados concretos intersetoriais (ex: saúde, infraestrutura, urbanismo etc.).
Há diversos planos, que tratam de temáticas relevantes para as mudanças climáticas: desertificação, monitoramento hidrometereológico, redução de emissão de GEE na agropecuária, redução de GEE por meio do PSA-AL, monitoramento de secas e barragens, etc. Há evidências de base científica (inventários, cooperação com SEEG, definição de vulnerabilidades nas discussões do PPA participativo). Há também objetivos e algumas metas, embora nem todas quantificadas ou em todos os setores.
Ressalta-se, por fim, que o plano de desertificação tem mais de uma década (elaborado em 2011) e, conforme mencionado pelo Estado, está em fase de atualização.",,P
9865,"Políticas públicas",2025-10-21T19:11:54.453Z,"Versão de Avaliação 2025",Estado,Alagoas,27,P2,B,"Estágio intermediário",0.666,"Há diversos planos, que tratam de temáticas relevantes para as mudanças climáticas: desertificação, monitoramento hidrometereológico, redução de emissão de GEE na agropecuária, redução de GEE por meio do PSA-AL, monitoramento de secas e barragens, etc. Há evidências de base científica (inventários, cooperação com SEEG, definição de vulnerabilidades nas discussões do PPA participativo). Há também objetivos e algumas metas, embora nem todas quantificadas ou em todos os setores.
As evidências demonstram que:
- Mecanismos de monitoramento estão previstos em diversas políticas e planos (Lei 9.304/2024, Plano ABC+, PROPSA).
- Mecanismos de monitoramento para riscos climáticos específicos (secas, barragens, eventos hidrometeorológicos) estão em implementação, com relatórios públicos, recentes e periódicos (relatórios de seca e hidrometeorologia são mensais e o de barragens é anual).
Ressalta-se que os resultados são apresentados em múltiplos documentos, necessitando a elaboração de um sistema consolidado de monitoramento do "progresso da adaptação", nos mais diversos setores. Por fim, destaca-se que não foram evidenciados se os resultados do monitoramento estão sendo utilizados para ajustar as políticas/estratégias.",,P
9866,"Políticas públicas",2025-10-21T19:11:54.453Z,"Versão de Avaliação 2025",Estado,Alagoas,27,P2,C,"Sem progresso",,"Embora haja alguns sistemas disponibilizados no site da SEMARH, estes são genéricos, mostram o estado atual do Estado em alguns aspectos quanto a secas, chuvas e enchentes, por exemplo. Contudo, não há sistemas, relatórios e websites ou outras ferramentas específicas que apresentem dados sobre a implementação da estratégia de adaptação e seus resultados de modo contínuo, com dados atualizados e disponíveis para pesquisa e auditoria.",,P
9867,"Políticas públicas",2025-10-21T19:11:54.453Z,"Versão de Avaliação 2025",Estado,Alagoas,27,P3,A,"Estágio avançado",1,"Foram identificadas ações e iniciativas nas políticas de planejamento territorial que têm o objetivo de redução de emissão de GEE:
i) Alagoas está em etapa de planejamento junto à Secretaria de Estado do Meio Ambiente e dos Recursos Hídricos (SEMARH) para implantação do Zoneamento Ecológico Econômico (ZEE)
ii) Projeto Alagoas Mais Verde (IMA) é um programa de arborização, recuperação de áreas desmatadas, plantio de mudas nativas em municípios, ações de educação ambiental
iii) Plano ABC+ Alagoas com a adoção de práticas de agropecuária de baixo carbono, que podem incluir uso misto de solos, conservação do solo, restauração, práticas que aumentam resiliência
iv) programa PROPSA (PSA estadual) que incentiva práticas de conservação, recuperação ou melhoria de serviços ecossistêmicos, captura de carbono, conservação de recursos hídricos e solo
v) A parceria "Visão Alagoas 2030" com ONU-Habitat trabalha políticas públicas territoriais integradas e desenvolvimento urbano sustentável em municípios. Isso inclui oficinas, planos de ação local, capacitação para o planejamento urbano alinhado com ODS.
O Plano ABC+ e o programa PROPSA (PSA estadual) estabelecem ações de monitoramento, nas páginas 45 e 15 respectivamente.",,P
9868,"Políticas públicas",2025-10-21T19:11:54.453Z,"Versão de Avaliação 2025",Estado,Alagoas,27,P3,B,"Estágio avançado",1,"Foram identificadas algumas ações e iniciativas em Alagoas que visam mitigar emissões de GEE no setor de transporte/mobilidade:
i) O Decreto n.º 104.174/2025 estabelece a Política de Prioridade no Abastecimento de Veículos Automotores com Etanol no âmbito do poder executivo estadual, visando a substituição gradual de gasolina pelo biocombustível para a redução da dependência de combustíveis fósseis
ii) Projeto "EXYGEN I": primeira biorrefinaria de biocombustíveis avançados do Brasil. Tem o objetivo de transformar resíduos da cana-de-açúcar e outros resíduos orgânicos em etanol de baixo carbono, biogás (biometano) e biofertilizantes, além de gerar CO2 biogênico e, futuramente, e-Metanol.
Sugere-se, todavia, algumas oportunidades de melhoria: não foram identificadas ações nos instrumentos de planejamento (PPA/LOA) específicas para transporte sustentável/público limpo
Por fim, o Decreto nº 104.174/2025, principal instrumento de política analisado, atende aos 3 atributos definidos na metodologia:
1. Considera a redução de GEE: Sim (preâmbulo).
2. Possui objetivos e ações específicas: Sim (metas anuais no Art. 3º).
3. Prevê monitoramento: Sim (fiscalização pela AMGESP, Art. 3º, § 2º).",,P
9901,"Políticas públicas",2025-10-21T19:11:54.453Z,"Versão de Avaliação 2025",Estado,Alagoas,27,P3,C,"Estágio inicial",0.333,"Alagoas tem um arcabouço legal e ações concretas em resíduos que alinham-se com estratégias de mitigação de GEE no contexto de resíduos sólidos. Contudo, não foram identificadas metas quantitativas de redução de emissões de GEE, relatórios periódicos com os resultados, bem como monitoramento das ações. 
i) Lei Estadual nº 7.749/2015 - Política Estadual de Resíduos Sólidos e Inclusão Produtiva
ii) Sistema de Gerenciamento Online de Resíduos Sólidos (SGORS)- ferramenta criada pelo IMA/AL para monitorar, desde a geração até a destinação final de todos resíduos e rejeitos em Alagoas, regulado por decreto estadual
iii) Lei obrigatória de Logística Reversa para medicamentos vencidos ou vazios (Lei Estadual nº 8.402/2021) - Estabelece que estabelecimentos comerciais de medicamentos disponibilizem pontos de recolhimento de embalagens vazias ou vencidas, responsabilizando fabricantes para destinação adequada. Fiscalização via SEMARH
i) Plano ABC+ (programa de agricultura de baixo carbono) apresenta ações técnicas direcionadas para adoção de práticas de baixo carbono na produção rural (tecnologias e práticas validadas). Essas ações são as que, em tese, mais diretamente contribuem para redução de emissões no setor agrícola.
ii) PROPSA (Programa de Pagamento por Serviços Ambientais) incentiva conservação, recuperação de vegetação e serviços ecossistêmicos que também removem carbono ou evitam emissões (proteção de solo, conservação de matas ciliares).
iii)A lei 9304/2024 também traz diretrizes gerais que incluem mitigação setorial, criando fundamento legal para que o setor agropecuário integre metas de redução.
Contudo, observa-se a ausência de metas setoriais quantitativas, indicadores anuais de emissões evitadas/removidas reportados publicamente e integração entre políticas (agricultura/clima/Orçamento/PPA/LOA) e monitoramento contínuo das ações.",,P
9870,"Políticas públicas",2025-10-21T19:11:54.453Z,"Versão de Avaliação 2025",Estado,Alagoas,27,P4,A,"Estágio intermediário",0.666,"Embora o planejamento operacional (alertas, monitoramento, segurança de barragens) leve em conta o risco climático, ainda não há evidência de planejamento estratégico integrado (ex.: Plano Estadual de Recursos Hídricos ou PEMAMC) com projeções climáticas de longo prazo (RCP/SSP).
O Estado de Alagoas mantém um sistema ativo e funcional de monitoramento e previsão hidrológica, com boletins regulares, integração interinstitucional e transparência de dados. Contudo, não há evidência documental de projeções de cenários futuros. O ClimALERTA é mensal e operacional, não prospectivo  -  útil para gestão imediata, mas não substitui um sistema de modelagem preditiva de longo horizonte.
Há implementação comprovada de ações operacionais de monitoramento, fiscalização e alerta  -  evidência forte de execução prática. Porém, as ações de adaptação climática estrutural ainda não estão documentadas nem avaliadas quanto à efetividade.
As ações estão concentradas em gestão de risco imediato (segurança e resposta)
Falta um relatório consolidado de resultados e indicadores que mostre se as medidas reduziram efetivamente vulnerabilidades climáticas ou ampliaram a segurança hídrica.",,P
9921,"Políticas públicas",2025-10-21T19:11:54.453Z,"Versão de Avaliação 2025",Estado,Alagoas,27,P4,B,"Sem progresso",,"Conforme resposta oficial do governo de Alagoas ao TCE/AL, na qual declara:
B) Saúde -  Normativo de planejamento e gestão dos serviços de saúde. Se há previsão de medidas para ampliar a resiliência dos serviços de saúde, com ações de capacitação e conscientização, e evidências dessas ações.
Informações Prestadas: Não temos conhecimento. Nossa legislação é muito recente. (p. 23)",,P
9922,"Políticas públicas",2025-10-21T19:11:54.453Z,"Versão de Avaliação 2025",Estado,Alagoas,27,P4,C,"Estágio intermediário",0.666,"O PAE-AL/2011 não apresenta projeções climáticas nem integra bases de dados meteorológicas.
O Plano ABC+/AL introduz a dimensão climática de forma mais explícita, reconhecendo o aumento da temperatura média e os riscos de estiagem prolongada, mas não há uso de projeções quantitativas de cenários climáticos regionais. O texto menciona dados do IPCC e do SEEG, mas apenas de forma diagnóstica.
A Lei nº 8.955/2023, ao prever o Zoneamento Ecológico-Econômico da Caatinga (ZEE Caatinga) e o monitoramento contínuo do desmatamento, cria base legal para incorporar cenários futuros de vulnerabilidade ecológica  -  um passo importante para a adaptação baseada em ciência, ainda pendente de implementação efetiva.
De modo geral, o conjunto de instrumentos demonstra avanço expressivo na integração entre adaptação climática, biodiversidade e serviços ecossistêmicos, especialmente após 2020. Entretanto, a governança ainda é setorial e fragmentada, concentrada em políticas agropecuárias e normativas ambientais, com limitada coordenação interinstitucional.
Para plena aderência aos critérios, recomenda-se:
Integração sistêmica entre o Plano ABC+/AL, o PAE-AL e a Lei nº 8.955/2023, com governança conjunta e metas unificadas
Incorporação de cenários climáticos regionais e indicadores de vulnerabilidade ecológica
Ampliação dos mecanismos de MRV, incluindo monitoramento de biodiversidade e serviços ecossistêmicos
Publicação periódica de relatórios de progresso
Neste sentido, a Lei nº 9.139/2024 complementa esse arcabouço ao instituir o Programa de Incentivo à Agricultura Familiar, voltado ao fortalecimento da produção de base familiar, agroecológica e de baixo impacto ambiental. A norma avança na perspectiva de adaptação climática socialmente inclusiva, ao prever: Uso de energias renováveis e limpas (art. 2º, IV)
Quanto à implementação, não há completa demonstração de que todas as metas estejam em execução plena, tampouco foram identificados sistemas de monitoramento, relatórios públicos recentes e periódicos de Alagoas, que mostrem o quanto já foi alcançado e dados quantificados já verificados para as ações do plano ABC+.",,P
9923,"Políticas públicas",2025-10-21T19:11:54.453Z,"Versão de Avaliação 2025",Estado,Alagoas,27,P5,A,"Sem progresso",,"O exame dos instrumentos e informações disponíveis evidencia que a Defesa Civil do Estado de Alagoas e a SEMARH mantém esforços estruturais voltados ao mapeamento e mitigação de riscos, porém ainda não incorporou plenamente a dimensão climática prospectiva em seus processos de planejamento e monitoramento. Predomina uma lógica reativa e de resposta a desastres, com defasagem de dados e ausência de integração entre cenários climáticos e vulnerabilidades locais.
Identifica-se, no site da SEMARH, informações relacionadas ao monitoramento e prevenção, tais quais: sala de alerta, previsão climática, previsão do tempo, monitor de secas, ClimAlerta, Monitoramento hidrológico, Pluviometria e Segurança de Barragens. Tais ações parecem estar segregadas, sem a existência de um documento que congregue as evidências, as consequências, os riscos, as ações de adaptação e mitigação às mudanças climáticas e os planos de ação a serem implementados (em especial para a  população vulnerável e atingida nos casos de emergência climática).
Há diversas ações de prevenção e monitoramento, contudo não é possível identificar projeção de cenários e acompanhamento de tendências nos instrumentos de planejamento. Neste sentido, inclusive, não foi apresentado/encontrado um Plano Estadual de Proteção e Defesa Civil e de um Plano Estadual de Adaptação às Mudanças Climáticas. Dada a ausência dos planos, não é possível afirmar que os itens 2, 3 e 4 foram atendidos nos instrumentos de planejamento.",,P
9942,"Políticas públicas",2025-10-21T19:11:54.453Z,"Versão de Avaliação 2025",Estado,Alagoas,27,P5,B,"Estágio intermediário",0.666,"As ações de prevenção, mitigação, preparação e resposta do ente existem, mas de forma genérica e em documentos esparsos, o que dificulta a vinculação da ação ao resultado obtivo/previsto. 
O conjunto de ações coordenadas pela Defesa Civil e pela SEMARH de Alagoas demonstra estrutura organizacional funcional e parcerias interinstitucionais para prevenção e resposta a desastres, mas ainda não reflete integração plena com a agenda de adaptação às mudanças climáticas.
As iniciativas existentes são eficazes para eventos hidrometeorológicos conhecidos (chuvas intensas, deslizamentos e estiagens), mas carecem de mecanismos de antecipação e planejamento adaptativo frente à intensificação de eventos extremos prevista pelos cenários climáticos futuros.
Neste sentido, recomenda-se:
1. Fortalecer soluções baseadas na natureza (SbN) em áreas de risco, como reflorestamento de matas ciliares, manejo de encostas e recuperação de nascentes, articulando com a SEMARH e o Plano ABC+.
2. Consolidar um sistema estadual integrado de monitoramento e alerta, interligando as bases da Defesa Civil, SEMARH, CEMADEN e INMET, com dados em tempo real e alertas automatizados.
3. Fomentar a capacitação sobre adaptação às mudanças climáticas nos programas de formação de agentes de 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</si>
</sst>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Calibri"/>
      <family val="2"/>
      <charset val="1"/>
    </font>
    <font>
      <b/>
      <sz val="14"/>
      <color rgb="FF1F4E3D"/>
      <name val="Arial"/>
      <charset val="1"/>
    </font>
    <font>
      <i/>
      <sz val="10"/>
      <color rgb="FF555555"/>
      <name val="Arial"/>
      <charset val="1"/>
    </font>
    <font>
      <sz val="10"/>
      <name val="Arial"/>
      <charset val="1"/>
    </font>
    <font>
      <b/>
      <sz val="10"/>
      <name val="Arial"/>
      <charset val="1"/>
    </font>
    <font>
      <b/>
      <sz val="10"/>
      <color rgb="FFFFFFFF"/>
      <name val="Arial"/>
      <charset val="1"/>
    </font>
  </fonts>
  <fills count="3">
    <fill>
      <patternFill patternType="none"/>
    </fill>
    <fill>
      <patternFill patternType="gray125"/>
    </fill>
    <fill>
      <patternFill patternType="solid">
        <fgColor rgb="FF1F4E3D"/>
        <bgColor rgb="FF003366"/>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xf numFmtId="0" fontId="1" fillId="0" borderId="0" xfId="0" applyFont="1" applyAlignment="1"/>
    <xf numFmtId="0" fontId="2" fillId="0" borderId="0" xfId="0" applyFont="1" applyAlignment="1"/>
    <xf numFmtId="0" fontId="3" fillId="0" borderId="0" xfId="0" applyFont="1" applyAlignment="1"/>
    <xf numFmtId="0" fontId="4" fillId="0" borderId="0" xfId="0" applyFont="1" applyAlignment="1"/>
    <xf numFmtId="0" fontId="4" fillId="0" borderId="0" xfId="0" applyFont="1"/>
    <xf numFmtId="0" fontId="3" fillId="0" borderId="0" xfId="0" applyFont="1" applyAlignment="1">
      <alignment vertical="top" wrapText="1"/>
    </xf>
    <xf numFmtId="0" fontId="5" fillId="2" borderId="0" xfId="0" applyFont="1" applyFill="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164" fontId="3" fillId="0" borderId="0" xfId="0" applyNumberFormat="1" applyFont="1" applyAlignment="1">
      <alignment horizontal="center" vertical="center"/>
    </xf>
    <xf numFmtId="0" fontId="3" fillId="0" borderId="0" xfId="0" applyFont="1" applyAlignment="1">
      <alignment vertical="top"/>
    </xf>
    <xf numFmtId="22" fontId="3" fillId="0" borderId="0" xfId="0" applyNumberFormat="1" applyFont="1" applyAlignment="1">
      <alignment vertical="top"/>
    </xf>
    <xf numFmtId="164" fontId="3" fillId="0" borderId="0" xfId="0" applyNumberFormat="1" applyFont="1" applyAlignment="1">
      <alignment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4E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elaResumoEnte" displayName="TabelaResumoEnte" ref="A1:G51" totalsRowShown="0">
  <autoFilter ref="A1:G51" xr:uid="{00000000-0009-0000-0100-000002000000}"/>
  <tableColumns count="7">
    <tableColumn id="1" xr3:uid="{00000000-0010-0000-0000-000001000000}" name="Tipo de Ente"/>
    <tableColumn id="2" xr3:uid="{00000000-0010-0000-0000-000002000000}" name="Nome do Ente"/>
    <tableColumn id="3" xr3:uid="{00000000-0010-0000-0000-000003000000}" name="Nº de Registros"/>
    <tableColumn id="4" xr3:uid="{00000000-0010-0000-0000-000004000000}" name="Itens com Nota Válida"/>
    <tableColumn id="5" xr3:uid="{00000000-0010-0000-0000-000005000000}" name="Nota Média Geral"/>
    <tableColumn id="6" xr3:uid="{00000000-0010-0000-0000-000006000000}" name="Nota Média — Governança"/>
    <tableColumn id="7" xr3:uid="{00000000-0010-0000-0000-000007000000}" name="Nota Média — Financiamento"/>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elaResumoPilar" displayName="TabelaResumoPilar" ref="A1:F11" totalsRowShown="0">
  <autoFilter ref="A1:F11" xr:uid="{00000000-0009-0000-0100-000003000000}"/>
  <tableColumns count="6">
    <tableColumn id="1" xr3:uid="{00000000-0010-0000-0100-000001000000}" name="Eixo"/>
    <tableColumn id="2" xr3:uid="{00000000-0010-0000-0100-000002000000}" name="Componente"/>
    <tableColumn id="3" xr3:uid="{00000000-0010-0000-0100-000003000000}" name="Pilar"/>
    <tableColumn id="4" xr3:uid="{00000000-0010-0000-0100-000004000000}" name="Nº de Registros"/>
    <tableColumn id="5" xr3:uid="{00000000-0010-0000-0100-000005000000}" name="Itens com Nota Válida"/>
    <tableColumn id="6" xr3:uid="{00000000-0010-0000-0100-000006000000}" name="Nota Médi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elaDados" displayName="TabelaDados" ref="A1:P1399" totalsRowShown="0">
  <autoFilter ref="A1:P1399" xr:uid="{00000000-0009-0000-0100-000001000000}">
    <filterColumn colId="1">
      <filters>
        <filter val="Financiamento"/>
      </filters>
    </filterColumn>
    <filterColumn colId="3">
      <filters>
        <filter val="Captação de recursos"/>
      </filters>
    </filterColumn>
    <filterColumn colId="5">
      <filters>
        <filter val="Estado"/>
      </filters>
    </filterColumn>
    <filterColumn colId="6">
      <filters>
        <filter val="São Paulo"/>
      </filters>
    </filterColumn>
  </autoFilter>
  <tableColumns count="16">
    <tableColumn id="1" xr3:uid="{00000000-0010-0000-0200-000001000000}" name="ID Avaliação"/>
    <tableColumn id="2" xr3:uid="{00000000-0010-0000-0200-000002000000}" name="Eixo"/>
    <tableColumn id="3" xr3:uid="{00000000-0010-0000-0200-000003000000}" name="Componente"/>
    <tableColumn id="4" xr3:uid="{00000000-0010-0000-0200-000004000000}" name="Pilar"/>
    <tableColumn id="5" xr3:uid="{00000000-0010-0000-0200-000005000000}" name="Item"/>
    <tableColumn id="6" xr3:uid="{00000000-0010-0000-0200-000006000000}" name="Tipo de Ente"/>
    <tableColumn id="7" xr3:uid="{00000000-0010-0000-0200-000007000000}" name="Nome do Ente"/>
    <tableColumn id="8" xr3:uid="{00000000-0010-0000-0200-000008000000}" name="ID do Ente"/>
    <tableColumn id="9" xr3:uid="{00000000-0010-0000-0200-000009000000}" name="Data da Avaliação"/>
    <tableColumn id="10" xr3:uid="{00000000-0010-0000-0200-00000A000000}" name="Versão"/>
    <tableColumn id="11" xr3:uid="{00000000-0010-0000-0200-00000B000000}" name="Nota (Texto)"/>
    <tableColumn id="12" xr3:uid="{00000000-0010-0000-0200-00000C000000}" name="Nota (Valor Original)"/>
    <tableColumn id="13" xr3:uid="{00000000-0010-0000-0200-00000D000000}" name="Nota Numérica (p/ médias)"/>
    <tableColumn id="14" xr3:uid="{00000000-0010-0000-0200-00000E000000}" name="Comentário do Auditor"/>
    <tableColumn id="15" xr3:uid="{00000000-0010-0000-0200-00000F000000}" name="Justificativa de Confidencialidade"/>
    <tableColumn id="16" xr3:uid="{00000000-0010-0000-0200-000010000000}" name="Statu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9"/>
  <sheetViews>
    <sheetView showGridLines="0" zoomScaleNormal="100" workbookViewId="0"/>
  </sheetViews>
  <sheetFormatPr defaultColWidth="8.6328125" defaultRowHeight="14.5" x14ac:dyDescent="0.35"/>
  <cols>
    <col min="1" max="1" width="100" style="1" customWidth="1"/>
  </cols>
  <sheetData>
    <row r="1" spans="1:1" ht="17.25" customHeight="1" x14ac:dyDescent="0.4">
      <c r="A1" s="2" t="s">
        <v>0</v>
      </c>
    </row>
    <row r="2" spans="1:1" ht="15" customHeight="1" x14ac:dyDescent="0.35">
      <c r="A2" s="3" t="s">
        <v>1</v>
      </c>
    </row>
    <row r="4" spans="1:1" ht="15" customHeight="1" x14ac:dyDescent="0.35">
      <c r="A4" s="4"/>
    </row>
    <row r="5" spans="1:1" ht="15" customHeight="1" x14ac:dyDescent="0.35">
      <c r="A5" s="5" t="s">
        <v>2</v>
      </c>
    </row>
    <row r="6" spans="1:1" ht="15" customHeight="1" x14ac:dyDescent="0.35">
      <c r="A6" s="4" t="s">
        <v>3</v>
      </c>
    </row>
    <row r="7" spans="1:1" ht="15" customHeight="1" x14ac:dyDescent="0.35">
      <c r="A7" s="4" t="s">
        <v>4</v>
      </c>
    </row>
    <row r="8" spans="1:1" ht="15" customHeight="1" x14ac:dyDescent="0.35">
      <c r="A8" s="4" t="s">
        <v>5</v>
      </c>
    </row>
    <row r="9" spans="1:1" ht="15" customHeight="1" x14ac:dyDescent="0.35">
      <c r="A9" s="4" t="s">
        <v>6</v>
      </c>
    </row>
    <row r="10" spans="1:1" ht="15" customHeight="1" x14ac:dyDescent="0.35">
      <c r="A10" s="4" t="s">
        <v>7</v>
      </c>
    </row>
    <row r="11" spans="1:1" ht="15" customHeight="1" x14ac:dyDescent="0.35">
      <c r="A11" s="4" t="s">
        <v>8</v>
      </c>
    </row>
    <row r="12" spans="1:1" ht="15" customHeight="1" x14ac:dyDescent="0.35">
      <c r="A12" s="4"/>
    </row>
    <row r="13" spans="1:1" ht="15" customHeight="1" x14ac:dyDescent="0.35">
      <c r="A13" s="5" t="s">
        <v>9</v>
      </c>
    </row>
    <row r="14" spans="1:1" ht="15" customHeight="1" x14ac:dyDescent="0.35">
      <c r="A14" s="4" t="s">
        <v>10</v>
      </c>
    </row>
    <row r="15" spans="1:1" ht="15" customHeight="1" x14ac:dyDescent="0.35">
      <c r="A15" s="4" t="s">
        <v>11</v>
      </c>
    </row>
    <row r="16" spans="1:1" ht="15" customHeight="1" x14ac:dyDescent="0.35">
      <c r="A16" s="4" t="s">
        <v>12</v>
      </c>
    </row>
    <row r="17" spans="1:1" ht="15" customHeight="1" x14ac:dyDescent="0.35">
      <c r="A17" s="4" t="s">
        <v>13</v>
      </c>
    </row>
    <row r="18" spans="1:1" ht="15" customHeight="1" x14ac:dyDescent="0.35">
      <c r="A18" s="4" t="s">
        <v>14</v>
      </c>
    </row>
    <row r="19" spans="1:1" ht="15" customHeight="1" x14ac:dyDescent="0.35">
      <c r="A19" s="4"/>
    </row>
    <row r="20" spans="1:1" ht="15" customHeight="1" x14ac:dyDescent="0.35">
      <c r="A20" s="5" t="s">
        <v>15</v>
      </c>
    </row>
    <row r="21" spans="1:1" ht="15" customHeight="1" x14ac:dyDescent="0.35">
      <c r="A21" s="4" t="s">
        <v>16</v>
      </c>
    </row>
    <row r="22" spans="1:1" ht="15" customHeight="1" x14ac:dyDescent="0.35">
      <c r="A22" s="4" t="s">
        <v>17</v>
      </c>
    </row>
    <row r="23" spans="1:1" ht="15" customHeight="1" x14ac:dyDescent="0.35">
      <c r="A23" s="4" t="s">
        <v>18</v>
      </c>
    </row>
    <row r="24" spans="1:1" ht="15" customHeight="1" x14ac:dyDescent="0.35">
      <c r="A24" s="4" t="s">
        <v>19</v>
      </c>
    </row>
    <row r="25" spans="1:1" ht="15" customHeight="1" x14ac:dyDescent="0.35">
      <c r="A25" s="4" t="s">
        <v>20</v>
      </c>
    </row>
    <row r="26" spans="1:1" ht="15" customHeight="1" x14ac:dyDescent="0.35">
      <c r="A26" s="4"/>
    </row>
    <row r="27" spans="1:1" ht="15" customHeight="1" x14ac:dyDescent="0.35">
      <c r="A27" s="5" t="s">
        <v>21</v>
      </c>
    </row>
    <row r="28" spans="1:1" ht="15" customHeight="1" x14ac:dyDescent="0.35">
      <c r="A28" s="4" t="s">
        <v>22</v>
      </c>
    </row>
    <row r="29" spans="1:1" ht="15" customHeight="1" x14ac:dyDescent="0.35">
      <c r="A29" s="4" t="s">
        <v>23</v>
      </c>
    </row>
    <row r="30" spans="1:1" ht="15" customHeight="1" x14ac:dyDescent="0.35">
      <c r="A30" s="4" t="s">
        <v>24</v>
      </c>
    </row>
    <row r="31" spans="1:1" ht="15" customHeight="1" x14ac:dyDescent="0.35">
      <c r="A31" s="4"/>
    </row>
    <row r="32" spans="1:1" ht="15" customHeight="1" x14ac:dyDescent="0.35">
      <c r="A32" s="5" t="s">
        <v>25</v>
      </c>
    </row>
    <row r="33" spans="1:1" ht="15" customHeight="1" x14ac:dyDescent="0.35">
      <c r="A33" s="4" t="s">
        <v>26</v>
      </c>
    </row>
    <row r="34" spans="1:1" ht="15" customHeight="1" x14ac:dyDescent="0.35">
      <c r="A34" s="4" t="s">
        <v>27</v>
      </c>
    </row>
    <row r="35" spans="1:1" ht="15" customHeight="1" x14ac:dyDescent="0.35">
      <c r="A35" s="4" t="s">
        <v>28</v>
      </c>
    </row>
    <row r="36" spans="1:1" ht="15" customHeight="1" x14ac:dyDescent="0.35">
      <c r="A36" s="4" t="s">
        <v>29</v>
      </c>
    </row>
    <row r="38" spans="1:1" x14ac:dyDescent="0.35">
      <c r="A38" s="6" t="s">
        <v>30</v>
      </c>
    </row>
    <row r="39" spans="1:1" ht="50" x14ac:dyDescent="0.35">
      <c r="A39" s="7" t="s">
        <v>31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1"/>
  <sheetViews>
    <sheetView tabSelected="1" zoomScaleNormal="100" workbookViewId="0">
      <pane ySplit="1" topLeftCell="A2" activePane="bottomLeft" state="frozen"/>
      <selection pane="bottomLeft"/>
    </sheetView>
  </sheetViews>
  <sheetFormatPr defaultColWidth="8.6328125" defaultRowHeight="14.5" x14ac:dyDescent="0.35"/>
  <cols>
    <col min="1" max="1" width="13" style="1" customWidth="1"/>
    <col min="2" max="2" width="20" style="1" customWidth="1"/>
    <col min="3" max="3" width="16" style="1" customWidth="1"/>
    <col min="4" max="4" width="18" style="1" customWidth="1"/>
    <col min="5" max="5" width="16" style="1" customWidth="1"/>
    <col min="6" max="7" width="20" style="1" customWidth="1"/>
  </cols>
  <sheetData>
    <row r="1" spans="1:7" ht="30" customHeight="1" x14ac:dyDescent="0.35">
      <c r="A1" s="8" t="s">
        <v>32</v>
      </c>
      <c r="B1" s="8" t="s">
        <v>33</v>
      </c>
      <c r="C1" s="8" t="s">
        <v>34</v>
      </c>
      <c r="D1" s="8" t="s">
        <v>35</v>
      </c>
      <c r="E1" s="8" t="s">
        <v>36</v>
      </c>
      <c r="F1" s="8" t="s">
        <v>37</v>
      </c>
      <c r="G1" s="8" t="s">
        <v>38</v>
      </c>
    </row>
    <row r="2" spans="1:7" ht="15" customHeight="1" x14ac:dyDescent="0.35">
      <c r="A2" s="9" t="s">
        <v>39</v>
      </c>
      <c r="B2" s="9" t="s">
        <v>40</v>
      </c>
      <c r="C2" s="10">
        <f>COUNTIF(Dados!$G:$G,B2)</f>
        <v>28</v>
      </c>
      <c r="D2" s="10">
        <f>COUNTIFS(Dados!$G:$G,B2,Dados!$M:$M,"&lt;&gt;")</f>
        <v>28</v>
      </c>
      <c r="E2" s="11">
        <f>IFERROR(AVERAGEIFS(Dados!$M:$M,Dados!$G:$G,B2),"")</f>
        <v>0.76160714285714293</v>
      </c>
      <c r="F2" s="11">
        <f>IFERROR(AVERAGEIFS(Dados!$M:$M,Dados!$G:$G,B2,Dados!$B:$B,"Governança"),"")</f>
        <v>0.85936842105263178</v>
      </c>
      <c r="G2" s="11">
        <f>IFERROR(AVERAGEIFS(Dados!$M:$M,Dados!$G:$G,B2,Dados!$B:$B,"Financiamento"),"")</f>
        <v>0.55522222222222217</v>
      </c>
    </row>
    <row r="3" spans="1:7" ht="15" customHeight="1" x14ac:dyDescent="0.35">
      <c r="A3" s="9" t="s">
        <v>39</v>
      </c>
      <c r="B3" s="9" t="s">
        <v>41</v>
      </c>
      <c r="C3" s="10">
        <f>COUNTIF(Dados!$G:$G,B3)</f>
        <v>28</v>
      </c>
      <c r="D3" s="10">
        <f>COUNTIFS(Dados!$G:$G,B3,Dados!$M:$M,"&lt;&gt;")</f>
        <v>28</v>
      </c>
      <c r="E3" s="11">
        <f>IFERROR(AVERAGEIFS(Dados!$M:$M,Dados!$G:$G,B3),"")</f>
        <v>0.51164285714285718</v>
      </c>
      <c r="F3" s="11">
        <f>IFERROR(AVERAGEIFS(Dados!$M:$M,Dados!$G:$G,B3,Dados!$B:$B,"Governança"),"")</f>
        <v>0.59615789473684222</v>
      </c>
      <c r="G3" s="11">
        <f>IFERROR(AVERAGEIFS(Dados!$M:$M,Dados!$G:$G,B3,Dados!$B:$B,"Financiamento"),"")</f>
        <v>0.3332222222222222</v>
      </c>
    </row>
    <row r="4" spans="1:7" ht="15" customHeight="1" x14ac:dyDescent="0.35">
      <c r="A4" s="9" t="s">
        <v>39</v>
      </c>
      <c r="B4" s="9" t="s">
        <v>42</v>
      </c>
      <c r="C4" s="10">
        <f>COUNTIF(Dados!$G:$G,B4)</f>
        <v>28</v>
      </c>
      <c r="D4" s="10">
        <f>COUNTIFS(Dados!$G:$G,B4,Dados!$M:$M,"&lt;&gt;")</f>
        <v>28</v>
      </c>
      <c r="E4" s="11">
        <f>IFERROR(AVERAGEIFS(Dados!$M:$M,Dados!$G:$G,B4),"")</f>
        <v>0.48764285714285732</v>
      </c>
      <c r="F4" s="11">
        <f>IFERROR(AVERAGEIFS(Dados!$M:$M,Dados!$G:$G,B4,Dados!$B:$B,"Governança"),"")</f>
        <v>0.56089473684210545</v>
      </c>
      <c r="G4" s="11">
        <f>IFERROR(AVERAGEIFS(Dados!$M:$M,Dados!$G:$G,B4,Dados!$B:$B,"Financiamento"),"")</f>
        <v>0.33300000000000002</v>
      </c>
    </row>
    <row r="5" spans="1:7" ht="15" customHeight="1" x14ac:dyDescent="0.35">
      <c r="A5" s="9" t="s">
        <v>39</v>
      </c>
      <c r="B5" s="9" t="s">
        <v>43</v>
      </c>
      <c r="C5" s="10">
        <f>COUNTIF(Dados!$G:$G,B5)</f>
        <v>28</v>
      </c>
      <c r="D5" s="10">
        <f>COUNTIFS(Dados!$G:$G,B5,Dados!$M:$M,"&lt;&gt;")</f>
        <v>28</v>
      </c>
      <c r="E5" s="11">
        <f>IFERROR(AVERAGEIFS(Dados!$M:$M,Dados!$G:$G,B5),"")</f>
        <v>0.39253571428571438</v>
      </c>
      <c r="F5" s="11">
        <f>IFERROR(AVERAGEIFS(Dados!$M:$M,Dados!$G:$G,B5,Dados!$B:$B,"Governança"),"")</f>
        <v>0.45578947368421063</v>
      </c>
      <c r="G5" s="11">
        <f>IFERROR(AVERAGEIFS(Dados!$M:$M,Dados!$G:$G,B5,Dados!$B:$B,"Financiamento"),"")</f>
        <v>0.25900000000000006</v>
      </c>
    </row>
    <row r="6" spans="1:7" ht="15" customHeight="1" x14ac:dyDescent="0.35">
      <c r="A6" s="9" t="s">
        <v>39</v>
      </c>
      <c r="B6" s="9" t="s">
        <v>44</v>
      </c>
      <c r="C6" s="10">
        <f>COUNTIF(Dados!$G:$G,B6)</f>
        <v>28</v>
      </c>
      <c r="D6" s="10">
        <f>COUNTIFS(Dados!$G:$G,B6,Dados!$M:$M,"&lt;&gt;")</f>
        <v>28</v>
      </c>
      <c r="E6" s="11">
        <f>IFERROR(AVERAGEIFS(Dados!$M:$M,Dados!$G:$G,B6),"")</f>
        <v>0.52353571428571433</v>
      </c>
      <c r="F6" s="11">
        <f>IFERROR(AVERAGEIFS(Dados!$M:$M,Dados!$G:$G,B6,Dados!$B:$B,"Governança"),"")</f>
        <v>0.63131578947368439</v>
      </c>
      <c r="G6" s="11">
        <f>IFERROR(AVERAGEIFS(Dados!$M:$M,Dados!$G:$G,B6,Dados!$B:$B,"Financiamento"),"")</f>
        <v>0.29600000000000004</v>
      </c>
    </row>
    <row r="7" spans="1:7" ht="15" customHeight="1" x14ac:dyDescent="0.35">
      <c r="A7" s="9" t="s">
        <v>39</v>
      </c>
      <c r="B7" s="9" t="s">
        <v>45</v>
      </c>
      <c r="C7" s="10">
        <f>COUNTIF(Dados!$G:$G,B7)</f>
        <v>28</v>
      </c>
      <c r="D7" s="10">
        <f>COUNTIFS(Dados!$G:$G,B7,Dados!$M:$M,"&lt;&gt;")</f>
        <v>28</v>
      </c>
      <c r="E7" s="11">
        <f>IFERROR(AVERAGEIFS(Dados!$M:$M,Dados!$G:$G,B7),"")</f>
        <v>0.63064285714285717</v>
      </c>
      <c r="F7" s="11">
        <f>IFERROR(AVERAGEIFS(Dados!$M:$M,Dados!$G:$G,B7,Dados!$B:$B,"Governança"),"")</f>
        <v>0.73652631578947381</v>
      </c>
      <c r="G7" s="11">
        <f>IFERROR(AVERAGEIFS(Dados!$M:$M,Dados!$G:$G,B7,Dados!$B:$B,"Financiamento"),"")</f>
        <v>0.40711111111111115</v>
      </c>
    </row>
    <row r="8" spans="1:7" ht="15" customHeight="1" x14ac:dyDescent="0.35">
      <c r="A8" s="9" t="s">
        <v>39</v>
      </c>
      <c r="B8" s="9" t="s">
        <v>46</v>
      </c>
      <c r="C8" s="10">
        <f>COUNTIF(Dados!$G:$G,B8)</f>
        <v>28</v>
      </c>
      <c r="D8" s="10">
        <f>COUNTIFS(Dados!$G:$G,B8,Dados!$M:$M,"&lt;&gt;")</f>
        <v>28</v>
      </c>
      <c r="E8" s="11">
        <f>IFERROR(AVERAGEIFS(Dados!$M:$M,Dados!$G:$G,B8),"")</f>
        <v>0.42825000000000013</v>
      </c>
      <c r="F8" s="11">
        <f>IFERROR(AVERAGEIFS(Dados!$M:$M,Dados!$G:$G,B8,Dados!$B:$B,"Governança"),"")</f>
        <v>0.47336842105263166</v>
      </c>
      <c r="G8" s="11">
        <f>IFERROR(AVERAGEIFS(Dados!$M:$M,Dados!$G:$G,B8,Dados!$B:$B,"Financiamento"),"")</f>
        <v>0.33300000000000002</v>
      </c>
    </row>
    <row r="9" spans="1:7" ht="15" customHeight="1" x14ac:dyDescent="0.35">
      <c r="A9" s="9" t="s">
        <v>39</v>
      </c>
      <c r="B9" s="9" t="s">
        <v>47</v>
      </c>
      <c r="C9" s="10">
        <f>COUNTIF(Dados!$G:$G,B9)</f>
        <v>28</v>
      </c>
      <c r="D9" s="10">
        <f>COUNTIFS(Dados!$G:$G,B9,Dados!$M:$M,"&lt;&gt;")</f>
        <v>28</v>
      </c>
      <c r="E9" s="11">
        <f>IFERROR(AVERAGEIFS(Dados!$M:$M,Dados!$G:$G,B9),"")</f>
        <v>0.54735714285714299</v>
      </c>
      <c r="F9" s="11">
        <f>IFERROR(AVERAGEIFS(Dados!$M:$M,Dados!$G:$G,B9,Dados!$B:$B,"Governança"),"")</f>
        <v>0.63126315789473697</v>
      </c>
      <c r="G9" s="11">
        <f>IFERROR(AVERAGEIFS(Dados!$M:$M,Dados!$G:$G,B9,Dados!$B:$B,"Financiamento"),"")</f>
        <v>0.37022222222222223</v>
      </c>
    </row>
    <row r="10" spans="1:7" ht="15" customHeight="1" x14ac:dyDescent="0.35">
      <c r="A10" s="9" t="s">
        <v>39</v>
      </c>
      <c r="B10" s="9" t="s">
        <v>48</v>
      </c>
      <c r="C10" s="10">
        <f>COUNTIF(Dados!$G:$G,B10)</f>
        <v>28</v>
      </c>
      <c r="D10" s="10">
        <f>COUNTIFS(Dados!$G:$G,B10,Dados!$M:$M,"&lt;&gt;")</f>
        <v>28</v>
      </c>
      <c r="E10" s="11">
        <f>IFERROR(AVERAGEIFS(Dados!$M:$M,Dados!$G:$G,B10),"")</f>
        <v>0.77367857142857144</v>
      </c>
      <c r="F10" s="11">
        <f>IFERROR(AVERAGEIFS(Dados!$M:$M,Dados!$G:$G,B10,Dados!$B:$B,"Governança"),"")</f>
        <v>0.89463157894736844</v>
      </c>
      <c r="G10" s="11">
        <f>IFERROR(AVERAGEIFS(Dados!$M:$M,Dados!$G:$G,B10,Dados!$B:$B,"Financiamento"),"")</f>
        <v>0.51833333333333331</v>
      </c>
    </row>
    <row r="11" spans="1:7" ht="15" customHeight="1" x14ac:dyDescent="0.35">
      <c r="A11" s="9" t="s">
        <v>39</v>
      </c>
      <c r="B11" s="9" t="s">
        <v>49</v>
      </c>
      <c r="C11" s="10">
        <f>COUNTIF(Dados!$G:$G,B11)</f>
        <v>28</v>
      </c>
      <c r="D11" s="10">
        <f>COUNTIFS(Dados!$G:$G,B11,Dados!$M:$M,"&lt;&gt;")</f>
        <v>28</v>
      </c>
      <c r="E11" s="11">
        <f>IFERROR(AVERAGEIFS(Dados!$M:$M,Dados!$G:$G,B11),"")</f>
        <v>0.59496428571428583</v>
      </c>
      <c r="F11" s="11">
        <f>IFERROR(AVERAGEIFS(Dados!$M:$M,Dados!$G:$G,B11,Dados!$B:$B,"Governança"),"")</f>
        <v>0.66642105263157914</v>
      </c>
      <c r="G11" s="11">
        <f>IFERROR(AVERAGEIFS(Dados!$M:$M,Dados!$G:$G,B11,Dados!$B:$B,"Financiamento"),"")</f>
        <v>0.44411111111111112</v>
      </c>
    </row>
    <row r="12" spans="1:7" ht="15" customHeight="1" x14ac:dyDescent="0.35">
      <c r="A12" s="9" t="s">
        <v>39</v>
      </c>
      <c r="B12" s="9" t="s">
        <v>50</v>
      </c>
      <c r="C12" s="10">
        <f>COUNTIF(Dados!$G:$G,B12)</f>
        <v>28</v>
      </c>
      <c r="D12" s="10">
        <f>COUNTIFS(Dados!$G:$G,B12,Dados!$M:$M,"&lt;&gt;")</f>
        <v>28</v>
      </c>
      <c r="E12" s="11">
        <f>IFERROR(AVERAGEIFS(Dados!$M:$M,Dados!$G:$G,B12),"")</f>
        <v>0.49975000000000008</v>
      </c>
      <c r="F12" s="11">
        <f>IFERROR(AVERAGEIFS(Dados!$M:$M,Dados!$G:$G,B12,Dados!$B:$B,"Governança"),"")</f>
        <v>0.50847368421052641</v>
      </c>
      <c r="G12" s="11">
        <f>IFERROR(AVERAGEIFS(Dados!$M:$M,Dados!$G:$G,B12,Dados!$B:$B,"Financiamento"),"")</f>
        <v>0.48133333333333334</v>
      </c>
    </row>
    <row r="13" spans="1:7" ht="15" customHeight="1" x14ac:dyDescent="0.35">
      <c r="A13" s="9" t="s">
        <v>39</v>
      </c>
      <c r="B13" s="9" t="s">
        <v>51</v>
      </c>
      <c r="C13" s="10">
        <f>COUNTIF(Dados!$G:$G,B13)</f>
        <v>28</v>
      </c>
      <c r="D13" s="10">
        <f>COUNTIFS(Dados!$G:$G,B13,Dados!$M:$M,"&lt;&gt;")</f>
        <v>28</v>
      </c>
      <c r="E13" s="11">
        <f>IFERROR(AVERAGEIFS(Dados!$M:$M,Dados!$G:$G,B13),"")</f>
        <v>0.84496428571428583</v>
      </c>
      <c r="F13" s="11">
        <f>IFERROR(AVERAGEIFS(Dados!$M:$M,Dados!$G:$G,B13,Dados!$B:$B,"Governança"),"")</f>
        <v>0.87694736842105281</v>
      </c>
      <c r="G13" s="11">
        <f>IFERROR(AVERAGEIFS(Dados!$M:$M,Dados!$G:$G,B13,Dados!$B:$B,"Financiamento"),"")</f>
        <v>0.77744444444444449</v>
      </c>
    </row>
    <row r="14" spans="1:7" ht="15" customHeight="1" x14ac:dyDescent="0.35">
      <c r="A14" s="9" t="s">
        <v>39</v>
      </c>
      <c r="B14" s="9" t="s">
        <v>52</v>
      </c>
      <c r="C14" s="10">
        <f>COUNTIF(Dados!$G:$G,B14)</f>
        <v>28</v>
      </c>
      <c r="D14" s="10">
        <f>COUNTIFS(Dados!$G:$G,B14,Dados!$M:$M,"&lt;&gt;")</f>
        <v>28</v>
      </c>
      <c r="E14" s="11">
        <f>IFERROR(AVERAGEIFS(Dados!$M:$M,Dados!$G:$G,B14),"")</f>
        <v>0.65449999999999986</v>
      </c>
      <c r="F14" s="11">
        <f>IFERROR(AVERAGEIFS(Dados!$M:$M,Dados!$G:$G,B14,Dados!$B:$B,"Governança"),"")</f>
        <v>0.789263157894737</v>
      </c>
      <c r="G14" s="11">
        <f>IFERROR(AVERAGEIFS(Dados!$M:$M,Dados!$G:$G,B14,Dados!$B:$B,"Financiamento"),"")</f>
        <v>0.37</v>
      </c>
    </row>
    <row r="15" spans="1:7" ht="15" customHeight="1" x14ac:dyDescent="0.35">
      <c r="A15" s="9" t="s">
        <v>39</v>
      </c>
      <c r="B15" s="9" t="s">
        <v>53</v>
      </c>
      <c r="C15" s="10">
        <f>COUNTIF(Dados!$G:$G,B15)</f>
        <v>28</v>
      </c>
      <c r="D15" s="10">
        <f>COUNTIFS(Dados!$G:$G,B15,Dados!$M:$M,"&lt;&gt;")</f>
        <v>28</v>
      </c>
      <c r="E15" s="11">
        <f>IFERROR(AVERAGEIFS(Dados!$M:$M,Dados!$G:$G,B15),"")</f>
        <v>0.22600000000000003</v>
      </c>
      <c r="F15" s="11">
        <f>IFERROR(AVERAGEIFS(Dados!$M:$M,Dados!$G:$G,B15,Dados!$B:$B,"Governança"),"")</f>
        <v>0.31552631578947371</v>
      </c>
      <c r="G15" s="11">
        <f>IFERROR(AVERAGEIFS(Dados!$M:$M,Dados!$G:$G,B15,Dados!$B:$B,"Financiamento"),"")</f>
        <v>3.7000000000000005E-2</v>
      </c>
    </row>
    <row r="16" spans="1:7" ht="15" customHeight="1" x14ac:dyDescent="0.35">
      <c r="A16" s="9" t="s">
        <v>39</v>
      </c>
      <c r="B16" s="9" t="s">
        <v>54</v>
      </c>
      <c r="C16" s="10">
        <f>COUNTIF(Dados!$G:$G,B16)</f>
        <v>28</v>
      </c>
      <c r="D16" s="10">
        <f>COUNTIFS(Dados!$G:$G,B16,Dados!$M:$M,"&lt;&gt;")</f>
        <v>28</v>
      </c>
      <c r="E16" s="11">
        <f>IFERROR(AVERAGEIFS(Dados!$M:$M,Dados!$G:$G,B16),"")</f>
        <v>0.78542857142857159</v>
      </c>
      <c r="F16" s="11">
        <f>IFERROR(AVERAGEIFS(Dados!$M:$M,Dados!$G:$G,B16,Dados!$B:$B,"Governança"),"")</f>
        <v>0.78921052631578947</v>
      </c>
      <c r="G16" s="11">
        <f>IFERROR(AVERAGEIFS(Dados!$M:$M,Dados!$G:$G,B16,Dados!$B:$B,"Financiamento"),"")</f>
        <v>0.77744444444444449</v>
      </c>
    </row>
    <row r="17" spans="1:7" ht="15" customHeight="1" x14ac:dyDescent="0.35">
      <c r="A17" s="9" t="s">
        <v>39</v>
      </c>
      <c r="B17" s="9" t="s">
        <v>55</v>
      </c>
      <c r="C17" s="10">
        <f>COUNTIF(Dados!$G:$G,B17)</f>
        <v>28</v>
      </c>
      <c r="D17" s="10">
        <f>COUNTIFS(Dados!$G:$G,B17,Dados!$M:$M,"&lt;&gt;")</f>
        <v>28</v>
      </c>
      <c r="E17" s="11">
        <f>IFERROR(AVERAGEIFS(Dados!$M:$M,Dados!$G:$G,B17),"")</f>
        <v>0.64260714285714282</v>
      </c>
      <c r="F17" s="11">
        <f>IFERROR(AVERAGEIFS(Dados!$M:$M,Dados!$G:$G,B17,Dados!$B:$B,"Governança"),"")</f>
        <v>0.73657894736842122</v>
      </c>
      <c r="G17" s="11">
        <f>IFERROR(AVERAGEIFS(Dados!$M:$M,Dados!$G:$G,B17,Dados!$B:$B,"Financiamento"),"")</f>
        <v>0.44422222222222219</v>
      </c>
    </row>
    <row r="18" spans="1:7" ht="15" customHeight="1" x14ac:dyDescent="0.35">
      <c r="A18" s="9" t="s">
        <v>39</v>
      </c>
      <c r="B18" s="9" t="s">
        <v>56</v>
      </c>
      <c r="C18" s="10">
        <f>COUNTIF(Dados!$G:$G,B18)</f>
        <v>28</v>
      </c>
      <c r="D18" s="10">
        <f>COUNTIFS(Dados!$G:$G,B18,Dados!$M:$M,"&lt;&gt;")</f>
        <v>28</v>
      </c>
      <c r="E18" s="11">
        <f>IFERROR(AVERAGEIFS(Dados!$M:$M,Dados!$G:$G,B18),"")</f>
        <v>0.53059259259259273</v>
      </c>
      <c r="F18" s="11">
        <f>IFERROR(AVERAGEIFS(Dados!$M:$M,Dados!$G:$G,B18,Dados!$B:$B,"Governança"),"")</f>
        <v>0.62938888888888889</v>
      </c>
      <c r="G18" s="11">
        <f>IFERROR(AVERAGEIFS(Dados!$M:$M,Dados!$G:$G,B18,Dados!$B:$B,"Financiamento"),"")</f>
        <v>0.33300000000000002</v>
      </c>
    </row>
    <row r="19" spans="1:7" ht="15" customHeight="1" x14ac:dyDescent="0.35">
      <c r="A19" s="9" t="s">
        <v>39</v>
      </c>
      <c r="B19" s="9" t="s">
        <v>57</v>
      </c>
      <c r="C19" s="10">
        <f>COUNTIF(Dados!$G:$G,B19)</f>
        <v>28</v>
      </c>
      <c r="D19" s="10">
        <f>COUNTIFS(Dados!$G:$G,B19,Dados!$M:$M,"&lt;&gt;")</f>
        <v>28</v>
      </c>
      <c r="E19" s="11">
        <f>IFERROR(AVERAGEIFS(Dados!$M:$M,Dados!$G:$G,B19),"")</f>
        <v>0.39257142857142863</v>
      </c>
      <c r="F19" s="11">
        <f>IFERROR(AVERAGEIFS(Dados!$M:$M,Dados!$G:$G,B19,Dados!$B:$B,"Governança"),"")</f>
        <v>0.49089473684210533</v>
      </c>
      <c r="G19" s="11">
        <f>IFERROR(AVERAGEIFS(Dados!$M:$M,Dados!$G:$G,B19,Dados!$B:$B,"Financiamento"),"")</f>
        <v>0.185</v>
      </c>
    </row>
    <row r="20" spans="1:7" ht="15" customHeight="1" x14ac:dyDescent="0.35">
      <c r="A20" s="9" t="s">
        <v>39</v>
      </c>
      <c r="B20" s="9" t="s">
        <v>58</v>
      </c>
      <c r="C20" s="10">
        <f>COUNTIF(Dados!$G:$G,B20)</f>
        <v>28</v>
      </c>
      <c r="D20" s="10">
        <f>COUNTIFS(Dados!$G:$G,B20,Dados!$M:$M,"&lt;&gt;")</f>
        <v>28</v>
      </c>
      <c r="E20" s="11">
        <f>IFERROR(AVERAGEIFS(Dados!$M:$M,Dados!$G:$G,B20),"")</f>
        <v>0.69010714285714292</v>
      </c>
      <c r="F20" s="11">
        <f>IFERROR(AVERAGEIFS(Dados!$M:$M,Dados!$G:$G,B20,Dados!$B:$B,"Governança"),"")</f>
        <v>0.71889473684210536</v>
      </c>
      <c r="G20" s="11">
        <f>IFERROR(AVERAGEIFS(Dados!$M:$M,Dados!$G:$G,B20,Dados!$B:$B,"Financiamento"),"")</f>
        <v>0.62933333333333341</v>
      </c>
    </row>
    <row r="21" spans="1:7" ht="15" customHeight="1" x14ac:dyDescent="0.35">
      <c r="A21" s="9" t="s">
        <v>39</v>
      </c>
      <c r="B21" s="9" t="s">
        <v>59</v>
      </c>
      <c r="C21" s="10">
        <f>COUNTIF(Dados!$G:$G,B21)</f>
        <v>56</v>
      </c>
      <c r="D21" s="10">
        <f>COUNTIFS(Dados!$G:$G,B21,Dados!$M:$M,"&lt;&gt;")</f>
        <v>56</v>
      </c>
      <c r="E21" s="11">
        <f>IFERROR(AVERAGEIFS(Dados!$M:$M,Dados!$G:$G,B21),"")</f>
        <v>0.66030909090909062</v>
      </c>
      <c r="F21" s="11">
        <f>IFERROR(AVERAGEIFS(Dados!$M:$M,Dados!$G:$G,B21,Dados!$B:$B,"Governança"),"")</f>
        <v>0.71140540540540542</v>
      </c>
      <c r="G21" s="11">
        <f>IFERROR(AVERAGEIFS(Dados!$M:$M,Dados!$G:$G,B21,Dados!$B:$B,"Financiamento"),"")</f>
        <v>0.55527777777777787</v>
      </c>
    </row>
    <row r="22" spans="1:7" ht="15" customHeight="1" x14ac:dyDescent="0.35">
      <c r="A22" s="9" t="s">
        <v>39</v>
      </c>
      <c r="B22" s="9" t="s">
        <v>60</v>
      </c>
      <c r="C22" s="10">
        <f>COUNTIF(Dados!$G:$G,B22)</f>
        <v>28</v>
      </c>
      <c r="D22" s="10">
        <f>COUNTIFS(Dados!$G:$G,B22,Dados!$M:$M,"&lt;&gt;")</f>
        <v>28</v>
      </c>
      <c r="E22" s="11">
        <f>IFERROR(AVERAGEIFS(Dados!$M:$M,Dados!$G:$G,B22),"")</f>
        <v>0.40439285714285722</v>
      </c>
      <c r="F22" s="11">
        <f>IFERROR(AVERAGEIFS(Dados!$M:$M,Dados!$G:$G,B22,Dados!$B:$B,"Governança"),"")</f>
        <v>0.43821052631578961</v>
      </c>
      <c r="G22" s="11">
        <f>IFERROR(AVERAGEIFS(Dados!$M:$M,Dados!$G:$G,B22,Dados!$B:$B,"Financiamento"),"")</f>
        <v>0.33299999999999996</v>
      </c>
    </row>
    <row r="23" spans="1:7" ht="15" customHeight="1" x14ac:dyDescent="0.35">
      <c r="A23" s="9" t="s">
        <v>39</v>
      </c>
      <c r="B23" s="9" t="s">
        <v>61</v>
      </c>
      <c r="C23" s="10">
        <f>COUNTIF(Dados!$G:$G,B23)</f>
        <v>28</v>
      </c>
      <c r="D23" s="10">
        <f>COUNTIFS(Dados!$G:$G,B23,Dados!$M:$M,"&lt;&gt;")</f>
        <v>28</v>
      </c>
      <c r="E23" s="11">
        <f>IFERROR(AVERAGEIFS(Dados!$M:$M,Dados!$G:$G,B23),"")</f>
        <v>0.15460714285714289</v>
      </c>
      <c r="F23" s="11">
        <f>IFERROR(AVERAGEIFS(Dados!$M:$M,Dados!$G:$G,B23,Dados!$B:$B,"Governança"),"")</f>
        <v>0.19278947368421057</v>
      </c>
      <c r="G23" s="11">
        <f>IFERROR(AVERAGEIFS(Dados!$M:$M,Dados!$G:$G,B23,Dados!$B:$B,"Financiamento"),"")</f>
        <v>7.400000000000001E-2</v>
      </c>
    </row>
    <row r="24" spans="1:7" ht="15" customHeight="1" x14ac:dyDescent="0.35">
      <c r="A24" s="9" t="s">
        <v>39</v>
      </c>
      <c r="B24" s="9" t="s">
        <v>62</v>
      </c>
      <c r="C24" s="10">
        <f>COUNTIF(Dados!$G:$G,B24)</f>
        <v>28</v>
      </c>
      <c r="D24" s="10">
        <f>COUNTIFS(Dados!$G:$G,B24,Dados!$M:$M,"&lt;&gt;")</f>
        <v>28</v>
      </c>
      <c r="E24" s="11">
        <f>IFERROR(AVERAGEIFS(Dados!$M:$M,Dados!$G:$G,B24),"")</f>
        <v>0.65446428571428572</v>
      </c>
      <c r="F24" s="11">
        <f>IFERROR(AVERAGEIFS(Dados!$M:$M,Dados!$G:$G,B24,Dados!$B:$B,"Governança"),"")</f>
        <v>0.7190526315789475</v>
      </c>
      <c r="G24" s="11">
        <f>IFERROR(AVERAGEIFS(Dados!$M:$M,Dados!$G:$G,B24,Dados!$B:$B,"Financiamento"),"")</f>
        <v>0.51811111111111119</v>
      </c>
    </row>
    <row r="25" spans="1:7" ht="15" customHeight="1" x14ac:dyDescent="0.35">
      <c r="A25" s="9" t="s">
        <v>39</v>
      </c>
      <c r="B25" s="9" t="s">
        <v>63</v>
      </c>
      <c r="C25" s="10">
        <f>COUNTIF(Dados!$G:$G,B25)</f>
        <v>28</v>
      </c>
      <c r="D25" s="10">
        <f>COUNTIFS(Dados!$G:$G,B25,Dados!$M:$M,"&lt;&gt;")</f>
        <v>28</v>
      </c>
      <c r="E25" s="11">
        <f>IFERROR(AVERAGEIFS(Dados!$M:$M,Dados!$G:$G,B25),"")</f>
        <v>0.42832142857142863</v>
      </c>
      <c r="F25" s="11">
        <f>IFERROR(AVERAGEIFS(Dados!$M:$M,Dados!$G:$G,B25,Dados!$B:$B,"Governança"),"")</f>
        <v>0.52605263157894755</v>
      </c>
      <c r="G25" s="11">
        <f>IFERROR(AVERAGEIFS(Dados!$M:$M,Dados!$G:$G,B25,Dados!$B:$B,"Financiamento"),"")</f>
        <v>0.22200000000000003</v>
      </c>
    </row>
    <row r="26" spans="1:7" ht="15" customHeight="1" x14ac:dyDescent="0.35">
      <c r="A26" s="9" t="s">
        <v>39</v>
      </c>
      <c r="B26" s="9" t="s">
        <v>64</v>
      </c>
      <c r="C26" s="10">
        <f>COUNTIF(Dados!$G:$G,B26)</f>
        <v>56</v>
      </c>
      <c r="D26" s="10">
        <f>COUNTIFS(Dados!$G:$G,B26,Dados!$M:$M,"&lt;&gt;")</f>
        <v>56</v>
      </c>
      <c r="E26" s="11">
        <f>IFERROR(AVERAGEIFS(Dados!$M:$M,Dados!$G:$G,B26),"")</f>
        <v>0.83305999999999969</v>
      </c>
      <c r="F26" s="11">
        <f>IFERROR(AVERAGEIFS(Dados!$M:$M,Dados!$G:$G,B26,Dados!$B:$B,"Governança"),"")</f>
        <v>0.88551428571428581</v>
      </c>
      <c r="G26" s="11">
        <f>IFERROR(AVERAGEIFS(Dados!$M:$M,Dados!$G:$G,B26,Dados!$B:$B,"Financiamento"),"")</f>
        <v>0.71066666666666678</v>
      </c>
    </row>
    <row r="27" spans="1:7" ht="15" customHeight="1" x14ac:dyDescent="0.35">
      <c r="A27" s="9" t="s">
        <v>39</v>
      </c>
      <c r="B27" s="9" t="s">
        <v>65</v>
      </c>
      <c r="C27" s="10">
        <f>COUNTIF(Dados!$G:$G,B27)</f>
        <v>28</v>
      </c>
      <c r="D27" s="10">
        <f>COUNTIFS(Dados!$G:$G,B27,Dados!$M:$M,"&lt;&gt;")</f>
        <v>28</v>
      </c>
      <c r="E27" s="11">
        <f>IFERROR(AVERAGEIFS(Dados!$M:$M,Dados!$G:$G,B27),"")</f>
        <v>0.44017857142857153</v>
      </c>
      <c r="F27" s="11">
        <f>IFERROR(AVERAGEIFS(Dados!$M:$M,Dados!$G:$G,B27,Dados!$B:$B,"Governança"),"")</f>
        <v>0.43831578947368427</v>
      </c>
      <c r="G27" s="11">
        <f>IFERROR(AVERAGEIFS(Dados!$M:$M,Dados!$G:$G,B27,Dados!$B:$B,"Financiamento"),"")</f>
        <v>0.44411111111111112</v>
      </c>
    </row>
    <row r="28" spans="1:7" ht="15" customHeight="1" x14ac:dyDescent="0.35">
      <c r="A28" s="9" t="s">
        <v>66</v>
      </c>
      <c r="B28" s="9" t="s">
        <v>67</v>
      </c>
      <c r="C28" s="10">
        <f>COUNTIF(Dados!$G:$G,B28)</f>
        <v>28</v>
      </c>
      <c r="D28" s="10">
        <f>COUNTIFS(Dados!$G:$G,B28,Dados!$M:$M,"&lt;&gt;")</f>
        <v>28</v>
      </c>
      <c r="E28" s="11">
        <f>IFERROR(AVERAGEIFS(Dados!$M:$M,Dados!$G:$G,B28),"")</f>
        <v>0.78992592592592603</v>
      </c>
      <c r="F28" s="11">
        <f>IFERROR(AVERAGEIFS(Dados!$M:$M,Dados!$G:$G,B28,Dados!$B:$B,"Governança"),"")</f>
        <v>0.87022222222222234</v>
      </c>
      <c r="G28" s="11">
        <f>IFERROR(AVERAGEIFS(Dados!$M:$M,Dados!$G:$G,B28,Dados!$B:$B,"Financiamento"),"")</f>
        <v>0.62933333333333341</v>
      </c>
    </row>
    <row r="29" spans="1:7" ht="15" customHeight="1" x14ac:dyDescent="0.35">
      <c r="A29" s="9" t="s">
        <v>66</v>
      </c>
      <c r="B29" s="9" t="s">
        <v>68</v>
      </c>
      <c r="C29" s="10">
        <f>COUNTIF(Dados!$G:$G,B29)</f>
        <v>28</v>
      </c>
      <c r="D29" s="10">
        <f>COUNTIFS(Dados!$G:$G,B29,Dados!$M:$M,"&lt;&gt;")</f>
        <v>28</v>
      </c>
      <c r="E29" s="11">
        <f>IFERROR(AVERAGEIFS(Dados!$M:$M,Dados!$G:$G,B29),"")</f>
        <v>0.37014814814814823</v>
      </c>
      <c r="F29" s="11">
        <f>IFERROR(AVERAGEIFS(Dados!$M:$M,Dados!$G:$G,B29,Dados!$B:$B,"Governança"),"")</f>
        <v>0.40722222222222226</v>
      </c>
      <c r="G29" s="11">
        <f>IFERROR(AVERAGEIFS(Dados!$M:$M,Dados!$G:$G,B29,Dados!$B:$B,"Financiamento"),"")</f>
        <v>0.29600000000000004</v>
      </c>
    </row>
    <row r="30" spans="1:7" ht="15" customHeight="1" x14ac:dyDescent="0.35">
      <c r="A30" s="9" t="s">
        <v>66</v>
      </c>
      <c r="B30" s="9" t="s">
        <v>69</v>
      </c>
      <c r="C30" s="10">
        <f>COUNTIF(Dados!$G:$G,B30)</f>
        <v>28</v>
      </c>
      <c r="D30" s="10">
        <f>COUNTIFS(Dados!$G:$G,B30,Dados!$M:$M,"&lt;&gt;")</f>
        <v>28</v>
      </c>
      <c r="E30" s="11">
        <f>IFERROR(AVERAGEIFS(Dados!$M:$M,Dados!$G:$G,B30),"")</f>
        <v>1.2333333333333333E-2</v>
      </c>
      <c r="F30" s="11">
        <f>IFERROR(AVERAGEIFS(Dados!$M:$M,Dados!$G:$G,B30,Dados!$B:$B,"Governança"),"")</f>
        <v>1.8500000000000003E-2</v>
      </c>
      <c r="G30" s="11">
        <f>IFERROR(AVERAGEIFS(Dados!$M:$M,Dados!$G:$G,B30,Dados!$B:$B,"Financiamento"),"")</f>
        <v>0</v>
      </c>
    </row>
    <row r="31" spans="1:7" ht="15" customHeight="1" x14ac:dyDescent="0.35">
      <c r="A31" s="9" t="s">
        <v>66</v>
      </c>
      <c r="B31" s="9" t="s">
        <v>70</v>
      </c>
      <c r="C31" s="10">
        <f>COUNTIF(Dados!$G:$G,B31)</f>
        <v>28</v>
      </c>
      <c r="D31" s="10">
        <f>COUNTIFS(Dados!$G:$G,B31,Dados!$M:$M,"&lt;&gt;")</f>
        <v>28</v>
      </c>
      <c r="E31" s="11">
        <f>IFERROR(AVERAGEIFS(Dados!$M:$M,Dados!$G:$G,B31),"")</f>
        <v>0.37000000000000016</v>
      </c>
      <c r="F31" s="11">
        <f>IFERROR(AVERAGEIFS(Dados!$M:$M,Dados!$G:$G,B31,Dados!$B:$B,"Governança"),"")</f>
        <v>0.40700000000000014</v>
      </c>
      <c r="G31" s="11">
        <f>IFERROR(AVERAGEIFS(Dados!$M:$M,Dados!$G:$G,B31,Dados!$B:$B,"Financiamento"),"")</f>
        <v>0.29600000000000004</v>
      </c>
    </row>
    <row r="32" spans="1:7" ht="15" customHeight="1" x14ac:dyDescent="0.35">
      <c r="A32" s="9" t="s">
        <v>66</v>
      </c>
      <c r="B32" s="9" t="s">
        <v>71</v>
      </c>
      <c r="C32" s="10">
        <f>COUNTIF(Dados!$G:$G,B32)</f>
        <v>28</v>
      </c>
      <c r="D32" s="10">
        <f>COUNTIFS(Dados!$G:$G,B32,Dados!$M:$M,"&lt;&gt;")</f>
        <v>28</v>
      </c>
      <c r="E32" s="11">
        <f>IFERROR(AVERAGEIFS(Dados!$M:$M,Dados!$G:$G,B32),"")</f>
        <v>0.12337037037037037</v>
      </c>
      <c r="F32" s="11">
        <f>IFERROR(AVERAGEIFS(Dados!$M:$M,Dados!$G:$G,B32,Dados!$B:$B,"Governança"),"")</f>
        <v>0.11100000000000002</v>
      </c>
      <c r="G32" s="11">
        <f>IFERROR(AVERAGEIFS(Dados!$M:$M,Dados!$G:$G,B32,Dados!$B:$B,"Financiamento"),"")</f>
        <v>0.14811111111111111</v>
      </c>
    </row>
    <row r="33" spans="1:7" ht="15" customHeight="1" x14ac:dyDescent="0.35">
      <c r="A33" s="9" t="s">
        <v>66</v>
      </c>
      <c r="B33" s="9" t="s">
        <v>72</v>
      </c>
      <c r="C33" s="10">
        <f>COUNTIF(Dados!$G:$G,B33)</f>
        <v>28</v>
      </c>
      <c r="D33" s="10">
        <f>COUNTIFS(Dados!$G:$G,B33,Dados!$M:$M,"&lt;&gt;")</f>
        <v>28</v>
      </c>
      <c r="E33" s="11">
        <f>IFERROR(AVERAGEIFS(Dados!$M:$M,Dados!$G:$G,B33),"")</f>
        <v>0.75292592592592578</v>
      </c>
      <c r="F33" s="11">
        <f>IFERROR(AVERAGEIFS(Dados!$M:$M,Dados!$G:$G,B33,Dados!$B:$B,"Governança"),"")</f>
        <v>0.87027777777777782</v>
      </c>
      <c r="G33" s="11">
        <f>IFERROR(AVERAGEIFS(Dados!$M:$M,Dados!$G:$G,B33,Dados!$B:$B,"Financiamento"),"")</f>
        <v>0.51822222222222225</v>
      </c>
    </row>
    <row r="34" spans="1:7" ht="15" customHeight="1" x14ac:dyDescent="0.35">
      <c r="A34" s="9" t="s">
        <v>66</v>
      </c>
      <c r="B34" s="9" t="s">
        <v>73</v>
      </c>
      <c r="C34" s="10">
        <f>COUNTIF(Dados!$G:$G,B34)</f>
        <v>28</v>
      </c>
      <c r="D34" s="10">
        <f>COUNTIFS(Dados!$G:$G,B34,Dados!$M:$M,"&lt;&gt;")</f>
        <v>28</v>
      </c>
      <c r="E34" s="11">
        <f>IFERROR(AVERAGEIFS(Dados!$M:$M,Dados!$G:$G,B34),"")</f>
        <v>0.2466666666666667</v>
      </c>
      <c r="F34" s="11">
        <f>IFERROR(AVERAGEIFS(Dados!$M:$M,Dados!$G:$G,B34,Dados!$B:$B,"Governança"),"")</f>
        <v>0.31450000000000006</v>
      </c>
      <c r="G34" s="11">
        <f>IFERROR(AVERAGEIFS(Dados!$M:$M,Dados!$G:$G,B34,Dados!$B:$B,"Financiamento"),"")</f>
        <v>0.11100000000000002</v>
      </c>
    </row>
    <row r="35" spans="1:7" ht="15" customHeight="1" x14ac:dyDescent="0.35">
      <c r="A35" s="9" t="s">
        <v>66</v>
      </c>
      <c r="B35" s="9" t="s">
        <v>74</v>
      </c>
      <c r="C35" s="10">
        <f>COUNTIF(Dados!$G:$G,B35)</f>
        <v>28</v>
      </c>
      <c r="D35" s="10">
        <f>COUNTIFS(Dados!$G:$G,B35,Dados!$M:$M,"&lt;&gt;")</f>
        <v>28</v>
      </c>
      <c r="E35" s="11">
        <f>IFERROR(AVERAGEIFS(Dados!$M:$M,Dados!$G:$G,B35),"")</f>
        <v>0.60466666666666669</v>
      </c>
      <c r="F35" s="11">
        <f>IFERROR(AVERAGEIFS(Dados!$M:$M,Dados!$G:$G,B35,Dados!$B:$B,"Governança"),"")</f>
        <v>0.74050000000000016</v>
      </c>
      <c r="G35" s="11">
        <f>IFERROR(AVERAGEIFS(Dados!$M:$M,Dados!$G:$G,B35,Dados!$B:$B,"Financiamento"),"")</f>
        <v>0.33300000000000002</v>
      </c>
    </row>
    <row r="36" spans="1:7" ht="15" customHeight="1" x14ac:dyDescent="0.35">
      <c r="A36" s="9" t="s">
        <v>66</v>
      </c>
      <c r="B36" s="9" t="s">
        <v>75</v>
      </c>
      <c r="C36" s="10">
        <f>COUNTIF(Dados!$G:$G,B36)</f>
        <v>28</v>
      </c>
      <c r="D36" s="10">
        <f>COUNTIFS(Dados!$G:$G,B36,Dados!$M:$M,"&lt;&gt;")</f>
        <v>28</v>
      </c>
      <c r="E36" s="11">
        <f>IFERROR(AVERAGEIFS(Dados!$M:$M,Dados!$G:$G,B36),"")</f>
        <v>0.25385714285714289</v>
      </c>
      <c r="F36" s="11">
        <f>IFERROR(AVERAGEIFS(Dados!$M:$M,Dados!$G:$G,B36,Dados!$B:$B,"Governança"),"")</f>
        <v>0.41650000000000009</v>
      </c>
      <c r="G36" s="11">
        <f>IFERROR(AVERAGEIFS(Dados!$M:$M,Dados!$G:$G,B36,Dados!$B:$B,"Financiamento"),"")</f>
        <v>3.7000000000000005E-2</v>
      </c>
    </row>
    <row r="37" spans="1:7" ht="15" customHeight="1" x14ac:dyDescent="0.35">
      <c r="A37" s="9" t="s">
        <v>66</v>
      </c>
      <c r="B37" s="9" t="s">
        <v>76</v>
      </c>
      <c r="C37" s="10">
        <f>COUNTIF(Dados!$G:$G,B37)</f>
        <v>28</v>
      </c>
      <c r="D37" s="10">
        <f>COUNTIFS(Dados!$G:$G,B37,Dados!$M:$M,"&lt;&gt;")</f>
        <v>28</v>
      </c>
      <c r="E37" s="11">
        <f>IFERROR(AVERAGEIFS(Dados!$M:$M,Dados!$G:$G,B37),"")</f>
        <v>2.4666666666666667E-2</v>
      </c>
      <c r="F37" s="11">
        <f>IFERROR(AVERAGEIFS(Dados!$M:$M,Dados!$G:$G,B37,Dados!$B:$B,"Governança"),"")</f>
        <v>3.7000000000000005E-2</v>
      </c>
      <c r="G37" s="11">
        <f>IFERROR(AVERAGEIFS(Dados!$M:$M,Dados!$G:$G,B37,Dados!$B:$B,"Financiamento"),"")</f>
        <v>0</v>
      </c>
    </row>
    <row r="38" spans="1:7" ht="15" customHeight="1" x14ac:dyDescent="0.35">
      <c r="A38" s="9" t="s">
        <v>66</v>
      </c>
      <c r="B38" s="9" t="s">
        <v>77</v>
      </c>
      <c r="C38" s="10">
        <f>COUNTIF(Dados!$G:$G,B38)</f>
        <v>26</v>
      </c>
      <c r="D38" s="10">
        <f>COUNTIFS(Dados!$G:$G,B38,Dados!$M:$M,"&lt;&gt;")</f>
        <v>26</v>
      </c>
      <c r="E38" s="11">
        <f>IFERROR(AVERAGEIFS(Dados!$M:$M,Dados!$G:$G,B38),"")</f>
        <v>0.19980000000000003</v>
      </c>
      <c r="F38" s="11">
        <f>IFERROR(AVERAGEIFS(Dados!$M:$M,Dados!$G:$G,B38,Dados!$B:$B,"Governança"),"")</f>
        <v>0.24975000000000003</v>
      </c>
      <c r="G38" s="11">
        <f>IFERROR(AVERAGEIFS(Dados!$M:$M,Dados!$G:$G,B38,Dados!$B:$B,"Financiamento"),"")</f>
        <v>0.11100000000000002</v>
      </c>
    </row>
    <row r="39" spans="1:7" ht="15" customHeight="1" x14ac:dyDescent="0.35">
      <c r="A39" s="9" t="s">
        <v>66</v>
      </c>
      <c r="B39" s="9" t="s">
        <v>78</v>
      </c>
      <c r="C39" s="10">
        <f>COUNTIF(Dados!$G:$G,B39)</f>
        <v>28</v>
      </c>
      <c r="D39" s="10">
        <f>COUNTIFS(Dados!$G:$G,B39,Dados!$M:$M,"&lt;&gt;")</f>
        <v>28</v>
      </c>
      <c r="E39" s="11">
        <f>IFERROR(AVERAGEIFS(Dados!$M:$M,Dados!$G:$G,B39),"")</f>
        <v>0.49344444444444457</v>
      </c>
      <c r="F39" s="11">
        <f>IFERROR(AVERAGEIFS(Dados!$M:$M,Dados!$G:$G,B39,Dados!$B:$B,"Governança"),"")</f>
        <v>0.53666666666666674</v>
      </c>
      <c r="G39" s="11">
        <f>IFERROR(AVERAGEIFS(Dados!$M:$M,Dados!$G:$G,B39,Dados!$B:$B,"Financiamento"),"")</f>
        <v>0.40700000000000003</v>
      </c>
    </row>
    <row r="40" spans="1:7" ht="15" customHeight="1" x14ac:dyDescent="0.35">
      <c r="A40" s="9" t="s">
        <v>66</v>
      </c>
      <c r="B40" s="9" t="s">
        <v>79</v>
      </c>
      <c r="C40" s="10">
        <f>COUNTIF(Dados!$G:$G,B40)</f>
        <v>28</v>
      </c>
      <c r="D40" s="10">
        <f>COUNTIFS(Dados!$G:$G,B40,Dados!$M:$M,"&lt;&gt;")</f>
        <v>28</v>
      </c>
      <c r="E40" s="11">
        <f>IFERROR(AVERAGEIFS(Dados!$M:$M,Dados!$G:$G,B40),"")</f>
        <v>0.40718518518518526</v>
      </c>
      <c r="F40" s="11">
        <f>IFERROR(AVERAGEIFS(Dados!$M:$M,Dados!$G:$G,B40,Dados!$B:$B,"Governança"),"")</f>
        <v>0.55522222222222228</v>
      </c>
      <c r="G40" s="11">
        <f>IFERROR(AVERAGEIFS(Dados!$M:$M,Dados!$G:$G,B40,Dados!$B:$B,"Financiamento"),"")</f>
        <v>0.1111111111111111</v>
      </c>
    </row>
    <row r="41" spans="1:7" ht="15" customHeight="1" x14ac:dyDescent="0.35">
      <c r="A41" s="9" t="s">
        <v>66</v>
      </c>
      <c r="B41" s="9" t="s">
        <v>80</v>
      </c>
      <c r="C41" s="10">
        <f>COUNTIF(Dados!$G:$G,B41)</f>
        <v>28</v>
      </c>
      <c r="D41" s="10">
        <f>COUNTIFS(Dados!$G:$G,B41,Dados!$M:$M,"&lt;&gt;")</f>
        <v>28</v>
      </c>
      <c r="E41" s="11">
        <f>IFERROR(AVERAGEIFS(Dados!$M:$M,Dados!$G:$G,B41),"")</f>
        <v>0.38251851851851854</v>
      </c>
      <c r="F41" s="11">
        <f>IFERROR(AVERAGEIFS(Dados!$M:$M,Dados!$G:$G,B41,Dados!$B:$B,"Governança"),"")</f>
        <v>0.4627777777777779</v>
      </c>
      <c r="G41" s="11">
        <f>IFERROR(AVERAGEIFS(Dados!$M:$M,Dados!$G:$G,B41,Dados!$B:$B,"Financiamento"),"")</f>
        <v>0.22200000000000003</v>
      </c>
    </row>
    <row r="42" spans="1:7" ht="15" customHeight="1" x14ac:dyDescent="0.35">
      <c r="A42" s="9" t="s">
        <v>66</v>
      </c>
      <c r="B42" s="9" t="s">
        <v>81</v>
      </c>
      <c r="C42" s="10">
        <f>COUNTIF(Dados!$G:$G,B42)</f>
        <v>28</v>
      </c>
      <c r="D42" s="10">
        <f>COUNTIFS(Dados!$G:$G,B42,Dados!$M:$M,"&lt;&gt;")</f>
        <v>28</v>
      </c>
      <c r="E42" s="11">
        <f>IFERROR(AVERAGEIFS(Dados!$M:$M,Dados!$G:$G,B42),"")</f>
        <v>0.62784615384615394</v>
      </c>
      <c r="F42" s="11">
        <f>IFERROR(AVERAGEIFS(Dados!$M:$M,Dados!$G:$G,B42,Dados!$B:$B,"Governança"),"")</f>
        <v>0.76435294117647079</v>
      </c>
      <c r="G42" s="11">
        <f>IFERROR(AVERAGEIFS(Dados!$M:$M,Dados!$G:$G,B42,Dados!$B:$B,"Financiamento"),"")</f>
        <v>0.37</v>
      </c>
    </row>
    <row r="43" spans="1:7" ht="15" customHeight="1" x14ac:dyDescent="0.35">
      <c r="A43" s="9" t="s">
        <v>66</v>
      </c>
      <c r="B43" s="9" t="s">
        <v>82</v>
      </c>
      <c r="C43" s="10">
        <f>COUNTIF(Dados!$G:$G,B43)</f>
        <v>28</v>
      </c>
      <c r="D43" s="10">
        <f>COUNTIFS(Dados!$G:$G,B43,Dados!$M:$M,"&lt;&gt;")</f>
        <v>28</v>
      </c>
      <c r="E43" s="11">
        <f>IFERROR(AVERAGEIFS(Dados!$M:$M,Dados!$G:$G,B43),"")</f>
        <v>0.18500000000000003</v>
      </c>
      <c r="F43" s="11">
        <f>IFERROR(AVERAGEIFS(Dados!$M:$M,Dados!$G:$G,B43,Dados!$B:$B,"Governança"),"")</f>
        <v>0.27750000000000008</v>
      </c>
      <c r="G43" s="11">
        <f>IFERROR(AVERAGEIFS(Dados!$M:$M,Dados!$G:$G,B43,Dados!$B:$B,"Financiamento"),"")</f>
        <v>0</v>
      </c>
    </row>
    <row r="44" spans="1:7" ht="15" customHeight="1" x14ac:dyDescent="0.35">
      <c r="A44" s="9" t="s">
        <v>66</v>
      </c>
      <c r="B44" s="9" t="s">
        <v>83</v>
      </c>
      <c r="C44" s="10">
        <f>COUNTIF(Dados!$G:$G,B44)</f>
        <v>28</v>
      </c>
      <c r="D44" s="10">
        <f>COUNTIFS(Dados!$G:$G,B44,Dados!$M:$M,"&lt;&gt;")</f>
        <v>28</v>
      </c>
      <c r="E44" s="11">
        <f>IFERROR(AVERAGEIFS(Dados!$M:$M,Dados!$G:$G,B44),"")</f>
        <v>0.66648148148148156</v>
      </c>
      <c r="F44" s="11">
        <f>IFERROR(AVERAGEIFS(Dados!$M:$M,Dados!$G:$G,B44,Dados!$B:$B,"Governança"),"")</f>
        <v>0.74050000000000016</v>
      </c>
      <c r="G44" s="11">
        <f>IFERROR(AVERAGEIFS(Dados!$M:$M,Dados!$G:$G,B44,Dados!$B:$B,"Financiamento"),"")</f>
        <v>0.51844444444444449</v>
      </c>
    </row>
    <row r="45" spans="1:7" ht="15" customHeight="1" x14ac:dyDescent="0.35">
      <c r="A45" s="9" t="s">
        <v>66</v>
      </c>
      <c r="B45" s="9" t="s">
        <v>84</v>
      </c>
      <c r="C45" s="10">
        <f>COUNTIF(Dados!$G:$G,B45)</f>
        <v>28</v>
      </c>
      <c r="D45" s="10">
        <f>COUNTIFS(Dados!$G:$G,B45,Dados!$M:$M,"&lt;&gt;")</f>
        <v>28</v>
      </c>
      <c r="E45" s="11">
        <f>IFERROR(AVERAGEIFS(Dados!$M:$M,Dados!$G:$G,B45),"")</f>
        <v>0.51269230769230778</v>
      </c>
      <c r="F45" s="11">
        <f>IFERROR(AVERAGEIFS(Dados!$M:$M,Dados!$G:$G,B45,Dados!$B:$B,"Governança"),"")</f>
        <v>0.60776470588235298</v>
      </c>
      <c r="G45" s="11">
        <f>IFERROR(AVERAGEIFS(Dados!$M:$M,Dados!$G:$G,B45,Dados!$B:$B,"Financiamento"),"")</f>
        <v>0.33311111111111114</v>
      </c>
    </row>
    <row r="46" spans="1:7" ht="15" customHeight="1" x14ac:dyDescent="0.35">
      <c r="A46" s="9" t="s">
        <v>66</v>
      </c>
      <c r="B46" s="9" t="s">
        <v>59</v>
      </c>
      <c r="C46" s="10">
        <f>COUNTIF(Dados!$G:$G,B46)</f>
        <v>56</v>
      </c>
      <c r="D46" s="10">
        <f>COUNTIFS(Dados!$G:$G,B46,Dados!$M:$M,"&lt;&gt;")</f>
        <v>56</v>
      </c>
      <c r="E46" s="11">
        <f>IFERROR(AVERAGEIFS(Dados!$M:$M,Dados!$G:$G,B46),"")</f>
        <v>0.66030909090909062</v>
      </c>
      <c r="F46" s="11">
        <f>IFERROR(AVERAGEIFS(Dados!$M:$M,Dados!$G:$G,B46,Dados!$B:$B,"Governança"),"")</f>
        <v>0.71140540540540542</v>
      </c>
      <c r="G46" s="11">
        <f>IFERROR(AVERAGEIFS(Dados!$M:$M,Dados!$G:$G,B46,Dados!$B:$B,"Financiamento"),"")</f>
        <v>0.55527777777777787</v>
      </c>
    </row>
    <row r="47" spans="1:7" ht="15" customHeight="1" x14ac:dyDescent="0.35">
      <c r="A47" s="9" t="s">
        <v>66</v>
      </c>
      <c r="B47" s="9" t="s">
        <v>85</v>
      </c>
      <c r="C47" s="10">
        <f>COUNTIF(Dados!$G:$G,B47)</f>
        <v>28</v>
      </c>
      <c r="D47" s="10">
        <f>COUNTIFS(Dados!$G:$G,B47,Dados!$M:$M,"&lt;&gt;")</f>
        <v>28</v>
      </c>
      <c r="E47" s="11">
        <f>IFERROR(AVERAGEIFS(Dados!$M:$M,Dados!$G:$G,B47),"")</f>
        <v>0.75281481481481494</v>
      </c>
      <c r="F47" s="11">
        <f>IFERROR(AVERAGEIFS(Dados!$M:$M,Dados!$G:$G,B47,Dados!$B:$B,"Governança"),"")</f>
        <v>0.83311111111111125</v>
      </c>
      <c r="G47" s="11">
        <f>IFERROR(AVERAGEIFS(Dados!$M:$M,Dados!$G:$G,B47,Dados!$B:$B,"Financiamento"),"")</f>
        <v>0.59222222222222221</v>
      </c>
    </row>
    <row r="48" spans="1:7" ht="15" customHeight="1" x14ac:dyDescent="0.35">
      <c r="A48" s="9" t="s">
        <v>66</v>
      </c>
      <c r="B48" s="9" t="s">
        <v>86</v>
      </c>
      <c r="C48" s="10">
        <f>COUNTIF(Dados!$G:$G,B48)</f>
        <v>28</v>
      </c>
      <c r="D48" s="10">
        <f>COUNTIFS(Dados!$G:$G,B48,Dados!$M:$M,"&lt;&gt;")</f>
        <v>28</v>
      </c>
      <c r="E48" s="11">
        <f>IFERROR(AVERAGEIFS(Dados!$M:$M,Dados!$G:$G,B48),"")</f>
        <v>0.57996296296296301</v>
      </c>
      <c r="F48" s="11">
        <f>IFERROR(AVERAGEIFS(Dados!$M:$M,Dados!$G:$G,B48,Dados!$B:$B,"Governança"),"")</f>
        <v>0.5922777777777779</v>
      </c>
      <c r="G48" s="11">
        <f>IFERROR(AVERAGEIFS(Dados!$M:$M,Dados!$G:$G,B48,Dados!$B:$B,"Financiamento"),"")</f>
        <v>0.55533333333333335</v>
      </c>
    </row>
    <row r="49" spans="1:7" ht="15" customHeight="1" x14ac:dyDescent="0.35">
      <c r="A49" s="9" t="s">
        <v>66</v>
      </c>
      <c r="B49" s="9" t="s">
        <v>64</v>
      </c>
      <c r="C49" s="10">
        <f>COUNTIF(Dados!$G:$G,B49)</f>
        <v>56</v>
      </c>
      <c r="D49" s="10">
        <f>COUNTIFS(Dados!$G:$G,B49,Dados!$M:$M,"&lt;&gt;")</f>
        <v>56</v>
      </c>
      <c r="E49" s="11">
        <f>IFERROR(AVERAGEIFS(Dados!$M:$M,Dados!$G:$G,B49),"")</f>
        <v>0.83305999999999969</v>
      </c>
      <c r="F49" s="11">
        <f>IFERROR(AVERAGEIFS(Dados!$M:$M,Dados!$G:$G,B49,Dados!$B:$B,"Governança"),"")</f>
        <v>0.88551428571428581</v>
      </c>
      <c r="G49" s="11">
        <f>IFERROR(AVERAGEIFS(Dados!$M:$M,Dados!$G:$G,B49,Dados!$B:$B,"Financiamento"),"")</f>
        <v>0.71066666666666678</v>
      </c>
    </row>
    <row r="50" spans="1:7" ht="15" customHeight="1" x14ac:dyDescent="0.35">
      <c r="A50" s="9" t="s">
        <v>66</v>
      </c>
      <c r="B50" s="9" t="s">
        <v>87</v>
      </c>
      <c r="C50" s="10">
        <f>COUNTIF(Dados!$G:$G,B50)</f>
        <v>28</v>
      </c>
      <c r="D50" s="10">
        <f>COUNTIFS(Dados!$G:$G,B50,Dados!$M:$M,"&lt;&gt;")</f>
        <v>28</v>
      </c>
      <c r="E50" s="11">
        <f>IFERROR(AVERAGEIFS(Dados!$M:$M,Dados!$G:$G,B50),"")</f>
        <v>0.40722222222222226</v>
      </c>
      <c r="F50" s="11">
        <f>IFERROR(AVERAGEIFS(Dados!$M:$M,Dados!$G:$G,B50,Dados!$B:$B,"Governança"),"")</f>
        <v>0.49983333333333341</v>
      </c>
      <c r="G50" s="11">
        <f>IFERROR(AVERAGEIFS(Dados!$M:$M,Dados!$G:$G,B50,Dados!$B:$B,"Financiamento"),"")</f>
        <v>0.22200000000000003</v>
      </c>
    </row>
    <row r="51" spans="1:7" ht="15" customHeight="1" x14ac:dyDescent="0.35">
      <c r="A51" s="9" t="s">
        <v>66</v>
      </c>
      <c r="B51" s="9" t="s">
        <v>88</v>
      </c>
      <c r="C51" s="10">
        <f>COUNTIF(Dados!$G:$G,B51)</f>
        <v>28</v>
      </c>
      <c r="D51" s="10">
        <f>COUNTIFS(Dados!$G:$G,B51,Dados!$M:$M,"&lt;&gt;")</f>
        <v>28</v>
      </c>
      <c r="E51" s="11">
        <f>IFERROR(AVERAGEIFS(Dados!$M:$M,Dados!$G:$G,B51),"")</f>
        <v>0.14088461538461539</v>
      </c>
      <c r="F51" s="11">
        <f>IFERROR(AVERAGEIFS(Dados!$M:$M,Dados!$G:$G,B51,Dados!$B:$B,"Governança"),"")</f>
        <v>0.1175294117647059</v>
      </c>
      <c r="G51" s="11">
        <f>IFERROR(AVERAGEIFS(Dados!$M:$M,Dados!$G:$G,B51,Dados!$B:$B,"Financiamento"),"")</f>
        <v>0.185</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zoomScaleNormal="100" workbookViewId="0">
      <pane ySplit="1" topLeftCell="A2" activePane="bottomLeft" state="frozen"/>
      <selection pane="bottomLeft"/>
    </sheetView>
  </sheetViews>
  <sheetFormatPr defaultColWidth="8.6328125" defaultRowHeight="14.5" x14ac:dyDescent="0.35"/>
  <cols>
    <col min="1" max="1" width="16" style="1" customWidth="1"/>
    <col min="2" max="2" width="13" style="1" customWidth="1"/>
    <col min="3" max="3" width="38" style="1" customWidth="1"/>
    <col min="4" max="4" width="16" style="1" customWidth="1"/>
    <col min="5" max="5" width="18" style="1" customWidth="1"/>
    <col min="6" max="6" width="14" style="1" customWidth="1"/>
  </cols>
  <sheetData>
    <row r="1" spans="1:6" ht="24" customHeight="1" x14ac:dyDescent="0.35">
      <c r="A1" s="8" t="s">
        <v>89</v>
      </c>
      <c r="B1" s="8" t="s">
        <v>90</v>
      </c>
      <c r="C1" s="8" t="s">
        <v>91</v>
      </c>
      <c r="D1" s="8" t="s">
        <v>34</v>
      </c>
      <c r="E1" s="8" t="s">
        <v>35</v>
      </c>
      <c r="F1" s="8" t="s">
        <v>92</v>
      </c>
    </row>
    <row r="2" spans="1:6" ht="15" customHeight="1" x14ac:dyDescent="0.35">
      <c r="A2" s="9" t="s">
        <v>93</v>
      </c>
      <c r="B2" s="10" t="s">
        <v>94</v>
      </c>
      <c r="C2" s="9" t="s">
        <v>95</v>
      </c>
      <c r="D2" s="10">
        <f>COUNTIF(Dados!$C:$C,B2)</f>
        <v>200</v>
      </c>
      <c r="E2" s="10">
        <f>COUNTIFS(Dados!$C:$C,B2,Dados!$M:$M,"&lt;&gt;")</f>
        <v>200</v>
      </c>
      <c r="F2" s="11">
        <f>IFERROR(AVERAGEIFS(Dados!$M:$M,Dados!$C:$C,B2),"")</f>
        <v>0.33477999999999936</v>
      </c>
    </row>
    <row r="3" spans="1:6" ht="15" customHeight="1" x14ac:dyDescent="0.35">
      <c r="A3" s="9" t="s">
        <v>93</v>
      </c>
      <c r="B3" s="10" t="s">
        <v>96</v>
      </c>
      <c r="C3" s="9" t="s">
        <v>97</v>
      </c>
      <c r="D3" s="10">
        <f>COUNTIF(Dados!$C:$C,B3)</f>
        <v>150</v>
      </c>
      <c r="E3" s="10">
        <f>COUNTIFS(Dados!$C:$C,B3,Dados!$M:$M,"&lt;&gt;")</f>
        <v>150</v>
      </c>
      <c r="F3" s="11">
        <f>IFERROR(AVERAGEIFS(Dados!$M:$M,Dados!$C:$C,B3),"")</f>
        <v>0.44043624161073758</v>
      </c>
    </row>
    <row r="4" spans="1:6" ht="15" customHeight="1" x14ac:dyDescent="0.35">
      <c r="A4" s="9" t="s">
        <v>93</v>
      </c>
      <c r="B4" s="10" t="s">
        <v>98</v>
      </c>
      <c r="C4" s="9" t="s">
        <v>99</v>
      </c>
      <c r="D4" s="10">
        <f>COUNTIF(Dados!$C:$C,B4)</f>
        <v>100</v>
      </c>
      <c r="E4" s="10">
        <f>COUNTIFS(Dados!$C:$C,B4,Dados!$M:$M,"&lt;&gt;")</f>
        <v>100</v>
      </c>
      <c r="F4" s="11">
        <f>IFERROR(AVERAGEIFS(Dados!$M:$M,Dados!$C:$C,B4),"")</f>
        <v>0.27871428571428569</v>
      </c>
    </row>
    <row r="5" spans="1:6" ht="15" customHeight="1" x14ac:dyDescent="0.35">
      <c r="A5" s="9" t="s">
        <v>100</v>
      </c>
      <c r="B5" s="10" t="s">
        <v>101</v>
      </c>
      <c r="C5" s="9" t="s">
        <v>102</v>
      </c>
      <c r="D5" s="10">
        <f>COUNTIF(Dados!$C:$C,B5)</f>
        <v>150</v>
      </c>
      <c r="E5" s="10">
        <f>COUNTIFS(Dados!$C:$C,B5,Dados!$M:$M,"&lt;&gt;")</f>
        <v>150</v>
      </c>
      <c r="F5" s="11">
        <f>IFERROR(AVERAGEIFS(Dados!$M:$M,Dados!$C:$C,B5),"")</f>
        <v>0.67980666666666612</v>
      </c>
    </row>
    <row r="6" spans="1:6" ht="15" customHeight="1" x14ac:dyDescent="0.35">
      <c r="A6" s="9" t="s">
        <v>100</v>
      </c>
      <c r="B6" s="10" t="s">
        <v>103</v>
      </c>
      <c r="C6" s="9" t="s">
        <v>104</v>
      </c>
      <c r="D6" s="10">
        <f>COUNTIF(Dados!$C:$C,B6)</f>
        <v>149</v>
      </c>
      <c r="E6" s="10">
        <f>COUNTIFS(Dados!$C:$C,B6,Dados!$M:$M,"&lt;&gt;")</f>
        <v>149</v>
      </c>
      <c r="F6" s="11">
        <f>IFERROR(AVERAGEIFS(Dados!$M:$M,Dados!$C:$C,B6),"")</f>
        <v>0.65963265306122376</v>
      </c>
    </row>
    <row r="7" spans="1:6" ht="15" customHeight="1" x14ac:dyDescent="0.35">
      <c r="A7" s="9" t="s">
        <v>100</v>
      </c>
      <c r="B7" s="10" t="s">
        <v>105</v>
      </c>
      <c r="C7" s="9" t="s">
        <v>106</v>
      </c>
      <c r="D7" s="10">
        <f>COUNTIF(Dados!$C:$C,B7)</f>
        <v>99</v>
      </c>
      <c r="E7" s="10">
        <f>COUNTIFS(Dados!$C:$C,B7,Dados!$M:$M,"&lt;&gt;")</f>
        <v>99</v>
      </c>
      <c r="F7" s="11">
        <f>IFERROR(AVERAGEIFS(Dados!$M:$M,Dados!$C:$C,B7),"")</f>
        <v>0.50489690721649438</v>
      </c>
    </row>
    <row r="8" spans="1:6" ht="15" customHeight="1" x14ac:dyDescent="0.35">
      <c r="A8" s="9" t="s">
        <v>100</v>
      </c>
      <c r="B8" s="10" t="s">
        <v>107</v>
      </c>
      <c r="C8" s="9" t="s">
        <v>108</v>
      </c>
      <c r="D8" s="10">
        <f>COUNTIF(Dados!$C:$C,B8)</f>
        <v>150</v>
      </c>
      <c r="E8" s="10">
        <f>COUNTIFS(Dados!$C:$C,B8,Dados!$M:$M,"&lt;&gt;")</f>
        <v>150</v>
      </c>
      <c r="F8" s="11">
        <f>IFERROR(AVERAGEIFS(Dados!$M:$M,Dados!$C:$C,B8),"")</f>
        <v>0.64147619047618964</v>
      </c>
    </row>
    <row r="9" spans="1:6" ht="15" customHeight="1" x14ac:dyDescent="0.35">
      <c r="A9" s="9" t="s">
        <v>100</v>
      </c>
      <c r="B9" s="10" t="s">
        <v>109</v>
      </c>
      <c r="C9" s="9" t="s">
        <v>110</v>
      </c>
      <c r="D9" s="10">
        <f>COUNTIF(Dados!$C:$C,B9)</f>
        <v>100</v>
      </c>
      <c r="E9" s="10">
        <f>COUNTIFS(Dados!$C:$C,B9,Dados!$M:$M,"&lt;&gt;")</f>
        <v>100</v>
      </c>
      <c r="F9" s="11">
        <f>IFERROR(AVERAGEIFS(Dados!$M:$M,Dados!$C:$C,B9),"")</f>
        <v>0.63627999999999896</v>
      </c>
    </row>
    <row r="10" spans="1:6" ht="15" customHeight="1" x14ac:dyDescent="0.35">
      <c r="A10" s="9" t="s">
        <v>100</v>
      </c>
      <c r="B10" s="10" t="s">
        <v>111</v>
      </c>
      <c r="C10" s="9" t="s">
        <v>112</v>
      </c>
      <c r="D10" s="10">
        <f>COUNTIF(Dados!$C:$C,B10)</f>
        <v>150</v>
      </c>
      <c r="E10" s="10">
        <f>COUNTIFS(Dados!$C:$C,B10,Dados!$M:$M,"&lt;&gt;")</f>
        <v>150</v>
      </c>
      <c r="F10" s="11">
        <f>IFERROR(AVERAGEIFS(Dados!$M:$M,Dados!$C:$C,B10),"")</f>
        <v>0.38037837837837779</v>
      </c>
    </row>
    <row r="11" spans="1:6" ht="15" customHeight="1" x14ac:dyDescent="0.35">
      <c r="A11" s="9" t="s">
        <v>100</v>
      </c>
      <c r="B11" s="10" t="s">
        <v>113</v>
      </c>
      <c r="C11" s="9" t="s">
        <v>114</v>
      </c>
      <c r="D11" s="10">
        <f>COUNTIF(Dados!$C:$C,B11)</f>
        <v>150</v>
      </c>
      <c r="E11" s="10">
        <f>COUNTIFS(Dados!$C:$C,B11,Dados!$M:$M,"&lt;&gt;")</f>
        <v>150</v>
      </c>
      <c r="F11" s="11">
        <f>IFERROR(AVERAGEIFS(Dados!$M:$M,Dados!$C:$C,B11),"")</f>
        <v>0.46045528455284501</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399"/>
  <sheetViews>
    <sheetView zoomScaleNormal="100" workbookViewId="0">
      <pane ySplit="1" topLeftCell="A2" activePane="bottomLeft" state="frozen"/>
      <selection pane="bottomLeft" activeCell="N417" sqref="N417"/>
    </sheetView>
  </sheetViews>
  <sheetFormatPr defaultColWidth="8.6328125" defaultRowHeight="14.5" x14ac:dyDescent="0.35"/>
  <cols>
    <col min="1" max="1" width="12" style="1" customWidth="1"/>
    <col min="2" max="2" width="14" style="1" customWidth="1"/>
    <col min="3" max="3" width="12" style="1" customWidth="1"/>
    <col min="4" max="4" width="30" style="1" customWidth="1"/>
    <col min="5" max="5" width="7" style="1" customWidth="1"/>
    <col min="6" max="6" width="13" style="1" customWidth="1"/>
    <col min="7" max="7" width="18" style="1" customWidth="1"/>
    <col min="8" max="8" width="10" style="1" customWidth="1"/>
    <col min="9" max="9" width="16" style="1" customWidth="1"/>
    <col min="10" max="10" width="20" style="1" customWidth="1"/>
    <col min="11" max="11" width="18" style="1" customWidth="1"/>
    <col min="12" max="13" width="16" style="1" customWidth="1"/>
    <col min="14" max="14" width="70" style="1" customWidth="1"/>
    <col min="15" max="15" width="30" style="1" customWidth="1"/>
    <col min="16" max="16" width="8" style="1" customWidth="1"/>
  </cols>
  <sheetData>
    <row r="1" spans="1:16" ht="30" customHeight="1" x14ac:dyDescent="0.35">
      <c r="A1" s="8" t="s">
        <v>115</v>
      </c>
      <c r="B1" s="8" t="s">
        <v>89</v>
      </c>
      <c r="C1" s="8" t="s">
        <v>90</v>
      </c>
      <c r="D1" s="8" t="s">
        <v>91</v>
      </c>
      <c r="E1" s="8" t="s">
        <v>116</v>
      </c>
      <c r="F1" s="8" t="s">
        <v>32</v>
      </c>
      <c r="G1" s="8" t="s">
        <v>33</v>
      </c>
      <c r="H1" s="8" t="s">
        <v>117</v>
      </c>
      <c r="I1" s="8" t="s">
        <v>118</v>
      </c>
      <c r="J1" s="8" t="s">
        <v>119</v>
      </c>
      <c r="K1" s="8" t="s">
        <v>120</v>
      </c>
      <c r="L1" s="8" t="s">
        <v>121</v>
      </c>
      <c r="M1" s="8" t="s">
        <v>122</v>
      </c>
      <c r="N1" s="8" t="s">
        <v>123</v>
      </c>
      <c r="O1" s="8" t="s">
        <v>124</v>
      </c>
      <c r="P1" s="8" t="s">
        <v>125</v>
      </c>
    </row>
    <row r="2" spans="1:16" ht="180" hidden="1" customHeight="1" x14ac:dyDescent="0.35">
      <c r="A2" s="12">
        <v>7876</v>
      </c>
      <c r="B2" s="12" t="s">
        <v>93</v>
      </c>
      <c r="C2" s="12" t="s">
        <v>94</v>
      </c>
      <c r="D2" s="12" t="s">
        <v>95</v>
      </c>
      <c r="E2" s="12" t="s">
        <v>126</v>
      </c>
      <c r="F2" s="12" t="s">
        <v>39</v>
      </c>
      <c r="G2" s="12" t="s">
        <v>40</v>
      </c>
      <c r="H2" s="12">
        <v>12</v>
      </c>
      <c r="I2" s="13">
        <v>45912.645081018498</v>
      </c>
      <c r="J2" s="12" t="s">
        <v>127</v>
      </c>
      <c r="K2" s="12" t="s">
        <v>128</v>
      </c>
      <c r="L2" s="14">
        <v>1</v>
      </c>
      <c r="M2" s="14">
        <f t="shared" ref="M2:M65" si="0">IF(K2="Sem progresso",0,IF(OR(K2="Não avaliado",K2="Não se aplica",K2=""),"",L2))</f>
        <v>1</v>
      </c>
      <c r="N2" s="7" t="s">
        <v>129</v>
      </c>
      <c r="O2" s="12"/>
      <c r="P2" s="12" t="s">
        <v>130</v>
      </c>
    </row>
    <row r="3" spans="1:16" ht="113.25" hidden="1" customHeight="1" x14ac:dyDescent="0.35">
      <c r="A3" s="12">
        <v>7881</v>
      </c>
      <c r="B3" s="12" t="s">
        <v>93</v>
      </c>
      <c r="C3" s="12" t="s">
        <v>94</v>
      </c>
      <c r="D3" s="12" t="s">
        <v>95</v>
      </c>
      <c r="E3" s="12" t="s">
        <v>131</v>
      </c>
      <c r="F3" s="12" t="s">
        <v>39</v>
      </c>
      <c r="G3" s="12" t="s">
        <v>40</v>
      </c>
      <c r="H3" s="12">
        <v>12</v>
      </c>
      <c r="I3" s="13">
        <v>45912.645081018498</v>
      </c>
      <c r="J3" s="12" t="s">
        <v>127</v>
      </c>
      <c r="K3" s="12" t="s">
        <v>132</v>
      </c>
      <c r="L3" s="14">
        <v>0.66600000000000004</v>
      </c>
      <c r="M3" s="14">
        <f t="shared" si="0"/>
        <v>0.66600000000000004</v>
      </c>
      <c r="N3" s="7" t="s">
        <v>133</v>
      </c>
      <c r="O3" s="12"/>
      <c r="P3" s="12" t="s">
        <v>130</v>
      </c>
    </row>
    <row r="4" spans="1:16" ht="68.25" hidden="1" customHeight="1" x14ac:dyDescent="0.35">
      <c r="A4" s="12">
        <v>7884</v>
      </c>
      <c r="B4" s="12" t="s">
        <v>93</v>
      </c>
      <c r="C4" s="12" t="s">
        <v>94</v>
      </c>
      <c r="D4" s="12" t="s">
        <v>95</v>
      </c>
      <c r="E4" s="12" t="s">
        <v>134</v>
      </c>
      <c r="F4" s="12" t="s">
        <v>39</v>
      </c>
      <c r="G4" s="12" t="s">
        <v>40</v>
      </c>
      <c r="H4" s="12">
        <v>12</v>
      </c>
      <c r="I4" s="13">
        <v>45912.645081018498</v>
      </c>
      <c r="J4" s="12" t="s">
        <v>127</v>
      </c>
      <c r="K4" s="12" t="s">
        <v>135</v>
      </c>
      <c r="L4" s="14"/>
      <c r="M4" s="14">
        <f t="shared" si="0"/>
        <v>0</v>
      </c>
      <c r="N4" s="7" t="s">
        <v>136</v>
      </c>
      <c r="O4" s="12"/>
      <c r="P4" s="12" t="s">
        <v>130</v>
      </c>
    </row>
    <row r="5" spans="1:16" ht="57" hidden="1" customHeight="1" x14ac:dyDescent="0.35">
      <c r="A5" s="12">
        <v>7967</v>
      </c>
      <c r="B5" s="12" t="s">
        <v>93</v>
      </c>
      <c r="C5" s="12" t="s">
        <v>94</v>
      </c>
      <c r="D5" s="12" t="s">
        <v>95</v>
      </c>
      <c r="E5" s="12" t="s">
        <v>137</v>
      </c>
      <c r="F5" s="12" t="s">
        <v>39</v>
      </c>
      <c r="G5" s="12" t="s">
        <v>40</v>
      </c>
      <c r="H5" s="12">
        <v>12</v>
      </c>
      <c r="I5" s="13">
        <v>45912.645081018498</v>
      </c>
      <c r="J5" s="12" t="s">
        <v>127</v>
      </c>
      <c r="K5" s="12" t="s">
        <v>132</v>
      </c>
      <c r="L5" s="14">
        <v>0.66600000000000004</v>
      </c>
      <c r="M5" s="14">
        <f t="shared" si="0"/>
        <v>0.66600000000000004</v>
      </c>
      <c r="N5" s="7" t="s">
        <v>138</v>
      </c>
      <c r="O5" s="12"/>
      <c r="P5" s="12"/>
    </row>
    <row r="6" spans="1:16" ht="191.25" hidden="1" customHeight="1" x14ac:dyDescent="0.35">
      <c r="A6" s="12">
        <v>7968</v>
      </c>
      <c r="B6" s="12" t="s">
        <v>93</v>
      </c>
      <c r="C6" s="12" t="s">
        <v>96</v>
      </c>
      <c r="D6" s="12" t="s">
        <v>97</v>
      </c>
      <c r="E6" s="12" t="s">
        <v>126</v>
      </c>
      <c r="F6" s="12" t="s">
        <v>39</v>
      </c>
      <c r="G6" s="12" t="s">
        <v>40</v>
      </c>
      <c r="H6" s="12">
        <v>12</v>
      </c>
      <c r="I6" s="13">
        <v>45912.645081018498</v>
      </c>
      <c r="J6" s="12" t="s">
        <v>127</v>
      </c>
      <c r="K6" s="12" t="s">
        <v>132</v>
      </c>
      <c r="L6" s="14">
        <v>0.66600000000000004</v>
      </c>
      <c r="M6" s="14">
        <f t="shared" si="0"/>
        <v>0.66600000000000004</v>
      </c>
      <c r="N6" s="7" t="s">
        <v>139</v>
      </c>
      <c r="O6" s="12"/>
      <c r="P6" s="12" t="s">
        <v>130</v>
      </c>
    </row>
    <row r="7" spans="1:16" ht="157.5" hidden="1" customHeight="1" x14ac:dyDescent="0.35">
      <c r="A7" s="12">
        <v>7970</v>
      </c>
      <c r="B7" s="12" t="s">
        <v>93</v>
      </c>
      <c r="C7" s="12" t="s">
        <v>96</v>
      </c>
      <c r="D7" s="12" t="s">
        <v>97</v>
      </c>
      <c r="E7" s="12" t="s">
        <v>131</v>
      </c>
      <c r="F7" s="12" t="s">
        <v>39</v>
      </c>
      <c r="G7" s="12" t="s">
        <v>40</v>
      </c>
      <c r="H7" s="12">
        <v>12</v>
      </c>
      <c r="I7" s="13">
        <v>45912.645081018498</v>
      </c>
      <c r="J7" s="12" t="s">
        <v>127</v>
      </c>
      <c r="K7" s="12" t="s">
        <v>128</v>
      </c>
      <c r="L7" s="14">
        <v>1</v>
      </c>
      <c r="M7" s="14">
        <f t="shared" si="0"/>
        <v>1</v>
      </c>
      <c r="N7" s="7" t="s">
        <v>140</v>
      </c>
      <c r="O7" s="12"/>
      <c r="P7" s="12" t="s">
        <v>130</v>
      </c>
    </row>
    <row r="8" spans="1:16" ht="135.75" hidden="1" customHeight="1" x14ac:dyDescent="0.35">
      <c r="A8" s="12">
        <v>7987</v>
      </c>
      <c r="B8" s="12" t="s">
        <v>93</v>
      </c>
      <c r="C8" s="12" t="s">
        <v>96</v>
      </c>
      <c r="D8" s="12" t="s">
        <v>97</v>
      </c>
      <c r="E8" s="12" t="s">
        <v>134</v>
      </c>
      <c r="F8" s="12" t="s">
        <v>39</v>
      </c>
      <c r="G8" s="12" t="s">
        <v>40</v>
      </c>
      <c r="H8" s="12">
        <v>12</v>
      </c>
      <c r="I8" s="13">
        <v>45912.645081018498</v>
      </c>
      <c r="J8" s="12" t="s">
        <v>127</v>
      </c>
      <c r="K8" s="12" t="s">
        <v>132</v>
      </c>
      <c r="L8" s="14">
        <v>0.66600000000000004</v>
      </c>
      <c r="M8" s="14">
        <f t="shared" si="0"/>
        <v>0.66600000000000004</v>
      </c>
      <c r="N8" s="7" t="s">
        <v>141</v>
      </c>
      <c r="O8" s="12"/>
      <c r="P8" s="12" t="s">
        <v>130</v>
      </c>
    </row>
    <row r="9" spans="1:16" ht="225" hidden="1" customHeight="1" x14ac:dyDescent="0.35">
      <c r="A9" s="12">
        <v>7562</v>
      </c>
      <c r="B9" s="12" t="s">
        <v>93</v>
      </c>
      <c r="C9" s="12" t="s">
        <v>98</v>
      </c>
      <c r="D9" s="12" t="s">
        <v>99</v>
      </c>
      <c r="E9" s="12" t="s">
        <v>126</v>
      </c>
      <c r="F9" s="12" t="s">
        <v>39</v>
      </c>
      <c r="G9" s="12" t="s">
        <v>40</v>
      </c>
      <c r="H9" s="12">
        <v>12</v>
      </c>
      <c r="I9" s="13">
        <v>45912.645081018498</v>
      </c>
      <c r="J9" s="12" t="s">
        <v>127</v>
      </c>
      <c r="K9" s="12" t="s">
        <v>142</v>
      </c>
      <c r="L9" s="14">
        <v>0.33300000000000002</v>
      </c>
      <c r="M9" s="14">
        <f t="shared" si="0"/>
        <v>0.33300000000000002</v>
      </c>
      <c r="N9" s="7" t="s">
        <v>143</v>
      </c>
      <c r="O9" s="12"/>
      <c r="P9" s="12" t="s">
        <v>130</v>
      </c>
    </row>
    <row r="10" spans="1:16" ht="57" hidden="1" customHeight="1" x14ac:dyDescent="0.35">
      <c r="A10" s="12">
        <v>7583</v>
      </c>
      <c r="B10" s="12" t="s">
        <v>93</v>
      </c>
      <c r="C10" s="12" t="s">
        <v>98</v>
      </c>
      <c r="D10" s="12" t="s">
        <v>99</v>
      </c>
      <c r="E10" s="12" t="s">
        <v>131</v>
      </c>
      <c r="F10" s="12" t="s">
        <v>39</v>
      </c>
      <c r="G10" s="12" t="s">
        <v>40</v>
      </c>
      <c r="H10" s="12">
        <v>12</v>
      </c>
      <c r="I10" s="13">
        <v>45912.645081018498</v>
      </c>
      <c r="J10" s="12" t="s">
        <v>127</v>
      </c>
      <c r="K10" s="12" t="s">
        <v>135</v>
      </c>
      <c r="L10" s="14"/>
      <c r="M10" s="14">
        <f t="shared" si="0"/>
        <v>0</v>
      </c>
      <c r="N10" s="7" t="s">
        <v>144</v>
      </c>
      <c r="O10" s="12"/>
      <c r="P10" s="12" t="s">
        <v>130</v>
      </c>
    </row>
    <row r="11" spans="1:16" ht="258.75" hidden="1" customHeight="1" x14ac:dyDescent="0.35">
      <c r="A11" s="12">
        <v>9925</v>
      </c>
      <c r="B11" s="12" t="s">
        <v>93</v>
      </c>
      <c r="C11" s="12" t="s">
        <v>94</v>
      </c>
      <c r="D11" s="12" t="s">
        <v>95</v>
      </c>
      <c r="E11" s="12" t="s">
        <v>126</v>
      </c>
      <c r="F11" s="12" t="s">
        <v>39</v>
      </c>
      <c r="G11" s="12" t="s">
        <v>41</v>
      </c>
      <c r="H11" s="12">
        <v>27</v>
      </c>
      <c r="I11" s="13">
        <v>45951.7999305556</v>
      </c>
      <c r="J11" s="12" t="s">
        <v>127</v>
      </c>
      <c r="K11" s="12" t="s">
        <v>128</v>
      </c>
      <c r="L11" s="14">
        <v>1</v>
      </c>
      <c r="M11" s="14">
        <f t="shared" si="0"/>
        <v>1</v>
      </c>
      <c r="N11" s="7" t="s">
        <v>145</v>
      </c>
      <c r="O11" s="12"/>
      <c r="P11" s="12" t="s">
        <v>130</v>
      </c>
    </row>
    <row r="12" spans="1:16" ht="68.25" hidden="1" customHeight="1" x14ac:dyDescent="0.35">
      <c r="A12" s="12">
        <v>9961</v>
      </c>
      <c r="B12" s="12" t="s">
        <v>93</v>
      </c>
      <c r="C12" s="12" t="s">
        <v>94</v>
      </c>
      <c r="D12" s="12" t="s">
        <v>95</v>
      </c>
      <c r="E12" s="12" t="s">
        <v>131</v>
      </c>
      <c r="F12" s="12" t="s">
        <v>39</v>
      </c>
      <c r="G12" s="12" t="s">
        <v>41</v>
      </c>
      <c r="H12" s="12">
        <v>27</v>
      </c>
      <c r="I12" s="13">
        <v>45951.7999305556</v>
      </c>
      <c r="J12" s="12" t="s">
        <v>127</v>
      </c>
      <c r="K12" s="12" t="s">
        <v>135</v>
      </c>
      <c r="L12" s="14"/>
      <c r="M12" s="14">
        <f t="shared" si="0"/>
        <v>0</v>
      </c>
      <c r="N12" s="7" t="s">
        <v>146</v>
      </c>
      <c r="O12" s="12"/>
      <c r="P12" s="12" t="s">
        <v>130</v>
      </c>
    </row>
    <row r="13" spans="1:16" ht="247.5" hidden="1" customHeight="1" x14ac:dyDescent="0.35">
      <c r="A13" s="12">
        <v>9926</v>
      </c>
      <c r="B13" s="12" t="s">
        <v>93</v>
      </c>
      <c r="C13" s="12" t="s">
        <v>94</v>
      </c>
      <c r="D13" s="12" t="s">
        <v>95</v>
      </c>
      <c r="E13" s="12" t="s">
        <v>134</v>
      </c>
      <c r="F13" s="12" t="s">
        <v>39</v>
      </c>
      <c r="G13" s="12" t="s">
        <v>41</v>
      </c>
      <c r="H13" s="12">
        <v>27</v>
      </c>
      <c r="I13" s="13">
        <v>45951.7999305556</v>
      </c>
      <c r="J13" s="12" t="s">
        <v>127</v>
      </c>
      <c r="K13" s="12" t="s">
        <v>132</v>
      </c>
      <c r="L13" s="14">
        <v>0.66600000000000004</v>
      </c>
      <c r="M13" s="14">
        <f t="shared" si="0"/>
        <v>0.66600000000000004</v>
      </c>
      <c r="N13" s="7" t="s">
        <v>147</v>
      </c>
      <c r="O13" s="12"/>
      <c r="P13" s="12" t="s">
        <v>130</v>
      </c>
    </row>
    <row r="14" spans="1:16" ht="57" hidden="1" customHeight="1" x14ac:dyDescent="0.35">
      <c r="A14" s="12">
        <v>9962</v>
      </c>
      <c r="B14" s="12" t="s">
        <v>93</v>
      </c>
      <c r="C14" s="12" t="s">
        <v>94</v>
      </c>
      <c r="D14" s="12" t="s">
        <v>95</v>
      </c>
      <c r="E14" s="12" t="s">
        <v>137</v>
      </c>
      <c r="F14" s="12" t="s">
        <v>39</v>
      </c>
      <c r="G14" s="12" t="s">
        <v>41</v>
      </c>
      <c r="H14" s="12">
        <v>27</v>
      </c>
      <c r="I14" s="13">
        <v>45951.7999305556</v>
      </c>
      <c r="J14" s="12" t="s">
        <v>127</v>
      </c>
      <c r="K14" s="12" t="s">
        <v>135</v>
      </c>
      <c r="L14" s="14"/>
      <c r="M14" s="14">
        <f t="shared" si="0"/>
        <v>0</v>
      </c>
      <c r="N14" s="7" t="s">
        <v>148</v>
      </c>
      <c r="O14" s="12"/>
      <c r="P14" s="12" t="s">
        <v>130</v>
      </c>
    </row>
    <row r="15" spans="1:16" ht="168.75" hidden="1" customHeight="1" x14ac:dyDescent="0.35">
      <c r="A15" s="12">
        <v>9927</v>
      </c>
      <c r="B15" s="12" t="s">
        <v>93</v>
      </c>
      <c r="C15" s="12" t="s">
        <v>96</v>
      </c>
      <c r="D15" s="12" t="s">
        <v>97</v>
      </c>
      <c r="E15" s="12" t="s">
        <v>126</v>
      </c>
      <c r="F15" s="12" t="s">
        <v>39</v>
      </c>
      <c r="G15" s="12" t="s">
        <v>41</v>
      </c>
      <c r="H15" s="12">
        <v>27</v>
      </c>
      <c r="I15" s="13">
        <v>45951.7999305556</v>
      </c>
      <c r="J15" s="12" t="s">
        <v>127</v>
      </c>
      <c r="K15" s="12" t="s">
        <v>142</v>
      </c>
      <c r="L15" s="14">
        <v>0.33300000000000002</v>
      </c>
      <c r="M15" s="14">
        <f t="shared" si="0"/>
        <v>0.33300000000000002</v>
      </c>
      <c r="N15" s="7" t="s">
        <v>149</v>
      </c>
      <c r="O15" s="12"/>
      <c r="P15" s="12" t="s">
        <v>130</v>
      </c>
    </row>
    <row r="16" spans="1:16" ht="79.5" hidden="1" customHeight="1" x14ac:dyDescent="0.35">
      <c r="A16" s="12">
        <v>9963</v>
      </c>
      <c r="B16" s="12" t="s">
        <v>93</v>
      </c>
      <c r="C16" s="12" t="s">
        <v>96</v>
      </c>
      <c r="D16" s="12" t="s">
        <v>97</v>
      </c>
      <c r="E16" s="12" t="s">
        <v>131</v>
      </c>
      <c r="F16" s="12" t="s">
        <v>39</v>
      </c>
      <c r="G16" s="12" t="s">
        <v>41</v>
      </c>
      <c r="H16" s="12">
        <v>27</v>
      </c>
      <c r="I16" s="13">
        <v>45951.7999305556</v>
      </c>
      <c r="J16" s="12" t="s">
        <v>127</v>
      </c>
      <c r="K16" s="12" t="s">
        <v>135</v>
      </c>
      <c r="L16" s="14"/>
      <c r="M16" s="14">
        <f t="shared" si="0"/>
        <v>0</v>
      </c>
      <c r="N16" s="7" t="s">
        <v>150</v>
      </c>
      <c r="O16" s="12"/>
      <c r="P16" s="12" t="s">
        <v>130</v>
      </c>
    </row>
    <row r="17" spans="1:16" ht="90.75" hidden="1" customHeight="1" x14ac:dyDescent="0.35">
      <c r="A17" s="12">
        <v>9964</v>
      </c>
      <c r="B17" s="12" t="s">
        <v>93</v>
      </c>
      <c r="C17" s="12" t="s">
        <v>96</v>
      </c>
      <c r="D17" s="12" t="s">
        <v>97</v>
      </c>
      <c r="E17" s="12" t="s">
        <v>134</v>
      </c>
      <c r="F17" s="12" t="s">
        <v>39</v>
      </c>
      <c r="G17" s="12" t="s">
        <v>41</v>
      </c>
      <c r="H17" s="12">
        <v>27</v>
      </c>
      <c r="I17" s="13">
        <v>45951.7999305556</v>
      </c>
      <c r="J17" s="12" t="s">
        <v>127</v>
      </c>
      <c r="K17" s="12" t="s">
        <v>135</v>
      </c>
      <c r="L17" s="14"/>
      <c r="M17" s="14">
        <f t="shared" si="0"/>
        <v>0</v>
      </c>
      <c r="N17" s="7" t="s">
        <v>151</v>
      </c>
      <c r="O17" s="12"/>
      <c r="P17" s="12" t="s">
        <v>130</v>
      </c>
    </row>
    <row r="18" spans="1:16" ht="135.75" hidden="1" customHeight="1" x14ac:dyDescent="0.35">
      <c r="A18" s="12">
        <v>9928</v>
      </c>
      <c r="B18" s="12" t="s">
        <v>93</v>
      </c>
      <c r="C18" s="12" t="s">
        <v>98</v>
      </c>
      <c r="D18" s="12" t="s">
        <v>99</v>
      </c>
      <c r="E18" s="12" t="s">
        <v>126</v>
      </c>
      <c r="F18" s="12" t="s">
        <v>39</v>
      </c>
      <c r="G18" s="12" t="s">
        <v>41</v>
      </c>
      <c r="H18" s="12">
        <v>27</v>
      </c>
      <c r="I18" s="13">
        <v>45951.7999305556</v>
      </c>
      <c r="J18" s="12" t="s">
        <v>127</v>
      </c>
      <c r="K18" s="12" t="s">
        <v>128</v>
      </c>
      <c r="L18" s="14">
        <v>1</v>
      </c>
      <c r="M18" s="14">
        <f t="shared" si="0"/>
        <v>1</v>
      </c>
      <c r="N18" s="7" t="s">
        <v>152</v>
      </c>
      <c r="O18" s="12"/>
      <c r="P18" s="12" t="s">
        <v>130</v>
      </c>
    </row>
    <row r="19" spans="1:16" ht="57" hidden="1" customHeight="1" x14ac:dyDescent="0.35">
      <c r="A19" s="12">
        <v>9929</v>
      </c>
      <c r="B19" s="12" t="s">
        <v>93</v>
      </c>
      <c r="C19" s="12" t="s">
        <v>98</v>
      </c>
      <c r="D19" s="12" t="s">
        <v>99</v>
      </c>
      <c r="E19" s="12" t="s">
        <v>131</v>
      </c>
      <c r="F19" s="12" t="s">
        <v>39</v>
      </c>
      <c r="G19" s="12" t="s">
        <v>41</v>
      </c>
      <c r="H19" s="12">
        <v>27</v>
      </c>
      <c r="I19" s="13">
        <v>45951.7999305556</v>
      </c>
      <c r="J19" s="12" t="s">
        <v>127</v>
      </c>
      <c r="K19" s="12" t="s">
        <v>135</v>
      </c>
      <c r="L19" s="14"/>
      <c r="M19" s="14">
        <f t="shared" si="0"/>
        <v>0</v>
      </c>
      <c r="N19" s="7" t="s">
        <v>153</v>
      </c>
      <c r="O19" s="12"/>
      <c r="P19" s="12" t="s">
        <v>130</v>
      </c>
    </row>
    <row r="20" spans="1:16" ht="57" hidden="1" customHeight="1" x14ac:dyDescent="0.35">
      <c r="A20" s="12">
        <v>6665</v>
      </c>
      <c r="B20" s="12" t="s">
        <v>93</v>
      </c>
      <c r="C20" s="12" t="s">
        <v>94</v>
      </c>
      <c r="D20" s="12" t="s">
        <v>95</v>
      </c>
      <c r="E20" s="12" t="s">
        <v>126</v>
      </c>
      <c r="F20" s="12" t="s">
        <v>39</v>
      </c>
      <c r="G20" s="12" t="s">
        <v>42</v>
      </c>
      <c r="H20" s="12">
        <v>16</v>
      </c>
      <c r="I20" s="13">
        <v>45938.683287036998</v>
      </c>
      <c r="J20" s="12" t="s">
        <v>127</v>
      </c>
      <c r="K20" s="12" t="s">
        <v>132</v>
      </c>
      <c r="L20" s="14">
        <v>0.66600000000000004</v>
      </c>
      <c r="M20" s="14">
        <f t="shared" si="0"/>
        <v>0.66600000000000004</v>
      </c>
      <c r="N20" s="7" t="s">
        <v>154</v>
      </c>
      <c r="O20" s="12"/>
      <c r="P20" s="12" t="s">
        <v>130</v>
      </c>
    </row>
    <row r="21" spans="1:16" ht="68.25" hidden="1" customHeight="1" x14ac:dyDescent="0.35">
      <c r="A21" s="12">
        <v>6666</v>
      </c>
      <c r="B21" s="12" t="s">
        <v>93</v>
      </c>
      <c r="C21" s="12" t="s">
        <v>94</v>
      </c>
      <c r="D21" s="12" t="s">
        <v>95</v>
      </c>
      <c r="E21" s="12" t="s">
        <v>131</v>
      </c>
      <c r="F21" s="12" t="s">
        <v>39</v>
      </c>
      <c r="G21" s="12" t="s">
        <v>42</v>
      </c>
      <c r="H21" s="12">
        <v>16</v>
      </c>
      <c r="I21" s="13">
        <v>45938.683287036998</v>
      </c>
      <c r="J21" s="12" t="s">
        <v>127</v>
      </c>
      <c r="K21" s="12" t="s">
        <v>135</v>
      </c>
      <c r="L21" s="14"/>
      <c r="M21" s="14">
        <f t="shared" si="0"/>
        <v>0</v>
      </c>
      <c r="N21" s="7" t="s">
        <v>155</v>
      </c>
      <c r="O21" s="12"/>
      <c r="P21" s="12" t="s">
        <v>130</v>
      </c>
    </row>
    <row r="22" spans="1:16" ht="68.25" hidden="1" customHeight="1" x14ac:dyDescent="0.35">
      <c r="A22" s="12">
        <v>6668</v>
      </c>
      <c r="B22" s="12" t="s">
        <v>93</v>
      </c>
      <c r="C22" s="12" t="s">
        <v>94</v>
      </c>
      <c r="D22" s="12" t="s">
        <v>95</v>
      </c>
      <c r="E22" s="12" t="s">
        <v>134</v>
      </c>
      <c r="F22" s="12" t="s">
        <v>39</v>
      </c>
      <c r="G22" s="12" t="s">
        <v>42</v>
      </c>
      <c r="H22" s="12">
        <v>16</v>
      </c>
      <c r="I22" s="13">
        <v>45938.683287036998</v>
      </c>
      <c r="J22" s="12" t="s">
        <v>127</v>
      </c>
      <c r="K22" s="12" t="s">
        <v>142</v>
      </c>
      <c r="L22" s="14">
        <v>0.33300000000000002</v>
      </c>
      <c r="M22" s="14">
        <f t="shared" si="0"/>
        <v>0.33300000000000002</v>
      </c>
      <c r="N22" s="7" t="s">
        <v>156</v>
      </c>
      <c r="O22" s="12"/>
      <c r="P22" s="12" t="s">
        <v>130</v>
      </c>
    </row>
    <row r="23" spans="1:16" ht="45.75" hidden="1" customHeight="1" x14ac:dyDescent="0.35">
      <c r="A23" s="12">
        <v>6687</v>
      </c>
      <c r="B23" s="12" t="s">
        <v>93</v>
      </c>
      <c r="C23" s="12" t="s">
        <v>94</v>
      </c>
      <c r="D23" s="12" t="s">
        <v>95</v>
      </c>
      <c r="E23" s="12" t="s">
        <v>137</v>
      </c>
      <c r="F23" s="12" t="s">
        <v>39</v>
      </c>
      <c r="G23" s="12" t="s">
        <v>42</v>
      </c>
      <c r="H23" s="12">
        <v>16</v>
      </c>
      <c r="I23" s="13">
        <v>45938.683287036998</v>
      </c>
      <c r="J23" s="12" t="s">
        <v>127</v>
      </c>
      <c r="K23" s="12" t="s">
        <v>142</v>
      </c>
      <c r="L23" s="14">
        <v>0.33300000000000002</v>
      </c>
      <c r="M23" s="14">
        <f t="shared" si="0"/>
        <v>0.33300000000000002</v>
      </c>
      <c r="N23" s="7" t="s">
        <v>157</v>
      </c>
      <c r="O23" s="12"/>
      <c r="P23" s="12" t="s">
        <v>130</v>
      </c>
    </row>
    <row r="24" spans="1:16" ht="79.5" hidden="1" customHeight="1" x14ac:dyDescent="0.35">
      <c r="A24" s="12">
        <v>6689</v>
      </c>
      <c r="B24" s="12" t="s">
        <v>93</v>
      </c>
      <c r="C24" s="12" t="s">
        <v>96</v>
      </c>
      <c r="D24" s="12" t="s">
        <v>97</v>
      </c>
      <c r="E24" s="12" t="s">
        <v>126</v>
      </c>
      <c r="F24" s="12" t="s">
        <v>39</v>
      </c>
      <c r="G24" s="12" t="s">
        <v>42</v>
      </c>
      <c r="H24" s="12">
        <v>16</v>
      </c>
      <c r="I24" s="13">
        <v>45938.683287036998</v>
      </c>
      <c r="J24" s="12" t="s">
        <v>127</v>
      </c>
      <c r="K24" s="12" t="s">
        <v>132</v>
      </c>
      <c r="L24" s="14">
        <v>0.66600000000000004</v>
      </c>
      <c r="M24" s="14">
        <f t="shared" si="0"/>
        <v>0.66600000000000004</v>
      </c>
      <c r="N24" s="7" t="s">
        <v>158</v>
      </c>
      <c r="O24" s="12"/>
      <c r="P24" s="12" t="s">
        <v>130</v>
      </c>
    </row>
    <row r="25" spans="1:16" ht="57" hidden="1" customHeight="1" x14ac:dyDescent="0.35">
      <c r="A25" s="12">
        <v>6692</v>
      </c>
      <c r="B25" s="12" t="s">
        <v>93</v>
      </c>
      <c r="C25" s="12" t="s">
        <v>96</v>
      </c>
      <c r="D25" s="12" t="s">
        <v>97</v>
      </c>
      <c r="E25" s="12" t="s">
        <v>131</v>
      </c>
      <c r="F25" s="12" t="s">
        <v>39</v>
      </c>
      <c r="G25" s="12" t="s">
        <v>42</v>
      </c>
      <c r="H25" s="12">
        <v>16</v>
      </c>
      <c r="I25" s="13">
        <v>45938.683287036998</v>
      </c>
      <c r="J25" s="12" t="s">
        <v>127</v>
      </c>
      <c r="K25" s="12" t="s">
        <v>132</v>
      </c>
      <c r="L25" s="14">
        <v>0.66600000000000004</v>
      </c>
      <c r="M25" s="14">
        <f t="shared" si="0"/>
        <v>0.66600000000000004</v>
      </c>
      <c r="N25" s="7" t="s">
        <v>159</v>
      </c>
      <c r="O25" s="12"/>
      <c r="P25" s="12" t="s">
        <v>130</v>
      </c>
    </row>
    <row r="26" spans="1:16" ht="45.75" hidden="1" customHeight="1" x14ac:dyDescent="0.35">
      <c r="A26" s="12">
        <v>6695</v>
      </c>
      <c r="B26" s="12" t="s">
        <v>93</v>
      </c>
      <c r="C26" s="12" t="s">
        <v>96</v>
      </c>
      <c r="D26" s="12" t="s">
        <v>97</v>
      </c>
      <c r="E26" s="12" t="s">
        <v>134</v>
      </c>
      <c r="F26" s="12" t="s">
        <v>39</v>
      </c>
      <c r="G26" s="12" t="s">
        <v>42</v>
      </c>
      <c r="H26" s="12">
        <v>16</v>
      </c>
      <c r="I26" s="13">
        <v>45938.683287036998</v>
      </c>
      <c r="J26" s="12" t="s">
        <v>127</v>
      </c>
      <c r="K26" s="12" t="s">
        <v>135</v>
      </c>
      <c r="L26" s="14"/>
      <c r="M26" s="14">
        <f t="shared" si="0"/>
        <v>0</v>
      </c>
      <c r="N26" s="7" t="s">
        <v>160</v>
      </c>
      <c r="O26" s="12"/>
      <c r="P26" s="12" t="s">
        <v>130</v>
      </c>
    </row>
    <row r="27" spans="1:16" ht="113.25" hidden="1" customHeight="1" x14ac:dyDescent="0.35">
      <c r="A27" s="12">
        <v>6696</v>
      </c>
      <c r="B27" s="12" t="s">
        <v>93</v>
      </c>
      <c r="C27" s="12" t="s">
        <v>98</v>
      </c>
      <c r="D27" s="12" t="s">
        <v>99</v>
      </c>
      <c r="E27" s="12" t="s">
        <v>126</v>
      </c>
      <c r="F27" s="12" t="s">
        <v>39</v>
      </c>
      <c r="G27" s="12" t="s">
        <v>42</v>
      </c>
      <c r="H27" s="12">
        <v>16</v>
      </c>
      <c r="I27" s="13">
        <v>45938.683287036998</v>
      </c>
      <c r="J27" s="12" t="s">
        <v>127</v>
      </c>
      <c r="K27" s="12" t="s">
        <v>142</v>
      </c>
      <c r="L27" s="14">
        <v>0.33300000000000002</v>
      </c>
      <c r="M27" s="14">
        <f t="shared" si="0"/>
        <v>0.33300000000000002</v>
      </c>
      <c r="N27" s="7" t="s">
        <v>161</v>
      </c>
      <c r="O27" s="12"/>
      <c r="P27" s="12" t="s">
        <v>130</v>
      </c>
    </row>
    <row r="28" spans="1:16" ht="57" hidden="1" customHeight="1" x14ac:dyDescent="0.35">
      <c r="A28" s="12">
        <v>6698</v>
      </c>
      <c r="B28" s="12" t="s">
        <v>93</v>
      </c>
      <c r="C28" s="12" t="s">
        <v>98</v>
      </c>
      <c r="D28" s="12" t="s">
        <v>99</v>
      </c>
      <c r="E28" s="12" t="s">
        <v>131</v>
      </c>
      <c r="F28" s="12" t="s">
        <v>39</v>
      </c>
      <c r="G28" s="12" t="s">
        <v>42</v>
      </c>
      <c r="H28" s="12">
        <v>16</v>
      </c>
      <c r="I28" s="13">
        <v>45938.683287036998</v>
      </c>
      <c r="J28" s="12" t="s">
        <v>127</v>
      </c>
      <c r="K28" s="12" t="s">
        <v>135</v>
      </c>
      <c r="L28" s="14"/>
      <c r="M28" s="14">
        <f t="shared" si="0"/>
        <v>0</v>
      </c>
      <c r="N28" s="7" t="s">
        <v>162</v>
      </c>
      <c r="O28" s="12"/>
      <c r="P28" s="12" t="s">
        <v>130</v>
      </c>
    </row>
    <row r="29" spans="1:16" ht="34.5" hidden="1" customHeight="1" x14ac:dyDescent="0.35">
      <c r="A29" s="12">
        <v>1887</v>
      </c>
      <c r="B29" s="12" t="s">
        <v>93</v>
      </c>
      <c r="C29" s="12" t="s">
        <v>94</v>
      </c>
      <c r="D29" s="12" t="s">
        <v>95</v>
      </c>
      <c r="E29" s="12" t="s">
        <v>126</v>
      </c>
      <c r="F29" s="12" t="s">
        <v>39</v>
      </c>
      <c r="G29" s="12" t="s">
        <v>43</v>
      </c>
      <c r="H29" s="12">
        <v>13</v>
      </c>
      <c r="I29" s="13">
        <v>45915.675185185202</v>
      </c>
      <c r="J29" s="12" t="s">
        <v>127</v>
      </c>
      <c r="K29" s="12" t="s">
        <v>135</v>
      </c>
      <c r="L29" s="14"/>
      <c r="M29" s="14">
        <f t="shared" si="0"/>
        <v>0</v>
      </c>
      <c r="N29" s="7" t="s">
        <v>163</v>
      </c>
      <c r="O29" s="12"/>
      <c r="P29" s="12" t="s">
        <v>130</v>
      </c>
    </row>
    <row r="30" spans="1:16" ht="57" hidden="1" customHeight="1" x14ac:dyDescent="0.35">
      <c r="A30" s="12">
        <v>1893</v>
      </c>
      <c r="B30" s="12" t="s">
        <v>93</v>
      </c>
      <c r="C30" s="12" t="s">
        <v>94</v>
      </c>
      <c r="D30" s="12" t="s">
        <v>95</v>
      </c>
      <c r="E30" s="12" t="s">
        <v>131</v>
      </c>
      <c r="F30" s="12" t="s">
        <v>39</v>
      </c>
      <c r="G30" s="12" t="s">
        <v>43</v>
      </c>
      <c r="H30" s="12">
        <v>13</v>
      </c>
      <c r="I30" s="13">
        <v>45915.675185185202</v>
      </c>
      <c r="J30" s="12" t="s">
        <v>127</v>
      </c>
      <c r="K30" s="12" t="s">
        <v>142</v>
      </c>
      <c r="L30" s="14">
        <v>0.33300000000000002</v>
      </c>
      <c r="M30" s="14">
        <f t="shared" si="0"/>
        <v>0.33300000000000002</v>
      </c>
      <c r="N30" s="7" t="s">
        <v>164</v>
      </c>
      <c r="O30" s="12"/>
      <c r="P30" s="12" t="s">
        <v>130</v>
      </c>
    </row>
    <row r="31" spans="1:16" ht="15" hidden="1" customHeight="1" x14ac:dyDescent="0.35">
      <c r="A31" s="12">
        <v>9366</v>
      </c>
      <c r="B31" s="12" t="s">
        <v>93</v>
      </c>
      <c r="C31" s="12" t="s">
        <v>94</v>
      </c>
      <c r="D31" s="12" t="s">
        <v>95</v>
      </c>
      <c r="E31" s="12" t="s">
        <v>134</v>
      </c>
      <c r="F31" s="12" t="s">
        <v>39</v>
      </c>
      <c r="G31" s="12" t="s">
        <v>43</v>
      </c>
      <c r="H31" s="12">
        <v>13</v>
      </c>
      <c r="I31" s="13">
        <v>45915.675185185202</v>
      </c>
      <c r="J31" s="12" t="s">
        <v>127</v>
      </c>
      <c r="K31" s="12" t="s">
        <v>142</v>
      </c>
      <c r="L31" s="14">
        <v>0.33300000000000002</v>
      </c>
      <c r="M31" s="14">
        <f t="shared" si="0"/>
        <v>0.33300000000000002</v>
      </c>
      <c r="N31" s="7" t="s">
        <v>165</v>
      </c>
      <c r="O31" s="12"/>
      <c r="P31" s="12" t="s">
        <v>130</v>
      </c>
    </row>
    <row r="32" spans="1:16" ht="23.25" hidden="1" customHeight="1" x14ac:dyDescent="0.35">
      <c r="A32" s="12">
        <v>9355</v>
      </c>
      <c r="B32" s="12" t="s">
        <v>93</v>
      </c>
      <c r="C32" s="12" t="s">
        <v>94</v>
      </c>
      <c r="D32" s="12" t="s">
        <v>95</v>
      </c>
      <c r="E32" s="12" t="s">
        <v>137</v>
      </c>
      <c r="F32" s="12" t="s">
        <v>39</v>
      </c>
      <c r="G32" s="12" t="s">
        <v>43</v>
      </c>
      <c r="H32" s="12">
        <v>13</v>
      </c>
      <c r="I32" s="13">
        <v>45915.675185185202</v>
      </c>
      <c r="J32" s="12" t="s">
        <v>127</v>
      </c>
      <c r="K32" s="12" t="s">
        <v>135</v>
      </c>
      <c r="L32" s="14"/>
      <c r="M32" s="14">
        <f t="shared" si="0"/>
        <v>0</v>
      </c>
      <c r="N32" s="7" t="s">
        <v>166</v>
      </c>
      <c r="O32" s="12"/>
      <c r="P32" s="12" t="s">
        <v>130</v>
      </c>
    </row>
    <row r="33" spans="1:16" ht="23.25" hidden="1" customHeight="1" x14ac:dyDescent="0.35">
      <c r="A33" s="12">
        <v>9357</v>
      </c>
      <c r="B33" s="12" t="s">
        <v>93</v>
      </c>
      <c r="C33" s="12" t="s">
        <v>96</v>
      </c>
      <c r="D33" s="12" t="s">
        <v>97</v>
      </c>
      <c r="E33" s="12" t="s">
        <v>126</v>
      </c>
      <c r="F33" s="12" t="s">
        <v>39</v>
      </c>
      <c r="G33" s="12" t="s">
        <v>43</v>
      </c>
      <c r="H33" s="12">
        <v>13</v>
      </c>
      <c r="I33" s="13">
        <v>45915.675185185202</v>
      </c>
      <c r="J33" s="12" t="s">
        <v>127</v>
      </c>
      <c r="K33" s="12" t="s">
        <v>132</v>
      </c>
      <c r="L33" s="14">
        <v>0.66600000000000004</v>
      </c>
      <c r="M33" s="14">
        <f t="shared" si="0"/>
        <v>0.66600000000000004</v>
      </c>
      <c r="N33" s="7" t="s">
        <v>167</v>
      </c>
      <c r="O33" s="12"/>
      <c r="P33" s="12" t="s">
        <v>130</v>
      </c>
    </row>
    <row r="34" spans="1:16" ht="23.25" hidden="1" customHeight="1" x14ac:dyDescent="0.35">
      <c r="A34" s="12">
        <v>9358</v>
      </c>
      <c r="B34" s="12" t="s">
        <v>93</v>
      </c>
      <c r="C34" s="12" t="s">
        <v>96</v>
      </c>
      <c r="D34" s="12" t="s">
        <v>97</v>
      </c>
      <c r="E34" s="12" t="s">
        <v>131</v>
      </c>
      <c r="F34" s="12" t="s">
        <v>39</v>
      </c>
      <c r="G34" s="12" t="s">
        <v>43</v>
      </c>
      <c r="H34" s="12">
        <v>13</v>
      </c>
      <c r="I34" s="13">
        <v>45915.675185185202</v>
      </c>
      <c r="J34" s="12" t="s">
        <v>127</v>
      </c>
      <c r="K34" s="12" t="s">
        <v>132</v>
      </c>
      <c r="L34" s="14">
        <v>0.66600000000000004</v>
      </c>
      <c r="M34" s="14">
        <f t="shared" si="0"/>
        <v>0.66600000000000004</v>
      </c>
      <c r="N34" s="7" t="s">
        <v>168</v>
      </c>
      <c r="O34" s="12"/>
      <c r="P34" s="12" t="s">
        <v>130</v>
      </c>
    </row>
    <row r="35" spans="1:16" ht="15" hidden="1" customHeight="1" x14ac:dyDescent="0.35">
      <c r="A35" s="12">
        <v>9451</v>
      </c>
      <c r="B35" s="12" t="s">
        <v>93</v>
      </c>
      <c r="C35" s="12" t="s">
        <v>96</v>
      </c>
      <c r="D35" s="12" t="s">
        <v>97</v>
      </c>
      <c r="E35" s="12" t="s">
        <v>134</v>
      </c>
      <c r="F35" s="12" t="s">
        <v>39</v>
      </c>
      <c r="G35" s="12" t="s">
        <v>43</v>
      </c>
      <c r="H35" s="12">
        <v>13</v>
      </c>
      <c r="I35" s="13">
        <v>45915.675185185202</v>
      </c>
      <c r="J35" s="12" t="s">
        <v>127</v>
      </c>
      <c r="K35" s="12" t="s">
        <v>142</v>
      </c>
      <c r="L35" s="14">
        <v>0.33300000000000002</v>
      </c>
      <c r="M35" s="14">
        <f t="shared" si="0"/>
        <v>0.33300000000000002</v>
      </c>
      <c r="N35" s="7" t="s">
        <v>169</v>
      </c>
      <c r="O35" s="12"/>
      <c r="P35" s="12" t="s">
        <v>130</v>
      </c>
    </row>
    <row r="36" spans="1:16" ht="15" hidden="1" customHeight="1" x14ac:dyDescent="0.35">
      <c r="A36" s="12">
        <v>9381</v>
      </c>
      <c r="B36" s="12" t="s">
        <v>93</v>
      </c>
      <c r="C36" s="12" t="s">
        <v>98</v>
      </c>
      <c r="D36" s="12" t="s">
        <v>99</v>
      </c>
      <c r="E36" s="12" t="s">
        <v>126</v>
      </c>
      <c r="F36" s="12" t="s">
        <v>39</v>
      </c>
      <c r="G36" s="12" t="s">
        <v>43</v>
      </c>
      <c r="H36" s="12">
        <v>13</v>
      </c>
      <c r="I36" s="13">
        <v>45915.675185185202</v>
      </c>
      <c r="J36" s="12" t="s">
        <v>127</v>
      </c>
      <c r="K36" s="12" t="s">
        <v>135</v>
      </c>
      <c r="L36" s="14"/>
      <c r="M36" s="14">
        <f t="shared" si="0"/>
        <v>0</v>
      </c>
      <c r="N36" s="7" t="s">
        <v>170</v>
      </c>
      <c r="O36" s="12"/>
      <c r="P36" s="12" t="s">
        <v>130</v>
      </c>
    </row>
    <row r="37" spans="1:16" ht="15" hidden="1" customHeight="1" x14ac:dyDescent="0.35">
      <c r="A37" s="12">
        <v>9382</v>
      </c>
      <c r="B37" s="12" t="s">
        <v>93</v>
      </c>
      <c r="C37" s="12" t="s">
        <v>98</v>
      </c>
      <c r="D37" s="12" t="s">
        <v>99</v>
      </c>
      <c r="E37" s="12" t="s">
        <v>131</v>
      </c>
      <c r="F37" s="12" t="s">
        <v>39</v>
      </c>
      <c r="G37" s="12" t="s">
        <v>43</v>
      </c>
      <c r="H37" s="12">
        <v>13</v>
      </c>
      <c r="I37" s="13">
        <v>45915.675185185202</v>
      </c>
      <c r="J37" s="12" t="s">
        <v>127</v>
      </c>
      <c r="K37" s="12" t="s">
        <v>135</v>
      </c>
      <c r="L37" s="14"/>
      <c r="M37" s="14">
        <f t="shared" si="0"/>
        <v>0</v>
      </c>
      <c r="N37" s="7" t="s">
        <v>170</v>
      </c>
      <c r="O37" s="12"/>
      <c r="P37" s="12" t="s">
        <v>130</v>
      </c>
    </row>
    <row r="38" spans="1:16" ht="45.75" hidden="1" customHeight="1" x14ac:dyDescent="0.35">
      <c r="A38" s="12">
        <v>1903</v>
      </c>
      <c r="B38" s="12" t="s">
        <v>93</v>
      </c>
      <c r="C38" s="12" t="s">
        <v>94</v>
      </c>
      <c r="D38" s="12" t="s">
        <v>95</v>
      </c>
      <c r="E38" s="12" t="s">
        <v>126</v>
      </c>
      <c r="F38" s="12" t="s">
        <v>39</v>
      </c>
      <c r="G38" s="12" t="s">
        <v>44</v>
      </c>
      <c r="H38" s="12">
        <v>29</v>
      </c>
      <c r="I38" s="13">
        <v>45901.866886574098</v>
      </c>
      <c r="J38" s="12" t="s">
        <v>127</v>
      </c>
      <c r="K38" s="12" t="s">
        <v>132</v>
      </c>
      <c r="L38" s="14">
        <v>0.66600000000000004</v>
      </c>
      <c r="M38" s="14">
        <f t="shared" si="0"/>
        <v>0.66600000000000004</v>
      </c>
      <c r="N38" s="7" t="s">
        <v>171</v>
      </c>
      <c r="O38" s="12"/>
      <c r="P38" s="12"/>
    </row>
    <row r="39" spans="1:16" ht="23.25" hidden="1" customHeight="1" x14ac:dyDescent="0.35">
      <c r="A39" s="12">
        <v>1890</v>
      </c>
      <c r="B39" s="12" t="s">
        <v>93</v>
      </c>
      <c r="C39" s="12" t="s">
        <v>94</v>
      </c>
      <c r="D39" s="12" t="s">
        <v>95</v>
      </c>
      <c r="E39" s="12" t="s">
        <v>131</v>
      </c>
      <c r="F39" s="12" t="s">
        <v>39</v>
      </c>
      <c r="G39" s="12" t="s">
        <v>44</v>
      </c>
      <c r="H39" s="12">
        <v>29</v>
      </c>
      <c r="I39" s="13">
        <v>45901.866886574098</v>
      </c>
      <c r="J39" s="12" t="s">
        <v>127</v>
      </c>
      <c r="K39" s="12" t="s">
        <v>142</v>
      </c>
      <c r="L39" s="14">
        <v>0.33300000000000002</v>
      </c>
      <c r="M39" s="14">
        <f t="shared" si="0"/>
        <v>0.33300000000000002</v>
      </c>
      <c r="N39" s="7" t="s">
        <v>172</v>
      </c>
      <c r="O39" s="12"/>
      <c r="P39" s="12"/>
    </row>
    <row r="40" spans="1:16" ht="213.75" hidden="1" customHeight="1" x14ac:dyDescent="0.35">
      <c r="A40" s="12">
        <v>1892</v>
      </c>
      <c r="B40" s="12" t="s">
        <v>93</v>
      </c>
      <c r="C40" s="12" t="s">
        <v>94</v>
      </c>
      <c r="D40" s="12" t="s">
        <v>95</v>
      </c>
      <c r="E40" s="12" t="s">
        <v>134</v>
      </c>
      <c r="F40" s="12" t="s">
        <v>39</v>
      </c>
      <c r="G40" s="12" t="s">
        <v>44</v>
      </c>
      <c r="H40" s="12">
        <v>29</v>
      </c>
      <c r="I40" s="13">
        <v>45901.866886574098</v>
      </c>
      <c r="J40" s="12" t="s">
        <v>127</v>
      </c>
      <c r="K40" s="12" t="s">
        <v>142</v>
      </c>
      <c r="L40" s="14">
        <v>0.33300000000000002</v>
      </c>
      <c r="M40" s="14">
        <f t="shared" si="0"/>
        <v>0.33300000000000002</v>
      </c>
      <c r="N40" s="7" t="s">
        <v>173</v>
      </c>
      <c r="O40" s="12"/>
      <c r="P40" s="12" t="s">
        <v>130</v>
      </c>
    </row>
    <row r="41" spans="1:16" ht="102" hidden="1" customHeight="1" x14ac:dyDescent="0.35">
      <c r="A41" s="12">
        <v>1894</v>
      </c>
      <c r="B41" s="12" t="s">
        <v>93</v>
      </c>
      <c r="C41" s="12" t="s">
        <v>94</v>
      </c>
      <c r="D41" s="12" t="s">
        <v>95</v>
      </c>
      <c r="E41" s="12" t="s">
        <v>137</v>
      </c>
      <c r="F41" s="12" t="s">
        <v>39</v>
      </c>
      <c r="G41" s="12" t="s">
        <v>44</v>
      </c>
      <c r="H41" s="12">
        <v>29</v>
      </c>
      <c r="I41" s="13">
        <v>45901.866886574098</v>
      </c>
      <c r="J41" s="12" t="s">
        <v>127</v>
      </c>
      <c r="K41" s="12" t="s">
        <v>142</v>
      </c>
      <c r="L41" s="14">
        <v>0.33300000000000002</v>
      </c>
      <c r="M41" s="14">
        <f t="shared" si="0"/>
        <v>0.33300000000000002</v>
      </c>
      <c r="N41" s="7" t="s">
        <v>174</v>
      </c>
      <c r="O41" s="12"/>
      <c r="P41" s="12" t="s">
        <v>130</v>
      </c>
    </row>
    <row r="42" spans="1:16" ht="45.75" hidden="1" customHeight="1" x14ac:dyDescent="0.35">
      <c r="A42" s="12">
        <v>1921</v>
      </c>
      <c r="B42" s="12" t="s">
        <v>93</v>
      </c>
      <c r="C42" s="12" t="s">
        <v>96</v>
      </c>
      <c r="D42" s="12" t="s">
        <v>97</v>
      </c>
      <c r="E42" s="12" t="s">
        <v>126</v>
      </c>
      <c r="F42" s="12" t="s">
        <v>39</v>
      </c>
      <c r="G42" s="12" t="s">
        <v>44</v>
      </c>
      <c r="H42" s="12">
        <v>29</v>
      </c>
      <c r="I42" s="13">
        <v>45901.866886574098</v>
      </c>
      <c r="J42" s="12" t="s">
        <v>127</v>
      </c>
      <c r="K42" s="12" t="s">
        <v>142</v>
      </c>
      <c r="L42" s="14">
        <v>0.33300000000000002</v>
      </c>
      <c r="M42" s="14">
        <f t="shared" si="0"/>
        <v>0.33300000000000002</v>
      </c>
      <c r="N42" s="7" t="s">
        <v>175</v>
      </c>
      <c r="O42" s="12"/>
      <c r="P42" s="12"/>
    </row>
    <row r="43" spans="1:16" ht="113.25" hidden="1" customHeight="1" x14ac:dyDescent="0.35">
      <c r="A43" s="12">
        <v>6724</v>
      </c>
      <c r="B43" s="12" t="s">
        <v>93</v>
      </c>
      <c r="C43" s="12" t="s">
        <v>96</v>
      </c>
      <c r="D43" s="12" t="s">
        <v>97</v>
      </c>
      <c r="E43" s="12" t="s">
        <v>131</v>
      </c>
      <c r="F43" s="12" t="s">
        <v>39</v>
      </c>
      <c r="G43" s="12" t="s">
        <v>44</v>
      </c>
      <c r="H43" s="12">
        <v>29</v>
      </c>
      <c r="I43" s="13">
        <v>45901.866886574098</v>
      </c>
      <c r="J43" s="12" t="s">
        <v>127</v>
      </c>
      <c r="K43" s="12" t="s">
        <v>135</v>
      </c>
      <c r="L43" s="14"/>
      <c r="M43" s="14">
        <f t="shared" si="0"/>
        <v>0</v>
      </c>
      <c r="N43" s="7" t="s">
        <v>176</v>
      </c>
      <c r="O43" s="12"/>
      <c r="P43" s="12" t="s">
        <v>130</v>
      </c>
    </row>
    <row r="44" spans="1:16" ht="135.75" hidden="1" customHeight="1" x14ac:dyDescent="0.35">
      <c r="A44" s="12">
        <v>6803</v>
      </c>
      <c r="B44" s="12" t="s">
        <v>93</v>
      </c>
      <c r="C44" s="12" t="s">
        <v>96</v>
      </c>
      <c r="D44" s="12" t="s">
        <v>97</v>
      </c>
      <c r="E44" s="12" t="s">
        <v>134</v>
      </c>
      <c r="F44" s="12" t="s">
        <v>39</v>
      </c>
      <c r="G44" s="12" t="s">
        <v>44</v>
      </c>
      <c r="H44" s="12">
        <v>29</v>
      </c>
      <c r="I44" s="13">
        <v>45901.866886574098</v>
      </c>
      <c r="J44" s="12" t="s">
        <v>127</v>
      </c>
      <c r="K44" s="12" t="s">
        <v>135</v>
      </c>
      <c r="L44" s="14"/>
      <c r="M44" s="14">
        <f t="shared" si="0"/>
        <v>0</v>
      </c>
      <c r="N44" s="7" t="s">
        <v>177</v>
      </c>
      <c r="O44" s="12"/>
      <c r="P44" s="12" t="s">
        <v>130</v>
      </c>
    </row>
    <row r="45" spans="1:16" ht="213.75" hidden="1" customHeight="1" x14ac:dyDescent="0.35">
      <c r="A45" s="12">
        <v>6641</v>
      </c>
      <c r="B45" s="12" t="s">
        <v>93</v>
      </c>
      <c r="C45" s="12" t="s">
        <v>98</v>
      </c>
      <c r="D45" s="12" t="s">
        <v>99</v>
      </c>
      <c r="E45" s="12" t="s">
        <v>126</v>
      </c>
      <c r="F45" s="12" t="s">
        <v>39</v>
      </c>
      <c r="G45" s="12" t="s">
        <v>44</v>
      </c>
      <c r="H45" s="12">
        <v>29</v>
      </c>
      <c r="I45" s="13">
        <v>45901.866886574098</v>
      </c>
      <c r="J45" s="12" t="s">
        <v>127</v>
      </c>
      <c r="K45" s="12" t="s">
        <v>132</v>
      </c>
      <c r="L45" s="14">
        <v>0.66600000000000004</v>
      </c>
      <c r="M45" s="14">
        <f t="shared" si="0"/>
        <v>0.66600000000000004</v>
      </c>
      <c r="N45" s="7" t="s">
        <v>178</v>
      </c>
      <c r="O45" s="12"/>
      <c r="P45" s="12" t="s">
        <v>130</v>
      </c>
    </row>
    <row r="46" spans="1:16" ht="90.75" hidden="1" customHeight="1" x14ac:dyDescent="0.35">
      <c r="A46" s="12">
        <v>6642</v>
      </c>
      <c r="B46" s="12" t="s">
        <v>93</v>
      </c>
      <c r="C46" s="12" t="s">
        <v>98</v>
      </c>
      <c r="D46" s="12" t="s">
        <v>99</v>
      </c>
      <c r="E46" s="12" t="s">
        <v>131</v>
      </c>
      <c r="F46" s="12" t="s">
        <v>39</v>
      </c>
      <c r="G46" s="12" t="s">
        <v>44</v>
      </c>
      <c r="H46" s="12">
        <v>29</v>
      </c>
      <c r="I46" s="13">
        <v>45901.866886574098</v>
      </c>
      <c r="J46" s="12" t="s">
        <v>127</v>
      </c>
      <c r="K46" s="12" t="s">
        <v>135</v>
      </c>
      <c r="L46" s="14"/>
      <c r="M46" s="14">
        <f t="shared" si="0"/>
        <v>0</v>
      </c>
      <c r="N46" s="7" t="s">
        <v>179</v>
      </c>
      <c r="O46" s="12"/>
      <c r="P46" s="12"/>
    </row>
    <row r="47" spans="1:16" ht="113.25" hidden="1" customHeight="1" x14ac:dyDescent="0.35">
      <c r="A47" s="12">
        <v>4323</v>
      </c>
      <c r="B47" s="12" t="s">
        <v>93</v>
      </c>
      <c r="C47" s="12" t="s">
        <v>94</v>
      </c>
      <c r="D47" s="12" t="s">
        <v>95</v>
      </c>
      <c r="E47" s="12" t="s">
        <v>126</v>
      </c>
      <c r="F47" s="12" t="s">
        <v>66</v>
      </c>
      <c r="G47" s="12" t="s">
        <v>67</v>
      </c>
      <c r="H47" s="12">
        <v>3106200</v>
      </c>
      <c r="I47" s="13">
        <v>45896.513032407398</v>
      </c>
      <c r="J47" s="12" t="s">
        <v>127</v>
      </c>
      <c r="K47" s="12" t="s">
        <v>128</v>
      </c>
      <c r="L47" s="14">
        <v>1</v>
      </c>
      <c r="M47" s="14">
        <f t="shared" si="0"/>
        <v>1</v>
      </c>
      <c r="N47" s="7" t="s">
        <v>180</v>
      </c>
      <c r="O47" s="12"/>
      <c r="P47" s="12"/>
    </row>
    <row r="48" spans="1:16" ht="102" hidden="1" customHeight="1" x14ac:dyDescent="0.35">
      <c r="A48" s="12">
        <v>4361</v>
      </c>
      <c r="B48" s="12" t="s">
        <v>93</v>
      </c>
      <c r="C48" s="12" t="s">
        <v>94</v>
      </c>
      <c r="D48" s="12" t="s">
        <v>95</v>
      </c>
      <c r="E48" s="12" t="s">
        <v>131</v>
      </c>
      <c r="F48" s="12" t="s">
        <v>66</v>
      </c>
      <c r="G48" s="12" t="s">
        <v>67</v>
      </c>
      <c r="H48" s="12">
        <v>3106200</v>
      </c>
      <c r="I48" s="13">
        <v>45896.513032407398</v>
      </c>
      <c r="J48" s="12" t="s">
        <v>127</v>
      </c>
      <c r="K48" s="12" t="s">
        <v>142</v>
      </c>
      <c r="L48" s="14">
        <v>0.33300000000000002</v>
      </c>
      <c r="M48" s="14">
        <f t="shared" si="0"/>
        <v>0.33300000000000002</v>
      </c>
      <c r="N48" s="7" t="s">
        <v>181</v>
      </c>
      <c r="O48" s="12"/>
      <c r="P48" s="12"/>
    </row>
    <row r="49" spans="1:16" ht="213.75" hidden="1" customHeight="1" x14ac:dyDescent="0.35">
      <c r="A49" s="12">
        <v>4342</v>
      </c>
      <c r="B49" s="12" t="s">
        <v>93</v>
      </c>
      <c r="C49" s="12" t="s">
        <v>94</v>
      </c>
      <c r="D49" s="12" t="s">
        <v>95</v>
      </c>
      <c r="E49" s="12" t="s">
        <v>134</v>
      </c>
      <c r="F49" s="12" t="s">
        <v>66</v>
      </c>
      <c r="G49" s="12" t="s">
        <v>67</v>
      </c>
      <c r="H49" s="12">
        <v>3106200</v>
      </c>
      <c r="I49" s="13">
        <v>45896.513032407398</v>
      </c>
      <c r="J49" s="12" t="s">
        <v>127</v>
      </c>
      <c r="K49" s="12" t="s">
        <v>142</v>
      </c>
      <c r="L49" s="14">
        <v>0.33300000000000002</v>
      </c>
      <c r="M49" s="14">
        <f t="shared" si="0"/>
        <v>0.33300000000000002</v>
      </c>
      <c r="N49" s="7" t="s">
        <v>182</v>
      </c>
      <c r="O49" s="12"/>
      <c r="P49" s="12" t="s">
        <v>130</v>
      </c>
    </row>
    <row r="50" spans="1:16" ht="213.75" hidden="1" customHeight="1" x14ac:dyDescent="0.35">
      <c r="A50" s="12">
        <v>4362</v>
      </c>
      <c r="B50" s="12" t="s">
        <v>93</v>
      </c>
      <c r="C50" s="12" t="s">
        <v>94</v>
      </c>
      <c r="D50" s="12" t="s">
        <v>95</v>
      </c>
      <c r="E50" s="12" t="s">
        <v>137</v>
      </c>
      <c r="F50" s="12" t="s">
        <v>66</v>
      </c>
      <c r="G50" s="12" t="s">
        <v>67</v>
      </c>
      <c r="H50" s="12">
        <v>3106200</v>
      </c>
      <c r="I50" s="13">
        <v>45896.513032407398</v>
      </c>
      <c r="J50" s="12" t="s">
        <v>127</v>
      </c>
      <c r="K50" s="12" t="s">
        <v>132</v>
      </c>
      <c r="L50" s="14">
        <v>0.66600000000000004</v>
      </c>
      <c r="M50" s="14">
        <f t="shared" si="0"/>
        <v>0.66600000000000004</v>
      </c>
      <c r="N50" s="7" t="s">
        <v>183</v>
      </c>
      <c r="O50" s="12"/>
      <c r="P50" s="12" t="s">
        <v>130</v>
      </c>
    </row>
    <row r="51" spans="1:16" ht="124.5" hidden="1" customHeight="1" x14ac:dyDescent="0.35">
      <c r="A51" s="12">
        <v>4322</v>
      </c>
      <c r="B51" s="12" t="s">
        <v>93</v>
      </c>
      <c r="C51" s="12" t="s">
        <v>96</v>
      </c>
      <c r="D51" s="12" t="s">
        <v>97</v>
      </c>
      <c r="E51" s="12" t="s">
        <v>126</v>
      </c>
      <c r="F51" s="12" t="s">
        <v>66</v>
      </c>
      <c r="G51" s="12" t="s">
        <v>67</v>
      </c>
      <c r="H51" s="12">
        <v>3106200</v>
      </c>
      <c r="I51" s="13">
        <v>45896.513032407398</v>
      </c>
      <c r="J51" s="12" t="s">
        <v>127</v>
      </c>
      <c r="K51" s="12" t="s">
        <v>128</v>
      </c>
      <c r="L51" s="14">
        <v>1</v>
      </c>
      <c r="M51" s="14">
        <f t="shared" si="0"/>
        <v>1</v>
      </c>
      <c r="N51" s="7" t="s">
        <v>184</v>
      </c>
      <c r="O51" s="12"/>
      <c r="P51" s="12"/>
    </row>
    <row r="52" spans="1:16" ht="147" hidden="1" customHeight="1" x14ac:dyDescent="0.35">
      <c r="A52" s="12">
        <v>4321</v>
      </c>
      <c r="B52" s="12" t="s">
        <v>93</v>
      </c>
      <c r="C52" s="12" t="s">
        <v>96</v>
      </c>
      <c r="D52" s="12" t="s">
        <v>97</v>
      </c>
      <c r="E52" s="12" t="s">
        <v>131</v>
      </c>
      <c r="F52" s="12" t="s">
        <v>66</v>
      </c>
      <c r="G52" s="12" t="s">
        <v>67</v>
      </c>
      <c r="H52" s="12">
        <v>3106200</v>
      </c>
      <c r="I52" s="13">
        <v>45896.513032407398</v>
      </c>
      <c r="J52" s="12" t="s">
        <v>127</v>
      </c>
      <c r="K52" s="12" t="s">
        <v>128</v>
      </c>
      <c r="L52" s="14">
        <v>1</v>
      </c>
      <c r="M52" s="14">
        <f t="shared" si="0"/>
        <v>1</v>
      </c>
      <c r="N52" s="7" t="s">
        <v>185</v>
      </c>
      <c r="O52" s="12"/>
      <c r="P52" s="12" t="s">
        <v>130</v>
      </c>
    </row>
    <row r="53" spans="1:16" ht="213.75" hidden="1" customHeight="1" x14ac:dyDescent="0.35">
      <c r="A53" s="12">
        <v>4341</v>
      </c>
      <c r="B53" s="12" t="s">
        <v>93</v>
      </c>
      <c r="C53" s="12" t="s">
        <v>96</v>
      </c>
      <c r="D53" s="12" t="s">
        <v>97</v>
      </c>
      <c r="E53" s="12" t="s">
        <v>134</v>
      </c>
      <c r="F53" s="12" t="s">
        <v>66</v>
      </c>
      <c r="G53" s="12" t="s">
        <v>67</v>
      </c>
      <c r="H53" s="12">
        <v>3106200</v>
      </c>
      <c r="I53" s="13">
        <v>45896.513032407398</v>
      </c>
      <c r="J53" s="12" t="s">
        <v>127</v>
      </c>
      <c r="K53" s="12" t="s">
        <v>132</v>
      </c>
      <c r="L53" s="14">
        <v>0.66600000000000004</v>
      </c>
      <c r="M53" s="14">
        <f t="shared" si="0"/>
        <v>0.66600000000000004</v>
      </c>
      <c r="N53" s="7" t="s">
        <v>186</v>
      </c>
      <c r="O53" s="12"/>
      <c r="P53" s="12" t="s">
        <v>130</v>
      </c>
    </row>
    <row r="54" spans="1:16" ht="45.75" hidden="1" customHeight="1" x14ac:dyDescent="0.35">
      <c r="A54" s="12">
        <v>4101</v>
      </c>
      <c r="B54" s="12" t="s">
        <v>93</v>
      </c>
      <c r="C54" s="12" t="s">
        <v>98</v>
      </c>
      <c r="D54" s="12" t="s">
        <v>99</v>
      </c>
      <c r="E54" s="12" t="s">
        <v>126</v>
      </c>
      <c r="F54" s="12" t="s">
        <v>66</v>
      </c>
      <c r="G54" s="12" t="s">
        <v>67</v>
      </c>
      <c r="H54" s="12">
        <v>3106200</v>
      </c>
      <c r="I54" s="13">
        <v>45896.513032407398</v>
      </c>
      <c r="J54" s="12" t="s">
        <v>127</v>
      </c>
      <c r="K54" s="12" t="s">
        <v>132</v>
      </c>
      <c r="L54" s="14">
        <v>0.66600000000000004</v>
      </c>
      <c r="M54" s="14">
        <f t="shared" si="0"/>
        <v>0.66600000000000004</v>
      </c>
      <c r="N54" s="7" t="s">
        <v>187</v>
      </c>
      <c r="O54" s="12"/>
      <c r="P54" s="12"/>
    </row>
    <row r="55" spans="1:16" ht="90.75" hidden="1" customHeight="1" x14ac:dyDescent="0.35">
      <c r="A55" s="12">
        <v>4121</v>
      </c>
      <c r="B55" s="12" t="s">
        <v>93</v>
      </c>
      <c r="C55" s="12" t="s">
        <v>98</v>
      </c>
      <c r="D55" s="12" t="s">
        <v>99</v>
      </c>
      <c r="E55" s="12" t="s">
        <v>131</v>
      </c>
      <c r="F55" s="12" t="s">
        <v>66</v>
      </c>
      <c r="G55" s="12" t="s">
        <v>67</v>
      </c>
      <c r="H55" s="12">
        <v>3106200</v>
      </c>
      <c r="I55" s="13">
        <v>45896.513032407398</v>
      </c>
      <c r="J55" s="12" t="s">
        <v>127</v>
      </c>
      <c r="K55" s="12" t="s">
        <v>135</v>
      </c>
      <c r="L55" s="14"/>
      <c r="M55" s="14">
        <f t="shared" si="0"/>
        <v>0</v>
      </c>
      <c r="N55" s="7" t="s">
        <v>188</v>
      </c>
      <c r="O55" s="12"/>
      <c r="P55" s="12" t="s">
        <v>130</v>
      </c>
    </row>
    <row r="56" spans="1:16" ht="79.5" hidden="1" customHeight="1" x14ac:dyDescent="0.35">
      <c r="A56" s="12">
        <v>8522</v>
      </c>
      <c r="B56" s="12" t="s">
        <v>93</v>
      </c>
      <c r="C56" s="12" t="s">
        <v>94</v>
      </c>
      <c r="D56" s="12" t="s">
        <v>95</v>
      </c>
      <c r="E56" s="12" t="s">
        <v>126</v>
      </c>
      <c r="F56" s="12" t="s">
        <v>66</v>
      </c>
      <c r="G56" s="12" t="s">
        <v>68</v>
      </c>
      <c r="H56" s="12">
        <v>1501402</v>
      </c>
      <c r="I56" s="13">
        <v>45912.511585648201</v>
      </c>
      <c r="J56" s="12" t="s">
        <v>127</v>
      </c>
      <c r="K56" s="12" t="s">
        <v>142</v>
      </c>
      <c r="L56" s="14">
        <v>0.33300000000000002</v>
      </c>
      <c r="M56" s="14">
        <f t="shared" si="0"/>
        <v>0.33300000000000002</v>
      </c>
      <c r="N56" s="7" t="s">
        <v>189</v>
      </c>
      <c r="O56" s="12"/>
      <c r="P56" s="12" t="s">
        <v>130</v>
      </c>
    </row>
    <row r="57" spans="1:16" ht="79.5" hidden="1" customHeight="1" x14ac:dyDescent="0.35">
      <c r="A57" s="12">
        <v>8523</v>
      </c>
      <c r="B57" s="12" t="s">
        <v>93</v>
      </c>
      <c r="C57" s="12" t="s">
        <v>94</v>
      </c>
      <c r="D57" s="12" t="s">
        <v>95</v>
      </c>
      <c r="E57" s="12" t="s">
        <v>131</v>
      </c>
      <c r="F57" s="12" t="s">
        <v>66</v>
      </c>
      <c r="G57" s="12" t="s">
        <v>68</v>
      </c>
      <c r="H57" s="12">
        <v>1501402</v>
      </c>
      <c r="I57" s="13">
        <v>45912.511585648201</v>
      </c>
      <c r="J57" s="12" t="s">
        <v>127</v>
      </c>
      <c r="K57" s="12" t="s">
        <v>142</v>
      </c>
      <c r="L57" s="14">
        <v>0.33300000000000002</v>
      </c>
      <c r="M57" s="14">
        <f t="shared" si="0"/>
        <v>0.33300000000000002</v>
      </c>
      <c r="N57" s="7" t="s">
        <v>190</v>
      </c>
      <c r="O57" s="12"/>
      <c r="P57" s="12" t="s">
        <v>130</v>
      </c>
    </row>
    <row r="58" spans="1:16" ht="45.75" hidden="1" customHeight="1" x14ac:dyDescent="0.35">
      <c r="A58" s="12">
        <v>8524</v>
      </c>
      <c r="B58" s="12" t="s">
        <v>93</v>
      </c>
      <c r="C58" s="12" t="s">
        <v>94</v>
      </c>
      <c r="D58" s="12" t="s">
        <v>95</v>
      </c>
      <c r="E58" s="12" t="s">
        <v>134</v>
      </c>
      <c r="F58" s="12" t="s">
        <v>66</v>
      </c>
      <c r="G58" s="12" t="s">
        <v>68</v>
      </c>
      <c r="H58" s="12">
        <v>1501402</v>
      </c>
      <c r="I58" s="13">
        <v>45912.511585648201</v>
      </c>
      <c r="J58" s="12" t="s">
        <v>127</v>
      </c>
      <c r="K58" s="12" t="s">
        <v>135</v>
      </c>
      <c r="L58" s="14"/>
      <c r="M58" s="14">
        <f t="shared" si="0"/>
        <v>0</v>
      </c>
      <c r="N58" s="7" t="s">
        <v>191</v>
      </c>
      <c r="O58" s="12"/>
      <c r="P58" s="12" t="s">
        <v>130</v>
      </c>
    </row>
    <row r="59" spans="1:16" ht="113.25" hidden="1" customHeight="1" x14ac:dyDescent="0.35">
      <c r="A59" s="12">
        <v>8525</v>
      </c>
      <c r="B59" s="12" t="s">
        <v>93</v>
      </c>
      <c r="C59" s="12" t="s">
        <v>94</v>
      </c>
      <c r="D59" s="12" t="s">
        <v>95</v>
      </c>
      <c r="E59" s="12" t="s">
        <v>137</v>
      </c>
      <c r="F59" s="12" t="s">
        <v>66</v>
      </c>
      <c r="G59" s="12" t="s">
        <v>68</v>
      </c>
      <c r="H59" s="12">
        <v>1501402</v>
      </c>
      <c r="I59" s="13">
        <v>45912.511585648201</v>
      </c>
      <c r="J59" s="12" t="s">
        <v>127</v>
      </c>
      <c r="K59" s="12" t="s">
        <v>142</v>
      </c>
      <c r="L59" s="14">
        <v>0.33300000000000002</v>
      </c>
      <c r="M59" s="14">
        <f t="shared" si="0"/>
        <v>0.33300000000000002</v>
      </c>
      <c r="N59" s="7" t="s">
        <v>192</v>
      </c>
      <c r="O59" s="12"/>
      <c r="P59" s="12" t="s">
        <v>130</v>
      </c>
    </row>
    <row r="60" spans="1:16" ht="79.5" hidden="1" customHeight="1" x14ac:dyDescent="0.35">
      <c r="A60" s="12">
        <v>8561</v>
      </c>
      <c r="B60" s="12" t="s">
        <v>93</v>
      </c>
      <c r="C60" s="12" t="s">
        <v>96</v>
      </c>
      <c r="D60" s="12" t="s">
        <v>97</v>
      </c>
      <c r="E60" s="12" t="s">
        <v>126</v>
      </c>
      <c r="F60" s="12" t="s">
        <v>66</v>
      </c>
      <c r="G60" s="12" t="s">
        <v>68</v>
      </c>
      <c r="H60" s="12">
        <v>1501402</v>
      </c>
      <c r="I60" s="13">
        <v>45912.511585648201</v>
      </c>
      <c r="J60" s="12" t="s">
        <v>127</v>
      </c>
      <c r="K60" s="12" t="s">
        <v>142</v>
      </c>
      <c r="L60" s="14">
        <v>0.33300000000000002</v>
      </c>
      <c r="M60" s="14">
        <f t="shared" si="0"/>
        <v>0.33300000000000002</v>
      </c>
      <c r="N60" s="7" t="s">
        <v>193</v>
      </c>
      <c r="O60" s="12"/>
      <c r="P60" s="12" t="s">
        <v>130</v>
      </c>
    </row>
    <row r="61" spans="1:16" ht="90.75" hidden="1" customHeight="1" x14ac:dyDescent="0.35">
      <c r="A61" s="12">
        <v>8547</v>
      </c>
      <c r="B61" s="12" t="s">
        <v>93</v>
      </c>
      <c r="C61" s="12" t="s">
        <v>96</v>
      </c>
      <c r="D61" s="12" t="s">
        <v>97</v>
      </c>
      <c r="E61" s="12" t="s">
        <v>131</v>
      </c>
      <c r="F61" s="12" t="s">
        <v>66</v>
      </c>
      <c r="G61" s="12" t="s">
        <v>68</v>
      </c>
      <c r="H61" s="12">
        <v>1501402</v>
      </c>
      <c r="I61" s="13">
        <v>45912.511585648201</v>
      </c>
      <c r="J61" s="12" t="s">
        <v>127</v>
      </c>
      <c r="K61" s="12" t="s">
        <v>142</v>
      </c>
      <c r="L61" s="14">
        <v>0.33300000000000002</v>
      </c>
      <c r="M61" s="14">
        <f t="shared" si="0"/>
        <v>0.33300000000000002</v>
      </c>
      <c r="N61" s="7" t="s">
        <v>194</v>
      </c>
      <c r="O61" s="12"/>
      <c r="P61" s="12" t="s">
        <v>130</v>
      </c>
    </row>
    <row r="62" spans="1:16" ht="45.75" hidden="1" customHeight="1" x14ac:dyDescent="0.35">
      <c r="A62" s="12">
        <v>8566</v>
      </c>
      <c r="B62" s="12" t="s">
        <v>93</v>
      </c>
      <c r="C62" s="12" t="s">
        <v>96</v>
      </c>
      <c r="D62" s="12" t="s">
        <v>97</v>
      </c>
      <c r="E62" s="12" t="s">
        <v>134</v>
      </c>
      <c r="F62" s="12" t="s">
        <v>66</v>
      </c>
      <c r="G62" s="12" t="s">
        <v>68</v>
      </c>
      <c r="H62" s="12">
        <v>1501402</v>
      </c>
      <c r="I62" s="13">
        <v>45912.511585648201</v>
      </c>
      <c r="J62" s="12" t="s">
        <v>127</v>
      </c>
      <c r="K62" s="12" t="s">
        <v>142</v>
      </c>
      <c r="L62" s="14">
        <v>0.33300000000000002</v>
      </c>
      <c r="M62" s="14">
        <f t="shared" si="0"/>
        <v>0.33300000000000002</v>
      </c>
      <c r="N62" s="7" t="s">
        <v>195</v>
      </c>
      <c r="O62" s="12"/>
      <c r="P62" s="12" t="s">
        <v>130</v>
      </c>
    </row>
    <row r="63" spans="1:16" ht="79.5" hidden="1" customHeight="1" x14ac:dyDescent="0.35">
      <c r="A63" s="12">
        <v>8526</v>
      </c>
      <c r="B63" s="12" t="s">
        <v>93</v>
      </c>
      <c r="C63" s="12" t="s">
        <v>98</v>
      </c>
      <c r="D63" s="12" t="s">
        <v>99</v>
      </c>
      <c r="E63" s="12" t="s">
        <v>126</v>
      </c>
      <c r="F63" s="12" t="s">
        <v>66</v>
      </c>
      <c r="G63" s="12" t="s">
        <v>68</v>
      </c>
      <c r="H63" s="12">
        <v>1501402</v>
      </c>
      <c r="I63" s="13">
        <v>45912.511585648201</v>
      </c>
      <c r="J63" s="12" t="s">
        <v>127</v>
      </c>
      <c r="K63" s="12" t="s">
        <v>142</v>
      </c>
      <c r="L63" s="14">
        <v>0.33300000000000002</v>
      </c>
      <c r="M63" s="14">
        <f t="shared" si="0"/>
        <v>0.33300000000000002</v>
      </c>
      <c r="N63" s="7" t="s">
        <v>196</v>
      </c>
      <c r="O63" s="12"/>
      <c r="P63" s="12" t="s">
        <v>130</v>
      </c>
    </row>
    <row r="64" spans="1:16" ht="90.75" hidden="1" customHeight="1" x14ac:dyDescent="0.35">
      <c r="A64" s="12">
        <v>8567</v>
      </c>
      <c r="B64" s="12" t="s">
        <v>93</v>
      </c>
      <c r="C64" s="12" t="s">
        <v>98</v>
      </c>
      <c r="D64" s="12" t="s">
        <v>99</v>
      </c>
      <c r="E64" s="12" t="s">
        <v>131</v>
      </c>
      <c r="F64" s="12" t="s">
        <v>66</v>
      </c>
      <c r="G64" s="12" t="s">
        <v>68</v>
      </c>
      <c r="H64" s="12">
        <v>1501402</v>
      </c>
      <c r="I64" s="13">
        <v>45912.511585648201</v>
      </c>
      <c r="J64" s="12" t="s">
        <v>127</v>
      </c>
      <c r="K64" s="12" t="s">
        <v>142</v>
      </c>
      <c r="L64" s="14">
        <v>0.33300000000000002</v>
      </c>
      <c r="M64" s="14">
        <f t="shared" si="0"/>
        <v>0.33300000000000002</v>
      </c>
      <c r="N64" s="7" t="s">
        <v>197</v>
      </c>
      <c r="O64" s="12"/>
      <c r="P64" s="12" t="s">
        <v>130</v>
      </c>
    </row>
    <row r="65" spans="1:16" ht="34.5" hidden="1" customHeight="1" x14ac:dyDescent="0.35">
      <c r="A65" s="12">
        <v>5471</v>
      </c>
      <c r="B65" s="12" t="s">
        <v>93</v>
      </c>
      <c r="C65" s="12" t="s">
        <v>94</v>
      </c>
      <c r="D65" s="12" t="s">
        <v>95</v>
      </c>
      <c r="E65" s="12" t="s">
        <v>126</v>
      </c>
      <c r="F65" s="12" t="s">
        <v>66</v>
      </c>
      <c r="G65" s="12" t="s">
        <v>69</v>
      </c>
      <c r="H65" s="12">
        <v>1400100</v>
      </c>
      <c r="I65" s="13">
        <v>45888.597708333298</v>
      </c>
      <c r="J65" s="12" t="s">
        <v>127</v>
      </c>
      <c r="K65" s="12" t="s">
        <v>135</v>
      </c>
      <c r="L65" s="14"/>
      <c r="M65" s="14">
        <f t="shared" si="0"/>
        <v>0</v>
      </c>
      <c r="N65" s="7" t="s">
        <v>198</v>
      </c>
      <c r="O65" s="12"/>
      <c r="P65" s="12" t="s">
        <v>130</v>
      </c>
    </row>
    <row r="66" spans="1:16" ht="23.25" hidden="1" customHeight="1" x14ac:dyDescent="0.35">
      <c r="A66" s="12">
        <v>5472</v>
      </c>
      <c r="B66" s="12" t="s">
        <v>93</v>
      </c>
      <c r="C66" s="12" t="s">
        <v>94</v>
      </c>
      <c r="D66" s="12" t="s">
        <v>95</v>
      </c>
      <c r="E66" s="12" t="s">
        <v>131</v>
      </c>
      <c r="F66" s="12" t="s">
        <v>66</v>
      </c>
      <c r="G66" s="12" t="s">
        <v>69</v>
      </c>
      <c r="H66" s="12">
        <v>1400100</v>
      </c>
      <c r="I66" s="13">
        <v>45888.597708333298</v>
      </c>
      <c r="J66" s="12" t="s">
        <v>127</v>
      </c>
      <c r="K66" s="12" t="s">
        <v>135</v>
      </c>
      <c r="L66" s="14"/>
      <c r="M66" s="14">
        <f t="shared" ref="M66:M129" si="1">IF(K66="Sem progresso",0,IF(OR(K66="Não avaliado",K66="Não se aplica",K66=""),"",L66))</f>
        <v>0</v>
      </c>
      <c r="N66" s="7" t="s">
        <v>199</v>
      </c>
      <c r="O66" s="12"/>
      <c r="P66" s="12" t="s">
        <v>130</v>
      </c>
    </row>
    <row r="67" spans="1:16" ht="23.25" hidden="1" customHeight="1" x14ac:dyDescent="0.35">
      <c r="A67" s="12">
        <v>5460</v>
      </c>
      <c r="B67" s="12" t="s">
        <v>93</v>
      </c>
      <c r="C67" s="12" t="s">
        <v>94</v>
      </c>
      <c r="D67" s="12" t="s">
        <v>95</v>
      </c>
      <c r="E67" s="12" t="s">
        <v>134</v>
      </c>
      <c r="F67" s="12" t="s">
        <v>66</v>
      </c>
      <c r="G67" s="12" t="s">
        <v>69</v>
      </c>
      <c r="H67" s="12">
        <v>1400100</v>
      </c>
      <c r="I67" s="13">
        <v>45888.597708333298</v>
      </c>
      <c r="J67" s="12" t="s">
        <v>127</v>
      </c>
      <c r="K67" s="12" t="s">
        <v>135</v>
      </c>
      <c r="L67" s="14"/>
      <c r="M67" s="14">
        <f t="shared" si="1"/>
        <v>0</v>
      </c>
      <c r="N67" s="7" t="s">
        <v>200</v>
      </c>
      <c r="O67" s="12"/>
      <c r="P67" s="12" t="s">
        <v>130</v>
      </c>
    </row>
    <row r="68" spans="1:16" ht="23.25" hidden="1" customHeight="1" x14ac:dyDescent="0.35">
      <c r="A68" s="12">
        <v>5473</v>
      </c>
      <c r="B68" s="12" t="s">
        <v>93</v>
      </c>
      <c r="C68" s="12" t="s">
        <v>94</v>
      </c>
      <c r="D68" s="12" t="s">
        <v>95</v>
      </c>
      <c r="E68" s="12" t="s">
        <v>137</v>
      </c>
      <c r="F68" s="12" t="s">
        <v>66</v>
      </c>
      <c r="G68" s="12" t="s">
        <v>69</v>
      </c>
      <c r="H68" s="12">
        <v>1400100</v>
      </c>
      <c r="I68" s="13">
        <v>45888.597708333298</v>
      </c>
      <c r="J68" s="12" t="s">
        <v>127</v>
      </c>
      <c r="K68" s="12" t="s">
        <v>135</v>
      </c>
      <c r="L68" s="14"/>
      <c r="M68" s="14">
        <f t="shared" si="1"/>
        <v>0</v>
      </c>
      <c r="N68" s="7" t="s">
        <v>201</v>
      </c>
      <c r="O68" s="12"/>
      <c r="P68" s="12" t="s">
        <v>130</v>
      </c>
    </row>
    <row r="69" spans="1:16" ht="23.25" hidden="1" customHeight="1" x14ac:dyDescent="0.35">
      <c r="A69" s="12">
        <v>5474</v>
      </c>
      <c r="B69" s="12" t="s">
        <v>93</v>
      </c>
      <c r="C69" s="12" t="s">
        <v>96</v>
      </c>
      <c r="D69" s="12" t="s">
        <v>97</v>
      </c>
      <c r="E69" s="12" t="s">
        <v>126</v>
      </c>
      <c r="F69" s="12" t="s">
        <v>66</v>
      </c>
      <c r="G69" s="12" t="s">
        <v>69</v>
      </c>
      <c r="H69" s="12">
        <v>1400100</v>
      </c>
      <c r="I69" s="13">
        <v>45888.597708333298</v>
      </c>
      <c r="J69" s="12" t="s">
        <v>127</v>
      </c>
      <c r="K69" s="12" t="s">
        <v>135</v>
      </c>
      <c r="L69" s="14"/>
      <c r="M69" s="14">
        <f t="shared" si="1"/>
        <v>0</v>
      </c>
      <c r="N69" s="7" t="s">
        <v>202</v>
      </c>
      <c r="O69" s="12"/>
      <c r="P69" s="12" t="s">
        <v>130</v>
      </c>
    </row>
    <row r="70" spans="1:16" ht="34.5" hidden="1" customHeight="1" x14ac:dyDescent="0.35">
      <c r="A70" s="12">
        <v>5475</v>
      </c>
      <c r="B70" s="12" t="s">
        <v>93</v>
      </c>
      <c r="C70" s="12" t="s">
        <v>96</v>
      </c>
      <c r="D70" s="12" t="s">
        <v>97</v>
      </c>
      <c r="E70" s="12" t="s">
        <v>131</v>
      </c>
      <c r="F70" s="12" t="s">
        <v>66</v>
      </c>
      <c r="G70" s="12" t="s">
        <v>69</v>
      </c>
      <c r="H70" s="12">
        <v>1400100</v>
      </c>
      <c r="I70" s="13">
        <v>45888.597708333298</v>
      </c>
      <c r="J70" s="12" t="s">
        <v>127</v>
      </c>
      <c r="K70" s="12" t="s">
        <v>135</v>
      </c>
      <c r="L70" s="14"/>
      <c r="M70" s="14">
        <f t="shared" si="1"/>
        <v>0</v>
      </c>
      <c r="N70" s="7" t="s">
        <v>203</v>
      </c>
      <c r="O70" s="12"/>
      <c r="P70" s="12" t="s">
        <v>130</v>
      </c>
    </row>
    <row r="71" spans="1:16" ht="34.5" hidden="1" customHeight="1" x14ac:dyDescent="0.35">
      <c r="A71" s="12">
        <v>5476</v>
      </c>
      <c r="B71" s="12" t="s">
        <v>93</v>
      </c>
      <c r="C71" s="12" t="s">
        <v>96</v>
      </c>
      <c r="D71" s="12" t="s">
        <v>97</v>
      </c>
      <c r="E71" s="12" t="s">
        <v>134</v>
      </c>
      <c r="F71" s="12" t="s">
        <v>66</v>
      </c>
      <c r="G71" s="12" t="s">
        <v>69</v>
      </c>
      <c r="H71" s="12">
        <v>1400100</v>
      </c>
      <c r="I71" s="13">
        <v>45888.597708333298</v>
      </c>
      <c r="J71" s="12" t="s">
        <v>127</v>
      </c>
      <c r="K71" s="12" t="s">
        <v>135</v>
      </c>
      <c r="L71" s="14"/>
      <c r="M71" s="14">
        <f t="shared" si="1"/>
        <v>0</v>
      </c>
      <c r="N71" s="7" t="s">
        <v>203</v>
      </c>
      <c r="O71" s="12"/>
      <c r="P71" s="12" t="s">
        <v>130</v>
      </c>
    </row>
    <row r="72" spans="1:16" ht="34.5" hidden="1" customHeight="1" x14ac:dyDescent="0.35">
      <c r="A72" s="12">
        <v>5481</v>
      </c>
      <c r="B72" s="12" t="s">
        <v>93</v>
      </c>
      <c r="C72" s="12" t="s">
        <v>98</v>
      </c>
      <c r="D72" s="12" t="s">
        <v>99</v>
      </c>
      <c r="E72" s="12" t="s">
        <v>126</v>
      </c>
      <c r="F72" s="12" t="s">
        <v>66</v>
      </c>
      <c r="G72" s="12" t="s">
        <v>69</v>
      </c>
      <c r="H72" s="12">
        <v>1400100</v>
      </c>
      <c r="I72" s="13">
        <v>45888.597708333298</v>
      </c>
      <c r="J72" s="12" t="s">
        <v>127</v>
      </c>
      <c r="K72" s="12" t="s">
        <v>135</v>
      </c>
      <c r="L72" s="14"/>
      <c r="M72" s="14">
        <f t="shared" si="1"/>
        <v>0</v>
      </c>
      <c r="N72" s="7" t="s">
        <v>204</v>
      </c>
      <c r="O72" s="12"/>
      <c r="P72" s="12" t="s">
        <v>130</v>
      </c>
    </row>
    <row r="73" spans="1:16" ht="23.25" hidden="1" customHeight="1" x14ac:dyDescent="0.35">
      <c r="A73" s="12">
        <v>5477</v>
      </c>
      <c r="B73" s="12" t="s">
        <v>93</v>
      </c>
      <c r="C73" s="12" t="s">
        <v>98</v>
      </c>
      <c r="D73" s="12" t="s">
        <v>99</v>
      </c>
      <c r="E73" s="12" t="s">
        <v>131</v>
      </c>
      <c r="F73" s="12" t="s">
        <v>66</v>
      </c>
      <c r="G73" s="12" t="s">
        <v>69</v>
      </c>
      <c r="H73" s="12">
        <v>1400100</v>
      </c>
      <c r="I73" s="13">
        <v>45888.597708333298</v>
      </c>
      <c r="J73" s="12" t="s">
        <v>127</v>
      </c>
      <c r="K73" s="12" t="s">
        <v>135</v>
      </c>
      <c r="L73" s="14"/>
      <c r="M73" s="14">
        <f t="shared" si="1"/>
        <v>0</v>
      </c>
      <c r="N73" s="7" t="s">
        <v>205</v>
      </c>
      <c r="O73" s="12"/>
      <c r="P73" s="12" t="s">
        <v>130</v>
      </c>
    </row>
    <row r="74" spans="1:16" ht="79.5" hidden="1" customHeight="1" x14ac:dyDescent="0.35">
      <c r="A74" s="12">
        <v>7064</v>
      </c>
      <c r="B74" s="12" t="s">
        <v>93</v>
      </c>
      <c r="C74" s="12" t="s">
        <v>94</v>
      </c>
      <c r="D74" s="12" t="s">
        <v>95</v>
      </c>
      <c r="E74" s="12" t="s">
        <v>126</v>
      </c>
      <c r="F74" s="12" t="s">
        <v>66</v>
      </c>
      <c r="G74" s="12" t="s">
        <v>70</v>
      </c>
      <c r="H74" s="12">
        <v>5002704</v>
      </c>
      <c r="I74" s="13">
        <v>45899.601481481499</v>
      </c>
      <c r="J74" s="12" t="s">
        <v>127</v>
      </c>
      <c r="K74" s="12" t="s">
        <v>142</v>
      </c>
      <c r="L74" s="14">
        <v>0.33300000000000002</v>
      </c>
      <c r="M74" s="14">
        <f t="shared" si="1"/>
        <v>0.33300000000000002</v>
      </c>
      <c r="N74" s="7" t="s">
        <v>206</v>
      </c>
      <c r="O74" s="12"/>
      <c r="P74" s="12" t="s">
        <v>130</v>
      </c>
    </row>
    <row r="75" spans="1:16" ht="45.75" hidden="1" customHeight="1" x14ac:dyDescent="0.35">
      <c r="A75" s="12">
        <v>7065</v>
      </c>
      <c r="B75" s="12" t="s">
        <v>93</v>
      </c>
      <c r="C75" s="12" t="s">
        <v>94</v>
      </c>
      <c r="D75" s="12" t="s">
        <v>95</v>
      </c>
      <c r="E75" s="12" t="s">
        <v>131</v>
      </c>
      <c r="F75" s="12" t="s">
        <v>66</v>
      </c>
      <c r="G75" s="12" t="s">
        <v>70</v>
      </c>
      <c r="H75" s="12">
        <v>5002704</v>
      </c>
      <c r="I75" s="13">
        <v>45899.601481481499</v>
      </c>
      <c r="J75" s="12" t="s">
        <v>127</v>
      </c>
      <c r="K75" s="12" t="s">
        <v>135</v>
      </c>
      <c r="L75" s="14"/>
      <c r="M75" s="14">
        <f t="shared" si="1"/>
        <v>0</v>
      </c>
      <c r="N75" s="7" t="s">
        <v>207</v>
      </c>
      <c r="O75" s="12"/>
      <c r="P75" s="12" t="s">
        <v>130</v>
      </c>
    </row>
    <row r="76" spans="1:16" ht="68.25" hidden="1" customHeight="1" x14ac:dyDescent="0.35">
      <c r="A76" s="12">
        <v>7077</v>
      </c>
      <c r="B76" s="12" t="s">
        <v>93</v>
      </c>
      <c r="C76" s="12" t="s">
        <v>94</v>
      </c>
      <c r="D76" s="12" t="s">
        <v>95</v>
      </c>
      <c r="E76" s="12" t="s">
        <v>134</v>
      </c>
      <c r="F76" s="12" t="s">
        <v>66</v>
      </c>
      <c r="G76" s="12" t="s">
        <v>70</v>
      </c>
      <c r="H76" s="12">
        <v>5002704</v>
      </c>
      <c r="I76" s="13">
        <v>45899.601481481499</v>
      </c>
      <c r="J76" s="12" t="s">
        <v>127</v>
      </c>
      <c r="K76" s="12" t="s">
        <v>142</v>
      </c>
      <c r="L76" s="14">
        <v>0.33300000000000002</v>
      </c>
      <c r="M76" s="14">
        <f t="shared" si="1"/>
        <v>0.33300000000000002</v>
      </c>
      <c r="N76" s="7" t="s">
        <v>208</v>
      </c>
      <c r="O76" s="12"/>
      <c r="P76" s="12" t="s">
        <v>130</v>
      </c>
    </row>
    <row r="77" spans="1:16" ht="45.75" hidden="1" customHeight="1" x14ac:dyDescent="0.35">
      <c r="A77" s="12">
        <v>7083</v>
      </c>
      <c r="B77" s="12" t="s">
        <v>93</v>
      </c>
      <c r="C77" s="12" t="s">
        <v>94</v>
      </c>
      <c r="D77" s="12" t="s">
        <v>95</v>
      </c>
      <c r="E77" s="12" t="s">
        <v>137</v>
      </c>
      <c r="F77" s="12" t="s">
        <v>66</v>
      </c>
      <c r="G77" s="12" t="s">
        <v>70</v>
      </c>
      <c r="H77" s="12">
        <v>5002704</v>
      </c>
      <c r="I77" s="13">
        <v>45899.601481481499</v>
      </c>
      <c r="J77" s="12" t="s">
        <v>127</v>
      </c>
      <c r="K77" s="12" t="s">
        <v>135</v>
      </c>
      <c r="L77" s="14"/>
      <c r="M77" s="14">
        <f t="shared" si="1"/>
        <v>0</v>
      </c>
      <c r="N77" s="7" t="s">
        <v>209</v>
      </c>
      <c r="O77" s="12"/>
      <c r="P77" s="12" t="s">
        <v>130</v>
      </c>
    </row>
    <row r="78" spans="1:16" ht="79.5" hidden="1" customHeight="1" x14ac:dyDescent="0.35">
      <c r="A78" s="12">
        <v>7086</v>
      </c>
      <c r="B78" s="12" t="s">
        <v>93</v>
      </c>
      <c r="C78" s="12" t="s">
        <v>96</v>
      </c>
      <c r="D78" s="12" t="s">
        <v>97</v>
      </c>
      <c r="E78" s="12" t="s">
        <v>126</v>
      </c>
      <c r="F78" s="12" t="s">
        <v>66</v>
      </c>
      <c r="G78" s="12" t="s">
        <v>70</v>
      </c>
      <c r="H78" s="12">
        <v>5002704</v>
      </c>
      <c r="I78" s="13">
        <v>45899.601481481499</v>
      </c>
      <c r="J78" s="12" t="s">
        <v>127</v>
      </c>
      <c r="K78" s="12" t="s">
        <v>132</v>
      </c>
      <c r="L78" s="14">
        <v>0.66600000000000004</v>
      </c>
      <c r="M78" s="14">
        <f t="shared" si="1"/>
        <v>0.66600000000000004</v>
      </c>
      <c r="N78" s="7" t="s">
        <v>210</v>
      </c>
      <c r="O78" s="12"/>
      <c r="P78" s="12" t="s">
        <v>130</v>
      </c>
    </row>
    <row r="79" spans="1:16" ht="90.75" hidden="1" customHeight="1" x14ac:dyDescent="0.35">
      <c r="A79" s="12">
        <v>7155</v>
      </c>
      <c r="B79" s="12" t="s">
        <v>93</v>
      </c>
      <c r="C79" s="12" t="s">
        <v>96</v>
      </c>
      <c r="D79" s="12" t="s">
        <v>97</v>
      </c>
      <c r="E79" s="12" t="s">
        <v>131</v>
      </c>
      <c r="F79" s="12" t="s">
        <v>66</v>
      </c>
      <c r="G79" s="12" t="s">
        <v>70</v>
      </c>
      <c r="H79" s="12">
        <v>5002704</v>
      </c>
      <c r="I79" s="13">
        <v>45899.601481481499</v>
      </c>
      <c r="J79" s="12" t="s">
        <v>127</v>
      </c>
      <c r="K79" s="12" t="s">
        <v>132</v>
      </c>
      <c r="L79" s="14">
        <v>0.66600000000000004</v>
      </c>
      <c r="M79" s="14">
        <f t="shared" si="1"/>
        <v>0.66600000000000004</v>
      </c>
      <c r="N79" s="7" t="s">
        <v>211</v>
      </c>
      <c r="O79" s="12"/>
      <c r="P79" s="12" t="s">
        <v>130</v>
      </c>
    </row>
    <row r="80" spans="1:16" ht="79.5" hidden="1" customHeight="1" x14ac:dyDescent="0.35">
      <c r="A80" s="12">
        <v>7183</v>
      </c>
      <c r="B80" s="12" t="s">
        <v>93</v>
      </c>
      <c r="C80" s="12" t="s">
        <v>96</v>
      </c>
      <c r="D80" s="12" t="s">
        <v>97</v>
      </c>
      <c r="E80" s="12" t="s">
        <v>134</v>
      </c>
      <c r="F80" s="12" t="s">
        <v>66</v>
      </c>
      <c r="G80" s="12" t="s">
        <v>70</v>
      </c>
      <c r="H80" s="12">
        <v>5002704</v>
      </c>
      <c r="I80" s="13">
        <v>45899.601481481499</v>
      </c>
      <c r="J80" s="12" t="s">
        <v>127</v>
      </c>
      <c r="K80" s="12" t="s">
        <v>135</v>
      </c>
      <c r="L80" s="14"/>
      <c r="M80" s="14">
        <f t="shared" si="1"/>
        <v>0</v>
      </c>
      <c r="N80" s="7" t="s">
        <v>212</v>
      </c>
      <c r="O80" s="12"/>
      <c r="P80" s="12" t="s">
        <v>130</v>
      </c>
    </row>
    <row r="81" spans="1:16" ht="79.5" hidden="1" customHeight="1" x14ac:dyDescent="0.35">
      <c r="A81" s="12">
        <v>7204</v>
      </c>
      <c r="B81" s="12" t="s">
        <v>93</v>
      </c>
      <c r="C81" s="12" t="s">
        <v>98</v>
      </c>
      <c r="D81" s="12" t="s">
        <v>99</v>
      </c>
      <c r="E81" s="12" t="s">
        <v>126</v>
      </c>
      <c r="F81" s="12" t="s">
        <v>66</v>
      </c>
      <c r="G81" s="12" t="s">
        <v>70</v>
      </c>
      <c r="H81" s="12">
        <v>5002704</v>
      </c>
      <c r="I81" s="13">
        <v>45899.601481481499</v>
      </c>
      <c r="J81" s="12" t="s">
        <v>127</v>
      </c>
      <c r="K81" s="12" t="s">
        <v>132</v>
      </c>
      <c r="L81" s="14">
        <v>0.66600000000000004</v>
      </c>
      <c r="M81" s="14">
        <f t="shared" si="1"/>
        <v>0.66600000000000004</v>
      </c>
      <c r="N81" s="7" t="s">
        <v>213</v>
      </c>
      <c r="O81" s="12"/>
      <c r="P81" s="12" t="s">
        <v>130</v>
      </c>
    </row>
    <row r="82" spans="1:16" ht="23.25" hidden="1" customHeight="1" x14ac:dyDescent="0.35">
      <c r="A82" s="12">
        <v>7211</v>
      </c>
      <c r="B82" s="12" t="s">
        <v>93</v>
      </c>
      <c r="C82" s="12" t="s">
        <v>98</v>
      </c>
      <c r="D82" s="12" t="s">
        <v>99</v>
      </c>
      <c r="E82" s="12" t="s">
        <v>131</v>
      </c>
      <c r="F82" s="12" t="s">
        <v>66</v>
      </c>
      <c r="G82" s="12" t="s">
        <v>70</v>
      </c>
      <c r="H82" s="12">
        <v>5002704</v>
      </c>
      <c r="I82" s="13">
        <v>45899.601481481499</v>
      </c>
      <c r="J82" s="12" t="s">
        <v>127</v>
      </c>
      <c r="K82" s="12" t="s">
        <v>135</v>
      </c>
      <c r="L82" s="14"/>
      <c r="M82" s="14">
        <f t="shared" si="1"/>
        <v>0</v>
      </c>
      <c r="N82" s="7" t="s">
        <v>214</v>
      </c>
      <c r="O82" s="12"/>
      <c r="P82" s="12" t="s">
        <v>130</v>
      </c>
    </row>
    <row r="83" spans="1:16" ht="180" hidden="1" customHeight="1" x14ac:dyDescent="0.35">
      <c r="A83" s="12">
        <v>7141</v>
      </c>
      <c r="B83" s="12" t="s">
        <v>93</v>
      </c>
      <c r="C83" s="12" t="s">
        <v>94</v>
      </c>
      <c r="D83" s="12" t="s">
        <v>95</v>
      </c>
      <c r="E83" s="12" t="s">
        <v>126</v>
      </c>
      <c r="F83" s="12" t="s">
        <v>39</v>
      </c>
      <c r="G83" s="12" t="s">
        <v>45</v>
      </c>
      <c r="H83" s="12">
        <v>23</v>
      </c>
      <c r="I83" s="13">
        <v>45918.555115740703</v>
      </c>
      <c r="J83" s="12" t="s">
        <v>127</v>
      </c>
      <c r="K83" s="12" t="s">
        <v>132</v>
      </c>
      <c r="L83" s="14">
        <v>0.66600000000000004</v>
      </c>
      <c r="M83" s="14">
        <f t="shared" si="1"/>
        <v>0.66600000000000004</v>
      </c>
      <c r="N83" s="7" t="s">
        <v>215</v>
      </c>
      <c r="O83" s="12"/>
      <c r="P83" s="12" t="s">
        <v>130</v>
      </c>
    </row>
    <row r="84" spans="1:16" ht="68.25" hidden="1" customHeight="1" x14ac:dyDescent="0.35">
      <c r="A84" s="12">
        <v>7161</v>
      </c>
      <c r="B84" s="12" t="s">
        <v>93</v>
      </c>
      <c r="C84" s="12" t="s">
        <v>94</v>
      </c>
      <c r="D84" s="12" t="s">
        <v>95</v>
      </c>
      <c r="E84" s="12" t="s">
        <v>131</v>
      </c>
      <c r="F84" s="12" t="s">
        <v>39</v>
      </c>
      <c r="G84" s="12" t="s">
        <v>45</v>
      </c>
      <c r="H84" s="12">
        <v>23</v>
      </c>
      <c r="I84" s="13">
        <v>45918.555115740703</v>
      </c>
      <c r="J84" s="12" t="s">
        <v>127</v>
      </c>
      <c r="K84" s="12" t="s">
        <v>135</v>
      </c>
      <c r="L84" s="14"/>
      <c r="M84" s="14">
        <f t="shared" si="1"/>
        <v>0</v>
      </c>
      <c r="N84" s="7" t="s">
        <v>216</v>
      </c>
      <c r="O84" s="12"/>
      <c r="P84" s="12" t="s">
        <v>130</v>
      </c>
    </row>
    <row r="85" spans="1:16" ht="79.5" hidden="1" customHeight="1" x14ac:dyDescent="0.35">
      <c r="A85" s="12">
        <v>7162</v>
      </c>
      <c r="B85" s="12" t="s">
        <v>93</v>
      </c>
      <c r="C85" s="12" t="s">
        <v>94</v>
      </c>
      <c r="D85" s="12" t="s">
        <v>95</v>
      </c>
      <c r="E85" s="12" t="s">
        <v>134</v>
      </c>
      <c r="F85" s="12" t="s">
        <v>39</v>
      </c>
      <c r="G85" s="12" t="s">
        <v>45</v>
      </c>
      <c r="H85" s="12">
        <v>23</v>
      </c>
      <c r="I85" s="13">
        <v>45918.555115740703</v>
      </c>
      <c r="J85" s="12" t="s">
        <v>127</v>
      </c>
      <c r="K85" s="12" t="s">
        <v>142</v>
      </c>
      <c r="L85" s="14">
        <v>0.33300000000000002</v>
      </c>
      <c r="M85" s="14">
        <f t="shared" si="1"/>
        <v>0.33300000000000002</v>
      </c>
      <c r="N85" s="7" t="s">
        <v>217</v>
      </c>
      <c r="O85" s="12"/>
      <c r="P85" s="12" t="s">
        <v>130</v>
      </c>
    </row>
    <row r="86" spans="1:16" ht="113.25" hidden="1" customHeight="1" x14ac:dyDescent="0.35">
      <c r="A86" s="12">
        <v>7163</v>
      </c>
      <c r="B86" s="12" t="s">
        <v>93</v>
      </c>
      <c r="C86" s="12" t="s">
        <v>94</v>
      </c>
      <c r="D86" s="12" t="s">
        <v>95</v>
      </c>
      <c r="E86" s="12" t="s">
        <v>137</v>
      </c>
      <c r="F86" s="12" t="s">
        <v>39</v>
      </c>
      <c r="G86" s="12" t="s">
        <v>45</v>
      </c>
      <c r="H86" s="12">
        <v>23</v>
      </c>
      <c r="I86" s="13">
        <v>45918.555115740703</v>
      </c>
      <c r="J86" s="12" t="s">
        <v>127</v>
      </c>
      <c r="K86" s="12" t="s">
        <v>142</v>
      </c>
      <c r="L86" s="14">
        <v>0.33300000000000002</v>
      </c>
      <c r="M86" s="14">
        <f t="shared" si="1"/>
        <v>0.33300000000000002</v>
      </c>
      <c r="N86" s="7" t="s">
        <v>218</v>
      </c>
      <c r="O86" s="12"/>
      <c r="P86" s="12" t="s">
        <v>130</v>
      </c>
    </row>
    <row r="87" spans="1:16" ht="102" hidden="1" customHeight="1" x14ac:dyDescent="0.35">
      <c r="A87" s="12">
        <v>7152</v>
      </c>
      <c r="B87" s="12" t="s">
        <v>93</v>
      </c>
      <c r="C87" s="12" t="s">
        <v>96</v>
      </c>
      <c r="D87" s="12" t="s">
        <v>97</v>
      </c>
      <c r="E87" s="12" t="s">
        <v>126</v>
      </c>
      <c r="F87" s="12" t="s">
        <v>39</v>
      </c>
      <c r="G87" s="12" t="s">
        <v>45</v>
      </c>
      <c r="H87" s="12">
        <v>23</v>
      </c>
      <c r="I87" s="13">
        <v>45918.555115740703</v>
      </c>
      <c r="J87" s="12" t="s">
        <v>127</v>
      </c>
      <c r="K87" s="12" t="s">
        <v>142</v>
      </c>
      <c r="L87" s="14">
        <v>0.33300000000000002</v>
      </c>
      <c r="M87" s="14">
        <f t="shared" si="1"/>
        <v>0.33300000000000002</v>
      </c>
      <c r="N87" s="7" t="s">
        <v>219</v>
      </c>
      <c r="O87" s="12"/>
      <c r="P87" s="12" t="s">
        <v>130</v>
      </c>
    </row>
    <row r="88" spans="1:16" ht="147" hidden="1" customHeight="1" x14ac:dyDescent="0.35">
      <c r="A88" s="12">
        <v>7153</v>
      </c>
      <c r="B88" s="12" t="s">
        <v>93</v>
      </c>
      <c r="C88" s="12" t="s">
        <v>96</v>
      </c>
      <c r="D88" s="12" t="s">
        <v>97</v>
      </c>
      <c r="E88" s="12" t="s">
        <v>131</v>
      </c>
      <c r="F88" s="12" t="s">
        <v>39</v>
      </c>
      <c r="G88" s="12" t="s">
        <v>45</v>
      </c>
      <c r="H88" s="12">
        <v>23</v>
      </c>
      <c r="I88" s="13">
        <v>45918.555115740703</v>
      </c>
      <c r="J88" s="12" t="s">
        <v>127</v>
      </c>
      <c r="K88" s="12" t="s">
        <v>142</v>
      </c>
      <c r="L88" s="14">
        <v>0.33300000000000002</v>
      </c>
      <c r="M88" s="14">
        <f t="shared" si="1"/>
        <v>0.33300000000000002</v>
      </c>
      <c r="N88" s="7" t="s">
        <v>220</v>
      </c>
      <c r="O88" s="12"/>
      <c r="P88" s="12" t="s">
        <v>130</v>
      </c>
    </row>
    <row r="89" spans="1:16" ht="68.25" hidden="1" customHeight="1" x14ac:dyDescent="0.35">
      <c r="A89" s="12">
        <v>7154</v>
      </c>
      <c r="B89" s="12" t="s">
        <v>93</v>
      </c>
      <c r="C89" s="12" t="s">
        <v>96</v>
      </c>
      <c r="D89" s="12" t="s">
        <v>97</v>
      </c>
      <c r="E89" s="12" t="s">
        <v>134</v>
      </c>
      <c r="F89" s="12" t="s">
        <v>39</v>
      </c>
      <c r="G89" s="12" t="s">
        <v>45</v>
      </c>
      <c r="H89" s="12">
        <v>23</v>
      </c>
      <c r="I89" s="13">
        <v>45918.555115740703</v>
      </c>
      <c r="J89" s="12" t="s">
        <v>127</v>
      </c>
      <c r="K89" s="12" t="s">
        <v>142</v>
      </c>
      <c r="L89" s="14">
        <v>0.33300000000000002</v>
      </c>
      <c r="M89" s="14">
        <f t="shared" si="1"/>
        <v>0.33300000000000002</v>
      </c>
      <c r="N89" s="7" t="s">
        <v>221</v>
      </c>
      <c r="O89" s="12"/>
      <c r="P89" s="12" t="s">
        <v>130</v>
      </c>
    </row>
    <row r="90" spans="1:16" ht="68.25" hidden="1" customHeight="1" x14ac:dyDescent="0.35">
      <c r="A90" s="12">
        <v>7381</v>
      </c>
      <c r="B90" s="12" t="s">
        <v>93</v>
      </c>
      <c r="C90" s="12" t="s">
        <v>98</v>
      </c>
      <c r="D90" s="12" t="s">
        <v>99</v>
      </c>
      <c r="E90" s="12" t="s">
        <v>126</v>
      </c>
      <c r="F90" s="12" t="s">
        <v>39</v>
      </c>
      <c r="G90" s="12" t="s">
        <v>45</v>
      </c>
      <c r="H90" s="12">
        <v>23</v>
      </c>
      <c r="I90" s="13">
        <v>45918.555115740703</v>
      </c>
      <c r="J90" s="12" t="s">
        <v>127</v>
      </c>
      <c r="K90" s="12" t="s">
        <v>128</v>
      </c>
      <c r="L90" s="14">
        <v>1</v>
      </c>
      <c r="M90" s="14">
        <f t="shared" si="1"/>
        <v>1</v>
      </c>
      <c r="N90" s="7" t="s">
        <v>222</v>
      </c>
      <c r="O90" s="12"/>
      <c r="P90" s="12" t="s">
        <v>130</v>
      </c>
    </row>
    <row r="91" spans="1:16" ht="213.75" hidden="1" customHeight="1" x14ac:dyDescent="0.35">
      <c r="A91" s="12">
        <v>7363</v>
      </c>
      <c r="B91" s="12" t="s">
        <v>93</v>
      </c>
      <c r="C91" s="12" t="s">
        <v>98</v>
      </c>
      <c r="D91" s="12" t="s">
        <v>99</v>
      </c>
      <c r="E91" s="12" t="s">
        <v>131</v>
      </c>
      <c r="F91" s="12" t="s">
        <v>39</v>
      </c>
      <c r="G91" s="12" t="s">
        <v>45</v>
      </c>
      <c r="H91" s="12">
        <v>23</v>
      </c>
      <c r="I91" s="13">
        <v>45918.555115740703</v>
      </c>
      <c r="J91" s="12" t="s">
        <v>127</v>
      </c>
      <c r="K91" s="12" t="s">
        <v>142</v>
      </c>
      <c r="L91" s="14">
        <v>0.33300000000000002</v>
      </c>
      <c r="M91" s="14">
        <f t="shared" si="1"/>
        <v>0.33300000000000002</v>
      </c>
      <c r="N91" s="7" t="s">
        <v>223</v>
      </c>
      <c r="O91" s="12"/>
      <c r="P91" s="12" t="s">
        <v>130</v>
      </c>
    </row>
    <row r="92" spans="1:16" ht="102" hidden="1" customHeight="1" x14ac:dyDescent="0.35">
      <c r="A92" s="12">
        <v>4927</v>
      </c>
      <c r="B92" s="12" t="s">
        <v>93</v>
      </c>
      <c r="C92" s="12" t="s">
        <v>94</v>
      </c>
      <c r="D92" s="12" t="s">
        <v>95</v>
      </c>
      <c r="E92" s="12" t="s">
        <v>126</v>
      </c>
      <c r="F92" s="12" t="s">
        <v>66</v>
      </c>
      <c r="G92" s="12" t="s">
        <v>71</v>
      </c>
      <c r="H92" s="12">
        <v>5103403</v>
      </c>
      <c r="I92" s="13">
        <v>45905.603287037004</v>
      </c>
      <c r="J92" s="12" t="s">
        <v>127</v>
      </c>
      <c r="K92" s="12" t="s">
        <v>135</v>
      </c>
      <c r="L92" s="14"/>
      <c r="M92" s="14">
        <f t="shared" si="1"/>
        <v>0</v>
      </c>
      <c r="N92" s="7" t="s">
        <v>224</v>
      </c>
      <c r="O92" s="12"/>
      <c r="P92" s="12"/>
    </row>
    <row r="93" spans="1:16" ht="213.75" hidden="1" customHeight="1" x14ac:dyDescent="0.35">
      <c r="A93" s="12">
        <v>5021</v>
      </c>
      <c r="B93" s="12" t="s">
        <v>93</v>
      </c>
      <c r="C93" s="12" t="s">
        <v>94</v>
      </c>
      <c r="D93" s="12" t="s">
        <v>95</v>
      </c>
      <c r="E93" s="12" t="s">
        <v>131</v>
      </c>
      <c r="F93" s="12" t="s">
        <v>66</v>
      </c>
      <c r="G93" s="12" t="s">
        <v>71</v>
      </c>
      <c r="H93" s="12">
        <v>5103403</v>
      </c>
      <c r="I93" s="13">
        <v>45905.603287037004</v>
      </c>
      <c r="J93" s="12" t="s">
        <v>127</v>
      </c>
      <c r="K93" s="12" t="s">
        <v>135</v>
      </c>
      <c r="L93" s="14"/>
      <c r="M93" s="14">
        <f t="shared" si="1"/>
        <v>0</v>
      </c>
      <c r="N93" s="7" t="s">
        <v>225</v>
      </c>
      <c r="O93" s="12"/>
      <c r="P93" s="12" t="s">
        <v>130</v>
      </c>
    </row>
    <row r="94" spans="1:16" ht="23.25" hidden="1" customHeight="1" x14ac:dyDescent="0.35">
      <c r="A94" s="12">
        <v>5041</v>
      </c>
      <c r="B94" s="12" t="s">
        <v>93</v>
      </c>
      <c r="C94" s="12" t="s">
        <v>94</v>
      </c>
      <c r="D94" s="12" t="s">
        <v>95</v>
      </c>
      <c r="E94" s="12" t="s">
        <v>134</v>
      </c>
      <c r="F94" s="12" t="s">
        <v>66</v>
      </c>
      <c r="G94" s="12" t="s">
        <v>71</v>
      </c>
      <c r="H94" s="12">
        <v>5103403</v>
      </c>
      <c r="I94" s="13">
        <v>45905.603287037004</v>
      </c>
      <c r="J94" s="12" t="s">
        <v>127</v>
      </c>
      <c r="K94" s="12" t="s">
        <v>135</v>
      </c>
      <c r="L94" s="14"/>
      <c r="M94" s="14">
        <f t="shared" si="1"/>
        <v>0</v>
      </c>
      <c r="N94" s="7" t="s">
        <v>226</v>
      </c>
      <c r="O94" s="12"/>
      <c r="P94" s="12" t="s">
        <v>130</v>
      </c>
    </row>
    <row r="95" spans="1:16" ht="68.25" hidden="1" customHeight="1" x14ac:dyDescent="0.35">
      <c r="A95" s="12">
        <v>5022</v>
      </c>
      <c r="B95" s="12" t="s">
        <v>93</v>
      </c>
      <c r="C95" s="12" t="s">
        <v>94</v>
      </c>
      <c r="D95" s="12" t="s">
        <v>95</v>
      </c>
      <c r="E95" s="12" t="s">
        <v>137</v>
      </c>
      <c r="F95" s="12" t="s">
        <v>66</v>
      </c>
      <c r="G95" s="12" t="s">
        <v>71</v>
      </c>
      <c r="H95" s="12">
        <v>5103403</v>
      </c>
      <c r="I95" s="13">
        <v>45905.603287037004</v>
      </c>
      <c r="J95" s="12" t="s">
        <v>127</v>
      </c>
      <c r="K95" s="12" t="s">
        <v>135</v>
      </c>
      <c r="L95" s="14"/>
      <c r="M95" s="14">
        <f t="shared" si="1"/>
        <v>0</v>
      </c>
      <c r="N95" s="7" t="s">
        <v>227</v>
      </c>
      <c r="O95" s="12"/>
      <c r="P95" s="12" t="s">
        <v>130</v>
      </c>
    </row>
    <row r="96" spans="1:16" ht="34.5" hidden="1" customHeight="1" x14ac:dyDescent="0.35">
      <c r="A96" s="12">
        <v>5042</v>
      </c>
      <c r="B96" s="12" t="s">
        <v>93</v>
      </c>
      <c r="C96" s="12" t="s">
        <v>96</v>
      </c>
      <c r="D96" s="12" t="s">
        <v>97</v>
      </c>
      <c r="E96" s="12" t="s">
        <v>126</v>
      </c>
      <c r="F96" s="12" t="s">
        <v>66</v>
      </c>
      <c r="G96" s="12" t="s">
        <v>71</v>
      </c>
      <c r="H96" s="12">
        <v>5103403</v>
      </c>
      <c r="I96" s="13">
        <v>45905.603287037004</v>
      </c>
      <c r="J96" s="12" t="s">
        <v>127</v>
      </c>
      <c r="K96" s="12" t="s">
        <v>135</v>
      </c>
      <c r="L96" s="14"/>
      <c r="M96" s="14">
        <f t="shared" si="1"/>
        <v>0</v>
      </c>
      <c r="N96" s="7" t="s">
        <v>228</v>
      </c>
      <c r="O96" s="12"/>
      <c r="P96" s="12" t="s">
        <v>130</v>
      </c>
    </row>
    <row r="97" spans="1:16" ht="270" hidden="1" customHeight="1" x14ac:dyDescent="0.35">
      <c r="A97" s="12">
        <v>5181</v>
      </c>
      <c r="B97" s="12" t="s">
        <v>93</v>
      </c>
      <c r="C97" s="12" t="s">
        <v>96</v>
      </c>
      <c r="D97" s="12" t="s">
        <v>97</v>
      </c>
      <c r="E97" s="12" t="s">
        <v>131</v>
      </c>
      <c r="F97" s="12" t="s">
        <v>66</v>
      </c>
      <c r="G97" s="12" t="s">
        <v>71</v>
      </c>
      <c r="H97" s="12">
        <v>5103403</v>
      </c>
      <c r="I97" s="13">
        <v>45905.603287037004</v>
      </c>
      <c r="J97" s="12" t="s">
        <v>127</v>
      </c>
      <c r="K97" s="12" t="s">
        <v>142</v>
      </c>
      <c r="L97" s="14">
        <v>0.33300000000000002</v>
      </c>
      <c r="M97" s="14">
        <f t="shared" si="1"/>
        <v>0.33300000000000002</v>
      </c>
      <c r="N97" s="7" t="s">
        <v>229</v>
      </c>
      <c r="O97" s="12"/>
      <c r="P97" s="12" t="s">
        <v>130</v>
      </c>
    </row>
    <row r="98" spans="1:16" ht="258.75" hidden="1" customHeight="1" x14ac:dyDescent="0.35">
      <c r="A98" s="12">
        <v>5182</v>
      </c>
      <c r="B98" s="12" t="s">
        <v>93</v>
      </c>
      <c r="C98" s="12" t="s">
        <v>96</v>
      </c>
      <c r="D98" s="12" t="s">
        <v>97</v>
      </c>
      <c r="E98" s="12" t="s">
        <v>134</v>
      </c>
      <c r="F98" s="12" t="s">
        <v>66</v>
      </c>
      <c r="G98" s="12" t="s">
        <v>71</v>
      </c>
      <c r="H98" s="12">
        <v>5103403</v>
      </c>
      <c r="I98" s="13">
        <v>45905.603287037004</v>
      </c>
      <c r="J98" s="12" t="s">
        <v>127</v>
      </c>
      <c r="K98" s="12" t="s">
        <v>135</v>
      </c>
      <c r="L98" s="14"/>
      <c r="M98" s="14">
        <f t="shared" si="1"/>
        <v>0</v>
      </c>
      <c r="N98" s="7" t="s">
        <v>230</v>
      </c>
      <c r="O98" s="12"/>
      <c r="P98" s="12" t="s">
        <v>130</v>
      </c>
    </row>
    <row r="99" spans="1:16" ht="258.75" hidden="1" customHeight="1" x14ac:dyDescent="0.35">
      <c r="A99" s="12">
        <v>5183</v>
      </c>
      <c r="B99" s="12" t="s">
        <v>93</v>
      </c>
      <c r="C99" s="12" t="s">
        <v>98</v>
      </c>
      <c r="D99" s="12" t="s">
        <v>99</v>
      </c>
      <c r="E99" s="12" t="s">
        <v>126</v>
      </c>
      <c r="F99" s="12" t="s">
        <v>66</v>
      </c>
      <c r="G99" s="12" t="s">
        <v>71</v>
      </c>
      <c r="H99" s="12">
        <v>5103403</v>
      </c>
      <c r="I99" s="13">
        <v>45905.603287037004</v>
      </c>
      <c r="J99" s="12" t="s">
        <v>127</v>
      </c>
      <c r="K99" s="12" t="s">
        <v>128</v>
      </c>
      <c r="L99" s="14">
        <v>1</v>
      </c>
      <c r="M99" s="14">
        <f t="shared" si="1"/>
        <v>1</v>
      </c>
      <c r="N99" s="7" t="s">
        <v>231</v>
      </c>
      <c r="O99" s="12"/>
      <c r="P99" s="12" t="s">
        <v>130</v>
      </c>
    </row>
    <row r="100" spans="1:16" ht="191.25" hidden="1" customHeight="1" x14ac:dyDescent="0.35">
      <c r="A100" s="12">
        <v>5184</v>
      </c>
      <c r="B100" s="12" t="s">
        <v>93</v>
      </c>
      <c r="C100" s="12" t="s">
        <v>98</v>
      </c>
      <c r="D100" s="12" t="s">
        <v>99</v>
      </c>
      <c r="E100" s="12" t="s">
        <v>131</v>
      </c>
      <c r="F100" s="12" t="s">
        <v>66</v>
      </c>
      <c r="G100" s="12" t="s">
        <v>71</v>
      </c>
      <c r="H100" s="12">
        <v>5103403</v>
      </c>
      <c r="I100" s="13">
        <v>45905.603287037004</v>
      </c>
      <c r="J100" s="12" t="s">
        <v>127</v>
      </c>
      <c r="K100" s="12" t="s">
        <v>135</v>
      </c>
      <c r="L100" s="14"/>
      <c r="M100" s="14">
        <f t="shared" si="1"/>
        <v>0</v>
      </c>
      <c r="N100" s="7" t="s">
        <v>232</v>
      </c>
      <c r="O100" s="12"/>
      <c r="P100" s="12" t="s">
        <v>130</v>
      </c>
    </row>
    <row r="101" spans="1:16" ht="90.75" hidden="1" customHeight="1" x14ac:dyDescent="0.35">
      <c r="A101" s="12">
        <v>7849</v>
      </c>
      <c r="B101" s="12" t="s">
        <v>93</v>
      </c>
      <c r="C101" s="12" t="s">
        <v>94</v>
      </c>
      <c r="D101" s="12" t="s">
        <v>95</v>
      </c>
      <c r="E101" s="12" t="s">
        <v>126</v>
      </c>
      <c r="F101" s="12" t="s">
        <v>66</v>
      </c>
      <c r="G101" s="12" t="s">
        <v>72</v>
      </c>
      <c r="H101" s="12">
        <v>4106902</v>
      </c>
      <c r="I101" s="13">
        <v>45918.9069212963</v>
      </c>
      <c r="J101" s="12" t="s">
        <v>127</v>
      </c>
      <c r="K101" s="12" t="s">
        <v>128</v>
      </c>
      <c r="L101" s="14">
        <v>1</v>
      </c>
      <c r="M101" s="14">
        <f t="shared" si="1"/>
        <v>1</v>
      </c>
      <c r="N101" s="7" t="s">
        <v>233</v>
      </c>
      <c r="O101" s="12"/>
      <c r="P101" s="12" t="s">
        <v>130</v>
      </c>
    </row>
    <row r="102" spans="1:16" ht="124.5" hidden="1" customHeight="1" x14ac:dyDescent="0.35">
      <c r="A102" s="12">
        <v>7850</v>
      </c>
      <c r="B102" s="12" t="s">
        <v>93</v>
      </c>
      <c r="C102" s="12" t="s">
        <v>94</v>
      </c>
      <c r="D102" s="12" t="s">
        <v>95</v>
      </c>
      <c r="E102" s="12" t="s">
        <v>131</v>
      </c>
      <c r="F102" s="12" t="s">
        <v>66</v>
      </c>
      <c r="G102" s="12" t="s">
        <v>72</v>
      </c>
      <c r="H102" s="12">
        <v>4106902</v>
      </c>
      <c r="I102" s="13">
        <v>45918.9069212963</v>
      </c>
      <c r="J102" s="12" t="s">
        <v>127</v>
      </c>
      <c r="K102" s="12" t="s">
        <v>142</v>
      </c>
      <c r="L102" s="14">
        <v>0.33300000000000002</v>
      </c>
      <c r="M102" s="14">
        <f t="shared" si="1"/>
        <v>0.33300000000000002</v>
      </c>
      <c r="N102" s="7" t="s">
        <v>234</v>
      </c>
      <c r="O102" s="12"/>
      <c r="P102" s="12" t="s">
        <v>130</v>
      </c>
    </row>
    <row r="103" spans="1:16" ht="202.5" hidden="1" customHeight="1" x14ac:dyDescent="0.35">
      <c r="A103" s="12">
        <v>7851</v>
      </c>
      <c r="B103" s="12" t="s">
        <v>93</v>
      </c>
      <c r="C103" s="12" t="s">
        <v>94</v>
      </c>
      <c r="D103" s="12" t="s">
        <v>95</v>
      </c>
      <c r="E103" s="12" t="s">
        <v>134</v>
      </c>
      <c r="F103" s="12" t="s">
        <v>66</v>
      </c>
      <c r="G103" s="12" t="s">
        <v>72</v>
      </c>
      <c r="H103" s="12">
        <v>4106902</v>
      </c>
      <c r="I103" s="13">
        <v>45918.9069212963</v>
      </c>
      <c r="J103" s="12" t="s">
        <v>127</v>
      </c>
      <c r="K103" s="12" t="s">
        <v>142</v>
      </c>
      <c r="L103" s="14">
        <v>0.33300000000000002</v>
      </c>
      <c r="M103" s="14">
        <f t="shared" si="1"/>
        <v>0.33300000000000002</v>
      </c>
      <c r="N103" s="7" t="s">
        <v>235</v>
      </c>
      <c r="O103" s="12"/>
      <c r="P103" s="12" t="s">
        <v>130</v>
      </c>
    </row>
    <row r="104" spans="1:16" ht="102" hidden="1" customHeight="1" x14ac:dyDescent="0.35">
      <c r="A104" s="12">
        <v>7852</v>
      </c>
      <c r="B104" s="12" t="s">
        <v>93</v>
      </c>
      <c r="C104" s="12" t="s">
        <v>94</v>
      </c>
      <c r="D104" s="12" t="s">
        <v>95</v>
      </c>
      <c r="E104" s="12" t="s">
        <v>137</v>
      </c>
      <c r="F104" s="12" t="s">
        <v>66</v>
      </c>
      <c r="G104" s="12" t="s">
        <v>72</v>
      </c>
      <c r="H104" s="12">
        <v>4106902</v>
      </c>
      <c r="I104" s="13">
        <v>45918.9069212963</v>
      </c>
      <c r="J104" s="12" t="s">
        <v>127</v>
      </c>
      <c r="K104" s="12" t="s">
        <v>142</v>
      </c>
      <c r="L104" s="14">
        <v>0.33300000000000002</v>
      </c>
      <c r="M104" s="14">
        <f t="shared" si="1"/>
        <v>0.33300000000000002</v>
      </c>
      <c r="N104" s="7" t="s">
        <v>236</v>
      </c>
      <c r="O104" s="12"/>
      <c r="P104" s="12" t="s">
        <v>130</v>
      </c>
    </row>
    <row r="105" spans="1:16" ht="180" hidden="1" customHeight="1" x14ac:dyDescent="0.35">
      <c r="A105" s="12">
        <v>7853</v>
      </c>
      <c r="B105" s="12" t="s">
        <v>93</v>
      </c>
      <c r="C105" s="12" t="s">
        <v>96</v>
      </c>
      <c r="D105" s="12" t="s">
        <v>97</v>
      </c>
      <c r="E105" s="12" t="s">
        <v>126</v>
      </c>
      <c r="F105" s="12" t="s">
        <v>66</v>
      </c>
      <c r="G105" s="12" t="s">
        <v>72</v>
      </c>
      <c r="H105" s="12">
        <v>4106902</v>
      </c>
      <c r="I105" s="13">
        <v>45918.9069212963</v>
      </c>
      <c r="J105" s="12" t="s">
        <v>127</v>
      </c>
      <c r="K105" s="12" t="s">
        <v>132</v>
      </c>
      <c r="L105" s="14">
        <v>0.66600000000000004</v>
      </c>
      <c r="M105" s="14">
        <f t="shared" si="1"/>
        <v>0.66600000000000004</v>
      </c>
      <c r="N105" s="7" t="s">
        <v>237</v>
      </c>
      <c r="O105" s="12"/>
      <c r="P105" s="12" t="s">
        <v>130</v>
      </c>
    </row>
    <row r="106" spans="1:16" ht="79.5" hidden="1" customHeight="1" x14ac:dyDescent="0.35">
      <c r="A106" s="12">
        <v>7854</v>
      </c>
      <c r="B106" s="12" t="s">
        <v>93</v>
      </c>
      <c r="C106" s="12" t="s">
        <v>96</v>
      </c>
      <c r="D106" s="12" t="s">
        <v>97</v>
      </c>
      <c r="E106" s="12" t="s">
        <v>131</v>
      </c>
      <c r="F106" s="12" t="s">
        <v>66</v>
      </c>
      <c r="G106" s="12" t="s">
        <v>72</v>
      </c>
      <c r="H106" s="12">
        <v>4106902</v>
      </c>
      <c r="I106" s="13">
        <v>45918.9069212963</v>
      </c>
      <c r="J106" s="12" t="s">
        <v>127</v>
      </c>
      <c r="K106" s="12" t="s">
        <v>128</v>
      </c>
      <c r="L106" s="14">
        <v>1</v>
      </c>
      <c r="M106" s="14">
        <f t="shared" si="1"/>
        <v>1</v>
      </c>
      <c r="N106" s="7" t="s">
        <v>238</v>
      </c>
      <c r="O106" s="12"/>
      <c r="P106" s="12"/>
    </row>
    <row r="107" spans="1:16" ht="102" hidden="1" customHeight="1" x14ac:dyDescent="0.35">
      <c r="A107" s="12">
        <v>7855</v>
      </c>
      <c r="B107" s="12" t="s">
        <v>93</v>
      </c>
      <c r="C107" s="12" t="s">
        <v>96</v>
      </c>
      <c r="D107" s="12" t="s">
        <v>97</v>
      </c>
      <c r="E107" s="12" t="s">
        <v>134</v>
      </c>
      <c r="F107" s="12" t="s">
        <v>66</v>
      </c>
      <c r="G107" s="12" t="s">
        <v>72</v>
      </c>
      <c r="H107" s="12">
        <v>4106902</v>
      </c>
      <c r="I107" s="13">
        <v>45918.9069212963</v>
      </c>
      <c r="J107" s="12" t="s">
        <v>127</v>
      </c>
      <c r="K107" s="12" t="s">
        <v>132</v>
      </c>
      <c r="L107" s="14">
        <v>0.66600000000000004</v>
      </c>
      <c r="M107" s="14">
        <f t="shared" si="1"/>
        <v>0.66600000000000004</v>
      </c>
      <c r="N107" s="7" t="s">
        <v>239</v>
      </c>
      <c r="O107" s="12"/>
      <c r="P107" s="12" t="s">
        <v>130</v>
      </c>
    </row>
    <row r="108" spans="1:16" ht="57" hidden="1" customHeight="1" x14ac:dyDescent="0.35">
      <c r="A108" s="12">
        <v>7856</v>
      </c>
      <c r="B108" s="12" t="s">
        <v>93</v>
      </c>
      <c r="C108" s="12" t="s">
        <v>98</v>
      </c>
      <c r="D108" s="12" t="s">
        <v>99</v>
      </c>
      <c r="E108" s="12" t="s">
        <v>126</v>
      </c>
      <c r="F108" s="12" t="s">
        <v>66</v>
      </c>
      <c r="G108" s="12" t="s">
        <v>72</v>
      </c>
      <c r="H108" s="12">
        <v>4106902</v>
      </c>
      <c r="I108" s="13">
        <v>45918.9069212963</v>
      </c>
      <c r="J108" s="12" t="s">
        <v>127</v>
      </c>
      <c r="K108" s="12" t="s">
        <v>142</v>
      </c>
      <c r="L108" s="14">
        <v>0.33300000000000002</v>
      </c>
      <c r="M108" s="14">
        <f t="shared" si="1"/>
        <v>0.33300000000000002</v>
      </c>
      <c r="N108" s="7" t="s">
        <v>240</v>
      </c>
      <c r="O108" s="12"/>
      <c r="P108" s="12" t="s">
        <v>130</v>
      </c>
    </row>
    <row r="109" spans="1:16" ht="409.6" hidden="1" customHeight="1" x14ac:dyDescent="0.35">
      <c r="A109" s="12">
        <v>7857</v>
      </c>
      <c r="B109" s="12" t="s">
        <v>93</v>
      </c>
      <c r="C109" s="12" t="s">
        <v>98</v>
      </c>
      <c r="D109" s="12" t="s">
        <v>99</v>
      </c>
      <c r="E109" s="12" t="s">
        <v>131</v>
      </c>
      <c r="F109" s="12" t="s">
        <v>66</v>
      </c>
      <c r="G109" s="12" t="s">
        <v>72</v>
      </c>
      <c r="H109" s="12">
        <v>4106902</v>
      </c>
      <c r="I109" s="13">
        <v>45918.9069212963</v>
      </c>
      <c r="J109" s="12" t="s">
        <v>127</v>
      </c>
      <c r="K109" s="12" t="s">
        <v>135</v>
      </c>
      <c r="L109" s="14"/>
      <c r="M109" s="14">
        <f t="shared" si="1"/>
        <v>0</v>
      </c>
      <c r="N109" s="7" t="s">
        <v>241</v>
      </c>
      <c r="O109" s="12"/>
      <c r="P109" s="12" t="s">
        <v>130</v>
      </c>
    </row>
    <row r="110" spans="1:16" ht="191.25" hidden="1" customHeight="1" x14ac:dyDescent="0.35">
      <c r="A110" s="12">
        <v>5701</v>
      </c>
      <c r="B110" s="12" t="s">
        <v>93</v>
      </c>
      <c r="C110" s="12" t="s">
        <v>94</v>
      </c>
      <c r="D110" s="12" t="s">
        <v>95</v>
      </c>
      <c r="E110" s="12" t="s">
        <v>126</v>
      </c>
      <c r="F110" s="12" t="s">
        <v>39</v>
      </c>
      <c r="G110" s="12" t="s">
        <v>46</v>
      </c>
      <c r="H110" s="12">
        <v>32</v>
      </c>
      <c r="I110" s="13">
        <v>45939.851863425902</v>
      </c>
      <c r="J110" s="12" t="s">
        <v>127</v>
      </c>
      <c r="K110" s="12" t="s">
        <v>132</v>
      </c>
      <c r="L110" s="14">
        <v>0.66600000000000004</v>
      </c>
      <c r="M110" s="14">
        <f t="shared" si="1"/>
        <v>0.66600000000000004</v>
      </c>
      <c r="N110" s="7" t="s">
        <v>242</v>
      </c>
      <c r="O110" s="12"/>
      <c r="P110" s="12" t="s">
        <v>130</v>
      </c>
    </row>
    <row r="111" spans="1:16" ht="191.25" hidden="1" customHeight="1" x14ac:dyDescent="0.35">
      <c r="A111" s="12">
        <v>5702</v>
      </c>
      <c r="B111" s="12" t="s">
        <v>93</v>
      </c>
      <c r="C111" s="12" t="s">
        <v>94</v>
      </c>
      <c r="D111" s="12" t="s">
        <v>95</v>
      </c>
      <c r="E111" s="12" t="s">
        <v>131</v>
      </c>
      <c r="F111" s="12" t="s">
        <v>39</v>
      </c>
      <c r="G111" s="12" t="s">
        <v>46</v>
      </c>
      <c r="H111" s="12">
        <v>32</v>
      </c>
      <c r="I111" s="13">
        <v>45939.851863425902</v>
      </c>
      <c r="J111" s="12" t="s">
        <v>127</v>
      </c>
      <c r="K111" s="12" t="s">
        <v>142</v>
      </c>
      <c r="L111" s="14">
        <v>0.33300000000000002</v>
      </c>
      <c r="M111" s="14">
        <f t="shared" si="1"/>
        <v>0.33300000000000002</v>
      </c>
      <c r="N111" s="7" t="s">
        <v>243</v>
      </c>
      <c r="O111" s="12"/>
      <c r="P111" s="12" t="s">
        <v>130</v>
      </c>
    </row>
    <row r="112" spans="1:16" ht="213.75" hidden="1" customHeight="1" x14ac:dyDescent="0.35">
      <c r="A112" s="12">
        <v>5703</v>
      </c>
      <c r="B112" s="12" t="s">
        <v>93</v>
      </c>
      <c r="C112" s="12" t="s">
        <v>94</v>
      </c>
      <c r="D112" s="12" t="s">
        <v>95</v>
      </c>
      <c r="E112" s="12" t="s">
        <v>134</v>
      </c>
      <c r="F112" s="12" t="s">
        <v>39</v>
      </c>
      <c r="G112" s="12" t="s">
        <v>46</v>
      </c>
      <c r="H112" s="12">
        <v>32</v>
      </c>
      <c r="I112" s="13">
        <v>45939.851863425902</v>
      </c>
      <c r="J112" s="12" t="s">
        <v>127</v>
      </c>
      <c r="K112" s="12" t="s">
        <v>135</v>
      </c>
      <c r="L112" s="14"/>
      <c r="M112" s="14">
        <f t="shared" si="1"/>
        <v>0</v>
      </c>
      <c r="N112" s="7" t="s">
        <v>244</v>
      </c>
      <c r="O112" s="12"/>
      <c r="P112" s="12" t="s">
        <v>130</v>
      </c>
    </row>
    <row r="113" spans="1:16" ht="213.75" hidden="1" customHeight="1" x14ac:dyDescent="0.35">
      <c r="A113" s="12">
        <v>5704</v>
      </c>
      <c r="B113" s="12" t="s">
        <v>93</v>
      </c>
      <c r="C113" s="12" t="s">
        <v>94</v>
      </c>
      <c r="D113" s="12" t="s">
        <v>95</v>
      </c>
      <c r="E113" s="12" t="s">
        <v>137</v>
      </c>
      <c r="F113" s="12" t="s">
        <v>39</v>
      </c>
      <c r="G113" s="12" t="s">
        <v>46</v>
      </c>
      <c r="H113" s="12">
        <v>32</v>
      </c>
      <c r="I113" s="13">
        <v>45939.851863425902</v>
      </c>
      <c r="J113" s="12" t="s">
        <v>127</v>
      </c>
      <c r="K113" s="12" t="s">
        <v>135</v>
      </c>
      <c r="L113" s="14"/>
      <c r="M113" s="14">
        <f t="shared" si="1"/>
        <v>0</v>
      </c>
      <c r="N113" s="7" t="s">
        <v>245</v>
      </c>
      <c r="O113" s="12"/>
      <c r="P113" s="12" t="s">
        <v>130</v>
      </c>
    </row>
    <row r="114" spans="1:16" ht="213.75" hidden="1" customHeight="1" x14ac:dyDescent="0.35">
      <c r="A114" s="12">
        <v>7200</v>
      </c>
      <c r="B114" s="12" t="s">
        <v>93</v>
      </c>
      <c r="C114" s="12" t="s">
        <v>96</v>
      </c>
      <c r="D114" s="12" t="s">
        <v>97</v>
      </c>
      <c r="E114" s="12" t="s">
        <v>126</v>
      </c>
      <c r="F114" s="12" t="s">
        <v>39</v>
      </c>
      <c r="G114" s="12" t="s">
        <v>46</v>
      </c>
      <c r="H114" s="12">
        <v>32</v>
      </c>
      <c r="I114" s="13">
        <v>45939.851863425902</v>
      </c>
      <c r="J114" s="12" t="s">
        <v>127</v>
      </c>
      <c r="K114" s="12" t="s">
        <v>142</v>
      </c>
      <c r="L114" s="14">
        <v>0.33300000000000002</v>
      </c>
      <c r="M114" s="14">
        <f t="shared" si="1"/>
        <v>0.33300000000000002</v>
      </c>
      <c r="N114" s="7" t="s">
        <v>246</v>
      </c>
      <c r="O114" s="12"/>
      <c r="P114" s="12" t="s">
        <v>130</v>
      </c>
    </row>
    <row r="115" spans="1:16" ht="213.75" hidden="1" customHeight="1" x14ac:dyDescent="0.35">
      <c r="A115" s="12">
        <v>7255</v>
      </c>
      <c r="B115" s="12" t="s">
        <v>93</v>
      </c>
      <c r="C115" s="12" t="s">
        <v>96</v>
      </c>
      <c r="D115" s="12" t="s">
        <v>97</v>
      </c>
      <c r="E115" s="12" t="s">
        <v>131</v>
      </c>
      <c r="F115" s="12" t="s">
        <v>39</v>
      </c>
      <c r="G115" s="12" t="s">
        <v>46</v>
      </c>
      <c r="H115" s="12">
        <v>32</v>
      </c>
      <c r="I115" s="13">
        <v>45939.851863425902</v>
      </c>
      <c r="J115" s="12" t="s">
        <v>127</v>
      </c>
      <c r="K115" s="12" t="s">
        <v>132</v>
      </c>
      <c r="L115" s="14">
        <v>0.66600000000000004</v>
      </c>
      <c r="M115" s="14">
        <f t="shared" si="1"/>
        <v>0.66600000000000004</v>
      </c>
      <c r="N115" s="7" t="s">
        <v>247</v>
      </c>
      <c r="O115" s="12"/>
      <c r="P115" s="12" t="s">
        <v>130</v>
      </c>
    </row>
    <row r="116" spans="1:16" ht="213.75" hidden="1" customHeight="1" x14ac:dyDescent="0.35">
      <c r="A116" s="12">
        <v>7379</v>
      </c>
      <c r="B116" s="12" t="s">
        <v>93</v>
      </c>
      <c r="C116" s="12" t="s">
        <v>96</v>
      </c>
      <c r="D116" s="12" t="s">
        <v>97</v>
      </c>
      <c r="E116" s="12" t="s">
        <v>134</v>
      </c>
      <c r="F116" s="12" t="s">
        <v>39</v>
      </c>
      <c r="G116" s="12" t="s">
        <v>46</v>
      </c>
      <c r="H116" s="12">
        <v>32</v>
      </c>
      <c r="I116" s="13">
        <v>45939.851863425902</v>
      </c>
      <c r="J116" s="12" t="s">
        <v>127</v>
      </c>
      <c r="K116" s="12" t="s">
        <v>142</v>
      </c>
      <c r="L116" s="14">
        <v>0.33300000000000002</v>
      </c>
      <c r="M116" s="14">
        <f t="shared" si="1"/>
        <v>0.33300000000000002</v>
      </c>
      <c r="N116" s="7" t="s">
        <v>248</v>
      </c>
      <c r="O116" s="12"/>
      <c r="P116" s="12" t="s">
        <v>130</v>
      </c>
    </row>
    <row r="117" spans="1:16" ht="147" hidden="1" customHeight="1" x14ac:dyDescent="0.35">
      <c r="A117" s="12">
        <v>6447</v>
      </c>
      <c r="B117" s="12" t="s">
        <v>93</v>
      </c>
      <c r="C117" s="12" t="s">
        <v>98</v>
      </c>
      <c r="D117" s="12" t="s">
        <v>99</v>
      </c>
      <c r="E117" s="12" t="s">
        <v>126</v>
      </c>
      <c r="F117" s="12" t="s">
        <v>39</v>
      </c>
      <c r="G117" s="12" t="s">
        <v>46</v>
      </c>
      <c r="H117" s="12">
        <v>32</v>
      </c>
      <c r="I117" s="13">
        <v>45939.851863425902</v>
      </c>
      <c r="J117" s="12" t="s">
        <v>127</v>
      </c>
      <c r="K117" s="12" t="s">
        <v>132</v>
      </c>
      <c r="L117" s="14">
        <v>0.66600000000000004</v>
      </c>
      <c r="M117" s="14">
        <f t="shared" si="1"/>
        <v>0.66600000000000004</v>
      </c>
      <c r="N117" s="7" t="s">
        <v>249</v>
      </c>
      <c r="O117" s="12"/>
      <c r="P117" s="12" t="s">
        <v>130</v>
      </c>
    </row>
    <row r="118" spans="1:16" ht="303" hidden="1" customHeight="1" x14ac:dyDescent="0.35">
      <c r="A118" s="12">
        <v>6472</v>
      </c>
      <c r="B118" s="12" t="s">
        <v>93</v>
      </c>
      <c r="C118" s="12" t="s">
        <v>98</v>
      </c>
      <c r="D118" s="12" t="s">
        <v>99</v>
      </c>
      <c r="E118" s="12" t="s">
        <v>131</v>
      </c>
      <c r="F118" s="12" t="s">
        <v>39</v>
      </c>
      <c r="G118" s="12" t="s">
        <v>46</v>
      </c>
      <c r="H118" s="12">
        <v>32</v>
      </c>
      <c r="I118" s="13">
        <v>45939.851863425902</v>
      </c>
      <c r="J118" s="12" t="s">
        <v>127</v>
      </c>
      <c r="K118" s="12" t="s">
        <v>135</v>
      </c>
      <c r="L118" s="14"/>
      <c r="M118" s="14">
        <f t="shared" si="1"/>
        <v>0</v>
      </c>
      <c r="N118" s="7" t="s">
        <v>250</v>
      </c>
      <c r="O118" s="12"/>
      <c r="P118" s="12" t="s">
        <v>130</v>
      </c>
    </row>
    <row r="119" spans="1:16" ht="57" hidden="1" customHeight="1" x14ac:dyDescent="0.35">
      <c r="A119" s="12">
        <v>7902</v>
      </c>
      <c r="B119" s="12" t="s">
        <v>93</v>
      </c>
      <c r="C119" s="12" t="s">
        <v>94</v>
      </c>
      <c r="D119" s="12" t="s">
        <v>95</v>
      </c>
      <c r="E119" s="12" t="s">
        <v>126</v>
      </c>
      <c r="F119" s="12" t="s">
        <v>66</v>
      </c>
      <c r="G119" s="12" t="s">
        <v>73</v>
      </c>
      <c r="H119" s="12">
        <v>4205407</v>
      </c>
      <c r="I119" s="13">
        <v>45903.808310185203</v>
      </c>
      <c r="J119" s="12" t="s">
        <v>127</v>
      </c>
      <c r="K119" s="12" t="s">
        <v>135</v>
      </c>
      <c r="L119" s="14"/>
      <c r="M119" s="14">
        <f t="shared" si="1"/>
        <v>0</v>
      </c>
      <c r="N119" s="7" t="s">
        <v>251</v>
      </c>
      <c r="O119" s="12"/>
      <c r="P119" s="12" t="s">
        <v>130</v>
      </c>
    </row>
    <row r="120" spans="1:16" ht="34.5" hidden="1" customHeight="1" x14ac:dyDescent="0.35">
      <c r="A120" s="12">
        <v>7888</v>
      </c>
      <c r="B120" s="12" t="s">
        <v>93</v>
      </c>
      <c r="C120" s="12" t="s">
        <v>94</v>
      </c>
      <c r="D120" s="12" t="s">
        <v>95</v>
      </c>
      <c r="E120" s="12" t="s">
        <v>131</v>
      </c>
      <c r="F120" s="12" t="s">
        <v>66</v>
      </c>
      <c r="G120" s="12" t="s">
        <v>73</v>
      </c>
      <c r="H120" s="12">
        <v>4205407</v>
      </c>
      <c r="I120" s="13">
        <v>45903.808310185203</v>
      </c>
      <c r="J120" s="12" t="s">
        <v>127</v>
      </c>
      <c r="K120" s="12" t="s">
        <v>135</v>
      </c>
      <c r="L120" s="14"/>
      <c r="M120" s="14">
        <f t="shared" si="1"/>
        <v>0</v>
      </c>
      <c r="N120" s="7" t="s">
        <v>252</v>
      </c>
      <c r="O120" s="12"/>
      <c r="P120" s="12" t="s">
        <v>130</v>
      </c>
    </row>
    <row r="121" spans="1:16" ht="147" hidden="1" customHeight="1" x14ac:dyDescent="0.35">
      <c r="A121" s="12">
        <v>7891</v>
      </c>
      <c r="B121" s="12" t="s">
        <v>93</v>
      </c>
      <c r="C121" s="12" t="s">
        <v>94</v>
      </c>
      <c r="D121" s="12" t="s">
        <v>95</v>
      </c>
      <c r="E121" s="12" t="s">
        <v>134</v>
      </c>
      <c r="F121" s="12" t="s">
        <v>66</v>
      </c>
      <c r="G121" s="12" t="s">
        <v>73</v>
      </c>
      <c r="H121" s="12">
        <v>4205407</v>
      </c>
      <c r="I121" s="13">
        <v>45903.808310185203</v>
      </c>
      <c r="J121" s="12" t="s">
        <v>127</v>
      </c>
      <c r="K121" s="12" t="s">
        <v>132</v>
      </c>
      <c r="L121" s="14">
        <v>0.66600000000000004</v>
      </c>
      <c r="M121" s="14">
        <f t="shared" si="1"/>
        <v>0.66600000000000004</v>
      </c>
      <c r="N121" s="7" t="s">
        <v>253</v>
      </c>
      <c r="O121" s="12"/>
      <c r="P121" s="12" t="s">
        <v>130</v>
      </c>
    </row>
    <row r="122" spans="1:16" ht="102" hidden="1" customHeight="1" x14ac:dyDescent="0.35">
      <c r="A122" s="12">
        <v>7895</v>
      </c>
      <c r="B122" s="12" t="s">
        <v>93</v>
      </c>
      <c r="C122" s="12" t="s">
        <v>94</v>
      </c>
      <c r="D122" s="12" t="s">
        <v>95</v>
      </c>
      <c r="E122" s="12" t="s">
        <v>137</v>
      </c>
      <c r="F122" s="12" t="s">
        <v>66</v>
      </c>
      <c r="G122" s="12" t="s">
        <v>73</v>
      </c>
      <c r="H122" s="12">
        <v>4205407</v>
      </c>
      <c r="I122" s="13">
        <v>45903.808310185203</v>
      </c>
      <c r="J122" s="12" t="s">
        <v>127</v>
      </c>
      <c r="K122" s="12" t="s">
        <v>135</v>
      </c>
      <c r="L122" s="14"/>
      <c r="M122" s="14">
        <f t="shared" si="1"/>
        <v>0</v>
      </c>
      <c r="N122" s="7" t="s">
        <v>254</v>
      </c>
      <c r="O122" s="12"/>
      <c r="P122" s="12" t="s">
        <v>130</v>
      </c>
    </row>
    <row r="123" spans="1:16" ht="90.75" hidden="1" customHeight="1" x14ac:dyDescent="0.35">
      <c r="A123" s="12">
        <v>8001</v>
      </c>
      <c r="B123" s="12" t="s">
        <v>93</v>
      </c>
      <c r="C123" s="12" t="s">
        <v>96</v>
      </c>
      <c r="D123" s="12" t="s">
        <v>97</v>
      </c>
      <c r="E123" s="12" t="s">
        <v>126</v>
      </c>
      <c r="F123" s="12" t="s">
        <v>66</v>
      </c>
      <c r="G123" s="12" t="s">
        <v>73</v>
      </c>
      <c r="H123" s="12">
        <v>4205407</v>
      </c>
      <c r="I123" s="13">
        <v>45903.808310185203</v>
      </c>
      <c r="J123" s="12" t="s">
        <v>127</v>
      </c>
      <c r="K123" s="12" t="s">
        <v>135</v>
      </c>
      <c r="L123" s="14"/>
      <c r="M123" s="14">
        <f t="shared" si="1"/>
        <v>0</v>
      </c>
      <c r="N123" s="7" t="s">
        <v>255</v>
      </c>
      <c r="O123" s="12"/>
      <c r="P123" s="12" t="s">
        <v>130</v>
      </c>
    </row>
    <row r="124" spans="1:16" ht="68.25" hidden="1" customHeight="1" x14ac:dyDescent="0.35">
      <c r="A124" s="12">
        <v>7976</v>
      </c>
      <c r="B124" s="12" t="s">
        <v>93</v>
      </c>
      <c r="C124" s="12" t="s">
        <v>96</v>
      </c>
      <c r="D124" s="12" t="s">
        <v>97</v>
      </c>
      <c r="E124" s="12" t="s">
        <v>131</v>
      </c>
      <c r="F124" s="12" t="s">
        <v>66</v>
      </c>
      <c r="G124" s="12" t="s">
        <v>73</v>
      </c>
      <c r="H124" s="12">
        <v>4205407</v>
      </c>
      <c r="I124" s="13">
        <v>45903.808310185203</v>
      </c>
      <c r="J124" s="12" t="s">
        <v>127</v>
      </c>
      <c r="K124" s="12" t="s">
        <v>142</v>
      </c>
      <c r="L124" s="14">
        <v>0.33300000000000002</v>
      </c>
      <c r="M124" s="14">
        <f t="shared" si="1"/>
        <v>0.33300000000000002</v>
      </c>
      <c r="N124" s="7" t="s">
        <v>256</v>
      </c>
      <c r="O124" s="12"/>
      <c r="P124" s="12" t="s">
        <v>130</v>
      </c>
    </row>
    <row r="125" spans="1:16" ht="68.25" hidden="1" customHeight="1" x14ac:dyDescent="0.35">
      <c r="A125" s="12">
        <v>7978</v>
      </c>
      <c r="B125" s="12" t="s">
        <v>93</v>
      </c>
      <c r="C125" s="12" t="s">
        <v>96</v>
      </c>
      <c r="D125" s="12" t="s">
        <v>97</v>
      </c>
      <c r="E125" s="12" t="s">
        <v>134</v>
      </c>
      <c r="F125" s="12" t="s">
        <v>66</v>
      </c>
      <c r="G125" s="12" t="s">
        <v>73</v>
      </c>
      <c r="H125" s="12">
        <v>4205407</v>
      </c>
      <c r="I125" s="13">
        <v>45903.808310185203</v>
      </c>
      <c r="J125" s="12" t="s">
        <v>127</v>
      </c>
      <c r="K125" s="12" t="s">
        <v>135</v>
      </c>
      <c r="L125" s="14"/>
      <c r="M125" s="14">
        <f t="shared" si="1"/>
        <v>0</v>
      </c>
      <c r="N125" s="7" t="s">
        <v>257</v>
      </c>
      <c r="O125" s="12"/>
      <c r="P125" s="12" t="s">
        <v>130</v>
      </c>
    </row>
    <row r="126" spans="1:16" ht="135.75" hidden="1" customHeight="1" x14ac:dyDescent="0.35">
      <c r="A126" s="12">
        <v>8002</v>
      </c>
      <c r="B126" s="12" t="s">
        <v>93</v>
      </c>
      <c r="C126" s="12" t="s">
        <v>98</v>
      </c>
      <c r="D126" s="12" t="s">
        <v>99</v>
      </c>
      <c r="E126" s="12" t="s">
        <v>126</v>
      </c>
      <c r="F126" s="12" t="s">
        <v>66</v>
      </c>
      <c r="G126" s="12" t="s">
        <v>73</v>
      </c>
      <c r="H126" s="12">
        <v>4205407</v>
      </c>
      <c r="I126" s="13">
        <v>45903.808310185203</v>
      </c>
      <c r="J126" s="12" t="s">
        <v>127</v>
      </c>
      <c r="K126" s="12" t="s">
        <v>135</v>
      </c>
      <c r="L126" s="14"/>
      <c r="M126" s="14">
        <f t="shared" si="1"/>
        <v>0</v>
      </c>
      <c r="N126" s="7" t="s">
        <v>258</v>
      </c>
      <c r="O126" s="12"/>
      <c r="P126" s="12" t="s">
        <v>130</v>
      </c>
    </row>
    <row r="127" spans="1:16" ht="79.5" hidden="1" customHeight="1" x14ac:dyDescent="0.35">
      <c r="A127" s="12">
        <v>7980</v>
      </c>
      <c r="B127" s="12" t="s">
        <v>93</v>
      </c>
      <c r="C127" s="12" t="s">
        <v>98</v>
      </c>
      <c r="D127" s="12" t="s">
        <v>99</v>
      </c>
      <c r="E127" s="12" t="s">
        <v>131</v>
      </c>
      <c r="F127" s="12" t="s">
        <v>66</v>
      </c>
      <c r="G127" s="12" t="s">
        <v>73</v>
      </c>
      <c r="H127" s="12">
        <v>4205407</v>
      </c>
      <c r="I127" s="13">
        <v>45903.808310185203</v>
      </c>
      <c r="J127" s="12" t="s">
        <v>127</v>
      </c>
      <c r="K127" s="12" t="s">
        <v>135</v>
      </c>
      <c r="L127" s="14"/>
      <c r="M127" s="14">
        <f t="shared" si="1"/>
        <v>0</v>
      </c>
      <c r="N127" s="7" t="s">
        <v>259</v>
      </c>
      <c r="O127" s="12"/>
      <c r="P127" s="12" t="s">
        <v>130</v>
      </c>
    </row>
    <row r="128" spans="1:16" ht="213.75" hidden="1" customHeight="1" x14ac:dyDescent="0.35">
      <c r="A128" s="12">
        <v>7945</v>
      </c>
      <c r="B128" s="12" t="s">
        <v>93</v>
      </c>
      <c r="C128" s="12" t="s">
        <v>94</v>
      </c>
      <c r="D128" s="12" t="s">
        <v>95</v>
      </c>
      <c r="E128" s="12" t="s">
        <v>126</v>
      </c>
      <c r="F128" s="12" t="s">
        <v>66</v>
      </c>
      <c r="G128" s="12" t="s">
        <v>74</v>
      </c>
      <c r="H128" s="12">
        <v>2304400</v>
      </c>
      <c r="I128" s="13">
        <v>45918.555289351898</v>
      </c>
      <c r="J128" s="12" t="s">
        <v>127</v>
      </c>
      <c r="K128" s="12" t="s">
        <v>142</v>
      </c>
      <c r="L128" s="14">
        <v>0.33300000000000002</v>
      </c>
      <c r="M128" s="14">
        <f t="shared" si="1"/>
        <v>0.33300000000000002</v>
      </c>
      <c r="N128" s="7" t="s">
        <v>260</v>
      </c>
      <c r="O128" s="12"/>
      <c r="P128" s="12" t="s">
        <v>130</v>
      </c>
    </row>
    <row r="129" spans="1:16" ht="102" hidden="1" customHeight="1" x14ac:dyDescent="0.35">
      <c r="A129" s="12">
        <v>8441</v>
      </c>
      <c r="B129" s="12" t="s">
        <v>93</v>
      </c>
      <c r="C129" s="12" t="s">
        <v>94</v>
      </c>
      <c r="D129" s="12" t="s">
        <v>95</v>
      </c>
      <c r="E129" s="12" t="s">
        <v>131</v>
      </c>
      <c r="F129" s="12" t="s">
        <v>66</v>
      </c>
      <c r="G129" s="12" t="s">
        <v>74</v>
      </c>
      <c r="H129" s="12">
        <v>2304400</v>
      </c>
      <c r="I129" s="13">
        <v>45918.555289351898</v>
      </c>
      <c r="J129" s="12" t="s">
        <v>127</v>
      </c>
      <c r="K129" s="12" t="s">
        <v>132</v>
      </c>
      <c r="L129" s="14">
        <v>0.66600000000000004</v>
      </c>
      <c r="M129" s="14">
        <f t="shared" si="1"/>
        <v>0.66600000000000004</v>
      </c>
      <c r="N129" s="7" t="s">
        <v>261</v>
      </c>
      <c r="O129" s="12"/>
      <c r="P129" s="12" t="s">
        <v>130</v>
      </c>
    </row>
    <row r="130" spans="1:16" ht="79.5" hidden="1" customHeight="1" x14ac:dyDescent="0.35">
      <c r="A130" s="12">
        <v>8461</v>
      </c>
      <c r="B130" s="12" t="s">
        <v>93</v>
      </c>
      <c r="C130" s="12" t="s">
        <v>94</v>
      </c>
      <c r="D130" s="12" t="s">
        <v>95</v>
      </c>
      <c r="E130" s="12" t="s">
        <v>134</v>
      </c>
      <c r="F130" s="12" t="s">
        <v>66</v>
      </c>
      <c r="G130" s="12" t="s">
        <v>74</v>
      </c>
      <c r="H130" s="12">
        <v>2304400</v>
      </c>
      <c r="I130" s="13">
        <v>45918.555289351898</v>
      </c>
      <c r="J130" s="12" t="s">
        <v>127</v>
      </c>
      <c r="K130" s="12" t="s">
        <v>142</v>
      </c>
      <c r="L130" s="14">
        <v>0.33300000000000002</v>
      </c>
      <c r="M130" s="14">
        <f t="shared" ref="M130:M193" si="2">IF(K130="Sem progresso",0,IF(OR(K130="Não avaliado",K130="Não se aplica",K130=""),"",L130))</f>
        <v>0.33300000000000002</v>
      </c>
      <c r="N130" s="7" t="s">
        <v>262</v>
      </c>
      <c r="O130" s="12"/>
      <c r="P130" s="12" t="s">
        <v>130</v>
      </c>
    </row>
    <row r="131" spans="1:16" ht="124.5" hidden="1" customHeight="1" x14ac:dyDescent="0.35">
      <c r="A131" s="12">
        <v>8442</v>
      </c>
      <c r="B131" s="12" t="s">
        <v>93</v>
      </c>
      <c r="C131" s="12" t="s">
        <v>94</v>
      </c>
      <c r="D131" s="12" t="s">
        <v>95</v>
      </c>
      <c r="E131" s="12" t="s">
        <v>137</v>
      </c>
      <c r="F131" s="12" t="s">
        <v>66</v>
      </c>
      <c r="G131" s="12" t="s">
        <v>74</v>
      </c>
      <c r="H131" s="12">
        <v>2304400</v>
      </c>
      <c r="I131" s="13">
        <v>45918.555289351898</v>
      </c>
      <c r="J131" s="12" t="s">
        <v>127</v>
      </c>
      <c r="K131" s="12" t="s">
        <v>142</v>
      </c>
      <c r="L131" s="14">
        <v>0.33300000000000002</v>
      </c>
      <c r="M131" s="14">
        <f t="shared" si="2"/>
        <v>0.33300000000000002</v>
      </c>
      <c r="N131" s="7" t="s">
        <v>263</v>
      </c>
      <c r="O131" s="12"/>
      <c r="P131" s="12" t="s">
        <v>130</v>
      </c>
    </row>
    <row r="132" spans="1:16" ht="102" hidden="1" customHeight="1" x14ac:dyDescent="0.35">
      <c r="A132" s="12">
        <v>8081</v>
      </c>
      <c r="B132" s="12" t="s">
        <v>93</v>
      </c>
      <c r="C132" s="12" t="s">
        <v>96</v>
      </c>
      <c r="D132" s="12" t="s">
        <v>97</v>
      </c>
      <c r="E132" s="12" t="s">
        <v>126</v>
      </c>
      <c r="F132" s="12" t="s">
        <v>66</v>
      </c>
      <c r="G132" s="12" t="s">
        <v>74</v>
      </c>
      <c r="H132" s="12">
        <v>2304400</v>
      </c>
      <c r="I132" s="13">
        <v>45918.555289351898</v>
      </c>
      <c r="J132" s="12" t="s">
        <v>127</v>
      </c>
      <c r="K132" s="12" t="s">
        <v>142</v>
      </c>
      <c r="L132" s="14">
        <v>0.33300000000000002</v>
      </c>
      <c r="M132" s="14">
        <f t="shared" si="2"/>
        <v>0.33300000000000002</v>
      </c>
      <c r="N132" s="7" t="s">
        <v>264</v>
      </c>
      <c r="O132" s="12"/>
      <c r="P132" s="12" t="s">
        <v>130</v>
      </c>
    </row>
    <row r="133" spans="1:16" ht="157.5" hidden="1" customHeight="1" x14ac:dyDescent="0.35">
      <c r="A133" s="12">
        <v>8082</v>
      </c>
      <c r="B133" s="12" t="s">
        <v>93</v>
      </c>
      <c r="C133" s="12" t="s">
        <v>96</v>
      </c>
      <c r="D133" s="12" t="s">
        <v>97</v>
      </c>
      <c r="E133" s="12" t="s">
        <v>131</v>
      </c>
      <c r="F133" s="12" t="s">
        <v>66</v>
      </c>
      <c r="G133" s="12" t="s">
        <v>74</v>
      </c>
      <c r="H133" s="12">
        <v>2304400</v>
      </c>
      <c r="I133" s="13">
        <v>45918.555289351898</v>
      </c>
      <c r="J133" s="12" t="s">
        <v>127</v>
      </c>
      <c r="K133" s="12" t="s">
        <v>132</v>
      </c>
      <c r="L133" s="14">
        <v>0.66600000000000004</v>
      </c>
      <c r="M133" s="14">
        <f t="shared" si="2"/>
        <v>0.66600000000000004</v>
      </c>
      <c r="N133" s="7" t="s">
        <v>265</v>
      </c>
      <c r="O133" s="12"/>
      <c r="P133" s="12" t="s">
        <v>130</v>
      </c>
    </row>
    <row r="134" spans="1:16" ht="157.5" hidden="1" customHeight="1" x14ac:dyDescent="0.35">
      <c r="A134" s="12">
        <v>8064</v>
      </c>
      <c r="B134" s="12" t="s">
        <v>93</v>
      </c>
      <c r="C134" s="12" t="s">
        <v>96</v>
      </c>
      <c r="D134" s="12" t="s">
        <v>97</v>
      </c>
      <c r="E134" s="12" t="s">
        <v>134</v>
      </c>
      <c r="F134" s="12" t="s">
        <v>66</v>
      </c>
      <c r="G134" s="12" t="s">
        <v>74</v>
      </c>
      <c r="H134" s="12">
        <v>2304400</v>
      </c>
      <c r="I134" s="13">
        <v>45918.555289351898</v>
      </c>
      <c r="J134" s="12" t="s">
        <v>127</v>
      </c>
      <c r="K134" s="12" t="s">
        <v>142</v>
      </c>
      <c r="L134" s="14">
        <v>0.33300000000000002</v>
      </c>
      <c r="M134" s="14">
        <f t="shared" si="2"/>
        <v>0.33300000000000002</v>
      </c>
      <c r="N134" s="7" t="s">
        <v>266</v>
      </c>
      <c r="O134" s="12"/>
      <c r="P134" s="12" t="s">
        <v>130</v>
      </c>
    </row>
    <row r="135" spans="1:16" ht="34.5" hidden="1" customHeight="1" x14ac:dyDescent="0.35">
      <c r="A135" s="12">
        <v>8084</v>
      </c>
      <c r="B135" s="12" t="s">
        <v>93</v>
      </c>
      <c r="C135" s="12" t="s">
        <v>98</v>
      </c>
      <c r="D135" s="12" t="s">
        <v>99</v>
      </c>
      <c r="E135" s="12" t="s">
        <v>126</v>
      </c>
      <c r="F135" s="12" t="s">
        <v>66</v>
      </c>
      <c r="G135" s="12" t="s">
        <v>74</v>
      </c>
      <c r="H135" s="12">
        <v>2304400</v>
      </c>
      <c r="I135" s="13">
        <v>45918.555289351898</v>
      </c>
      <c r="J135" s="12" t="s">
        <v>127</v>
      </c>
      <c r="K135" s="12" t="s">
        <v>135</v>
      </c>
      <c r="L135" s="14"/>
      <c r="M135" s="14">
        <f t="shared" si="2"/>
        <v>0</v>
      </c>
      <c r="N135" s="7" t="s">
        <v>267</v>
      </c>
      <c r="O135" s="12"/>
      <c r="P135" s="12" t="s">
        <v>130</v>
      </c>
    </row>
    <row r="136" spans="1:16" ht="79.5" hidden="1" customHeight="1" x14ac:dyDescent="0.35">
      <c r="A136" s="12">
        <v>8085</v>
      </c>
      <c r="B136" s="12" t="s">
        <v>93</v>
      </c>
      <c r="C136" s="12" t="s">
        <v>98</v>
      </c>
      <c r="D136" s="12" t="s">
        <v>99</v>
      </c>
      <c r="E136" s="12" t="s">
        <v>131</v>
      </c>
      <c r="F136" s="12" t="s">
        <v>66</v>
      </c>
      <c r="G136" s="12" t="s">
        <v>74</v>
      </c>
      <c r="H136" s="12">
        <v>2304400</v>
      </c>
      <c r="I136" s="13">
        <v>45918.555289351898</v>
      </c>
      <c r="J136" s="12" t="s">
        <v>127</v>
      </c>
      <c r="K136" s="12" t="s">
        <v>135</v>
      </c>
      <c r="L136" s="14"/>
      <c r="M136" s="14">
        <f t="shared" si="2"/>
        <v>0</v>
      </c>
      <c r="N136" s="7" t="s">
        <v>268</v>
      </c>
      <c r="O136" s="12"/>
      <c r="P136" s="12" t="s">
        <v>130</v>
      </c>
    </row>
    <row r="137" spans="1:16" ht="258.75" hidden="1" customHeight="1" x14ac:dyDescent="0.35">
      <c r="A137" s="12">
        <v>6403</v>
      </c>
      <c r="B137" s="12" t="s">
        <v>93</v>
      </c>
      <c r="C137" s="12" t="s">
        <v>94</v>
      </c>
      <c r="D137" s="12" t="s">
        <v>95</v>
      </c>
      <c r="E137" s="12" t="s">
        <v>126</v>
      </c>
      <c r="F137" s="12" t="s">
        <v>39</v>
      </c>
      <c r="G137" s="12" t="s">
        <v>47</v>
      </c>
      <c r="H137" s="12">
        <v>52</v>
      </c>
      <c r="I137" s="13">
        <v>45909.439201388901</v>
      </c>
      <c r="J137" s="12" t="s">
        <v>127</v>
      </c>
      <c r="K137" s="12" t="s">
        <v>142</v>
      </c>
      <c r="L137" s="14">
        <v>0.33300000000000002</v>
      </c>
      <c r="M137" s="14">
        <f t="shared" si="2"/>
        <v>0.33300000000000002</v>
      </c>
      <c r="N137" s="7" t="s">
        <v>269</v>
      </c>
      <c r="O137" s="12"/>
      <c r="P137" s="12" t="s">
        <v>130</v>
      </c>
    </row>
    <row r="138" spans="1:16" ht="168.75" hidden="1" customHeight="1" x14ac:dyDescent="0.35">
      <c r="A138" s="12">
        <v>6531</v>
      </c>
      <c r="B138" s="12" t="s">
        <v>93</v>
      </c>
      <c r="C138" s="12" t="s">
        <v>94</v>
      </c>
      <c r="D138" s="12" t="s">
        <v>95</v>
      </c>
      <c r="E138" s="12" t="s">
        <v>131</v>
      </c>
      <c r="F138" s="12" t="s">
        <v>39</v>
      </c>
      <c r="G138" s="12" t="s">
        <v>47</v>
      </c>
      <c r="H138" s="12">
        <v>52</v>
      </c>
      <c r="I138" s="13">
        <v>45909.439201388901</v>
      </c>
      <c r="J138" s="12" t="s">
        <v>127</v>
      </c>
      <c r="K138" s="12" t="s">
        <v>135</v>
      </c>
      <c r="L138" s="14"/>
      <c r="M138" s="14">
        <f t="shared" si="2"/>
        <v>0</v>
      </c>
      <c r="N138" s="7" t="s">
        <v>270</v>
      </c>
      <c r="O138" s="12"/>
      <c r="P138" s="12"/>
    </row>
    <row r="139" spans="1:16" ht="247.5" hidden="1" customHeight="1" x14ac:dyDescent="0.35">
      <c r="A139" s="12">
        <v>6690</v>
      </c>
      <c r="B139" s="12" t="s">
        <v>93</v>
      </c>
      <c r="C139" s="12" t="s">
        <v>94</v>
      </c>
      <c r="D139" s="12" t="s">
        <v>95</v>
      </c>
      <c r="E139" s="12" t="s">
        <v>134</v>
      </c>
      <c r="F139" s="12" t="s">
        <v>39</v>
      </c>
      <c r="G139" s="12" t="s">
        <v>47</v>
      </c>
      <c r="H139" s="12">
        <v>52</v>
      </c>
      <c r="I139" s="13">
        <v>45909.439201388901</v>
      </c>
      <c r="J139" s="12" t="s">
        <v>127</v>
      </c>
      <c r="K139" s="12" t="s">
        <v>142</v>
      </c>
      <c r="L139" s="14">
        <v>0.33300000000000002</v>
      </c>
      <c r="M139" s="14">
        <f t="shared" si="2"/>
        <v>0.33300000000000002</v>
      </c>
      <c r="N139" s="7" t="s">
        <v>271</v>
      </c>
      <c r="O139" s="12"/>
      <c r="P139" s="12" t="s">
        <v>130</v>
      </c>
    </row>
    <row r="140" spans="1:16" ht="247.5" hidden="1" customHeight="1" x14ac:dyDescent="0.35">
      <c r="A140" s="12">
        <v>6674</v>
      </c>
      <c r="B140" s="12" t="s">
        <v>93</v>
      </c>
      <c r="C140" s="12" t="s">
        <v>94</v>
      </c>
      <c r="D140" s="12" t="s">
        <v>95</v>
      </c>
      <c r="E140" s="12" t="s">
        <v>137</v>
      </c>
      <c r="F140" s="12" t="s">
        <v>39</v>
      </c>
      <c r="G140" s="12" t="s">
        <v>47</v>
      </c>
      <c r="H140" s="12">
        <v>52</v>
      </c>
      <c r="I140" s="13">
        <v>45909.439201388901</v>
      </c>
      <c r="J140" s="12" t="s">
        <v>127</v>
      </c>
      <c r="K140" s="12" t="s">
        <v>135</v>
      </c>
      <c r="L140" s="14"/>
      <c r="M140" s="14">
        <f t="shared" si="2"/>
        <v>0</v>
      </c>
      <c r="N140" s="7" t="s">
        <v>272</v>
      </c>
      <c r="O140" s="12"/>
      <c r="P140" s="12" t="s">
        <v>130</v>
      </c>
    </row>
    <row r="141" spans="1:16" ht="258.75" hidden="1" customHeight="1" x14ac:dyDescent="0.35">
      <c r="A141" s="12">
        <v>7062</v>
      </c>
      <c r="B141" s="12" t="s">
        <v>93</v>
      </c>
      <c r="C141" s="12" t="s">
        <v>96</v>
      </c>
      <c r="D141" s="12" t="s">
        <v>97</v>
      </c>
      <c r="E141" s="12" t="s">
        <v>126</v>
      </c>
      <c r="F141" s="12" t="s">
        <v>39</v>
      </c>
      <c r="G141" s="12" t="s">
        <v>47</v>
      </c>
      <c r="H141" s="12">
        <v>52</v>
      </c>
      <c r="I141" s="13">
        <v>45909.439201388901</v>
      </c>
      <c r="J141" s="12" t="s">
        <v>127</v>
      </c>
      <c r="K141" s="12" t="s">
        <v>128</v>
      </c>
      <c r="L141" s="14">
        <v>1</v>
      </c>
      <c r="M141" s="14">
        <f t="shared" si="2"/>
        <v>1</v>
      </c>
      <c r="N141" s="7" t="s">
        <v>273</v>
      </c>
      <c r="O141" s="12"/>
      <c r="P141" s="12" t="s">
        <v>130</v>
      </c>
    </row>
    <row r="142" spans="1:16" ht="225" hidden="1" customHeight="1" x14ac:dyDescent="0.35">
      <c r="A142" s="12">
        <v>7048</v>
      </c>
      <c r="B142" s="12" t="s">
        <v>93</v>
      </c>
      <c r="C142" s="12" t="s">
        <v>96</v>
      </c>
      <c r="D142" s="12" t="s">
        <v>97</v>
      </c>
      <c r="E142" s="12" t="s">
        <v>131</v>
      </c>
      <c r="F142" s="12" t="s">
        <v>39</v>
      </c>
      <c r="G142" s="12" t="s">
        <v>47</v>
      </c>
      <c r="H142" s="12">
        <v>52</v>
      </c>
      <c r="I142" s="13">
        <v>45909.439201388901</v>
      </c>
      <c r="J142" s="12" t="s">
        <v>127</v>
      </c>
      <c r="K142" s="12" t="s">
        <v>132</v>
      </c>
      <c r="L142" s="14">
        <v>0.66600000000000004</v>
      </c>
      <c r="M142" s="14">
        <f t="shared" si="2"/>
        <v>0.66600000000000004</v>
      </c>
      <c r="N142" s="7" t="s">
        <v>274</v>
      </c>
      <c r="O142" s="12"/>
      <c r="P142" s="12" t="s">
        <v>130</v>
      </c>
    </row>
    <row r="143" spans="1:16" ht="258.75" hidden="1" customHeight="1" x14ac:dyDescent="0.35">
      <c r="A143" s="12">
        <v>7176</v>
      </c>
      <c r="B143" s="12" t="s">
        <v>93</v>
      </c>
      <c r="C143" s="12" t="s">
        <v>96</v>
      </c>
      <c r="D143" s="12" t="s">
        <v>97</v>
      </c>
      <c r="E143" s="12" t="s">
        <v>134</v>
      </c>
      <c r="F143" s="12" t="s">
        <v>39</v>
      </c>
      <c r="G143" s="12" t="s">
        <v>47</v>
      </c>
      <c r="H143" s="12">
        <v>52</v>
      </c>
      <c r="I143" s="13">
        <v>45909.439201388901</v>
      </c>
      <c r="J143" s="12" t="s">
        <v>127</v>
      </c>
      <c r="K143" s="12" t="s">
        <v>135</v>
      </c>
      <c r="L143" s="14"/>
      <c r="M143" s="14">
        <f t="shared" si="2"/>
        <v>0</v>
      </c>
      <c r="N143" s="7" t="s">
        <v>275</v>
      </c>
      <c r="O143" s="12"/>
      <c r="P143" s="12" t="s">
        <v>130</v>
      </c>
    </row>
    <row r="144" spans="1:16" ht="213.75" hidden="1" customHeight="1" x14ac:dyDescent="0.35">
      <c r="A144" s="12">
        <v>7361</v>
      </c>
      <c r="B144" s="12" t="s">
        <v>93</v>
      </c>
      <c r="C144" s="12" t="s">
        <v>98</v>
      </c>
      <c r="D144" s="12" t="s">
        <v>99</v>
      </c>
      <c r="E144" s="12" t="s">
        <v>126</v>
      </c>
      <c r="F144" s="12" t="s">
        <v>39</v>
      </c>
      <c r="G144" s="12" t="s">
        <v>47</v>
      </c>
      <c r="H144" s="12">
        <v>52</v>
      </c>
      <c r="I144" s="13">
        <v>45909.439201388901</v>
      </c>
      <c r="J144" s="12" t="s">
        <v>127</v>
      </c>
      <c r="K144" s="12" t="s">
        <v>128</v>
      </c>
      <c r="L144" s="14">
        <v>1</v>
      </c>
      <c r="M144" s="14">
        <f t="shared" si="2"/>
        <v>1</v>
      </c>
      <c r="N144" s="7" t="s">
        <v>276</v>
      </c>
      <c r="O144" s="12"/>
      <c r="P144" s="12" t="s">
        <v>130</v>
      </c>
    </row>
    <row r="145" spans="1:16" ht="247.5" hidden="1" customHeight="1" x14ac:dyDescent="0.35">
      <c r="A145" s="12">
        <v>7362</v>
      </c>
      <c r="B145" s="12" t="s">
        <v>93</v>
      </c>
      <c r="C145" s="12" t="s">
        <v>98</v>
      </c>
      <c r="D145" s="12" t="s">
        <v>99</v>
      </c>
      <c r="E145" s="12" t="s">
        <v>131</v>
      </c>
      <c r="F145" s="12" t="s">
        <v>39</v>
      </c>
      <c r="G145" s="12" t="s">
        <v>47</v>
      </c>
      <c r="H145" s="12">
        <v>52</v>
      </c>
      <c r="I145" s="13">
        <v>45909.439201388901</v>
      </c>
      <c r="J145" s="12" t="s">
        <v>127</v>
      </c>
      <c r="K145" s="12" t="s">
        <v>135</v>
      </c>
      <c r="L145" s="14"/>
      <c r="M145" s="14">
        <f t="shared" si="2"/>
        <v>0</v>
      </c>
      <c r="N145" s="7" t="s">
        <v>277</v>
      </c>
      <c r="O145" s="12"/>
      <c r="P145" s="12" t="s">
        <v>130</v>
      </c>
    </row>
    <row r="146" spans="1:16" ht="34.5" hidden="1" customHeight="1" x14ac:dyDescent="0.35">
      <c r="A146" s="12">
        <v>9454</v>
      </c>
      <c r="B146" s="12" t="s">
        <v>93</v>
      </c>
      <c r="C146" s="12" t="s">
        <v>94</v>
      </c>
      <c r="D146" s="12" t="s">
        <v>95</v>
      </c>
      <c r="E146" s="12" t="s">
        <v>126</v>
      </c>
      <c r="F146" s="12" t="s">
        <v>66</v>
      </c>
      <c r="G146" s="12" t="s">
        <v>75</v>
      </c>
      <c r="H146" s="12">
        <v>2507507</v>
      </c>
      <c r="I146" s="13">
        <v>45915.870717592603</v>
      </c>
      <c r="J146" s="12" t="s">
        <v>127</v>
      </c>
      <c r="K146" s="12" t="s">
        <v>135</v>
      </c>
      <c r="L146" s="14"/>
      <c r="M146" s="14">
        <f t="shared" si="2"/>
        <v>0</v>
      </c>
      <c r="N146" s="7" t="s">
        <v>278</v>
      </c>
      <c r="O146" s="12"/>
      <c r="P146" s="12" t="s">
        <v>130</v>
      </c>
    </row>
    <row r="147" spans="1:16" ht="34.5" hidden="1" customHeight="1" x14ac:dyDescent="0.35">
      <c r="A147" s="12">
        <v>9481</v>
      </c>
      <c r="B147" s="12" t="s">
        <v>93</v>
      </c>
      <c r="C147" s="12" t="s">
        <v>94</v>
      </c>
      <c r="D147" s="12" t="s">
        <v>95</v>
      </c>
      <c r="E147" s="12" t="s">
        <v>131</v>
      </c>
      <c r="F147" s="12" t="s">
        <v>66</v>
      </c>
      <c r="G147" s="12" t="s">
        <v>75</v>
      </c>
      <c r="H147" s="12">
        <v>2507507</v>
      </c>
      <c r="I147" s="13">
        <v>45915.870717592603</v>
      </c>
      <c r="J147" s="12" t="s">
        <v>127</v>
      </c>
      <c r="K147" s="12" t="s">
        <v>135</v>
      </c>
      <c r="L147" s="14"/>
      <c r="M147" s="14">
        <f t="shared" si="2"/>
        <v>0</v>
      </c>
      <c r="N147" s="7" t="s">
        <v>279</v>
      </c>
      <c r="O147" s="12"/>
      <c r="P147" s="12" t="s">
        <v>130</v>
      </c>
    </row>
    <row r="148" spans="1:16" ht="15" hidden="1" customHeight="1" x14ac:dyDescent="0.35">
      <c r="A148" s="12">
        <v>9482</v>
      </c>
      <c r="B148" s="12" t="s">
        <v>93</v>
      </c>
      <c r="C148" s="12" t="s">
        <v>94</v>
      </c>
      <c r="D148" s="12" t="s">
        <v>95</v>
      </c>
      <c r="E148" s="12" t="s">
        <v>134</v>
      </c>
      <c r="F148" s="12" t="s">
        <v>66</v>
      </c>
      <c r="G148" s="12" t="s">
        <v>75</v>
      </c>
      <c r="H148" s="12">
        <v>2507507</v>
      </c>
      <c r="I148" s="13">
        <v>45915.870717592603</v>
      </c>
      <c r="J148" s="12" t="s">
        <v>127</v>
      </c>
      <c r="K148" s="12" t="s">
        <v>135</v>
      </c>
      <c r="L148" s="14"/>
      <c r="M148" s="14">
        <f t="shared" si="2"/>
        <v>0</v>
      </c>
      <c r="N148" s="7" t="s">
        <v>280</v>
      </c>
      <c r="O148" s="12"/>
      <c r="P148" s="12" t="s">
        <v>130</v>
      </c>
    </row>
    <row r="149" spans="1:16" ht="45.75" hidden="1" customHeight="1" x14ac:dyDescent="0.35">
      <c r="A149" s="12">
        <v>9455</v>
      </c>
      <c r="B149" s="12" t="s">
        <v>93</v>
      </c>
      <c r="C149" s="12" t="s">
        <v>94</v>
      </c>
      <c r="D149" s="12" t="s">
        <v>95</v>
      </c>
      <c r="E149" s="12" t="s">
        <v>137</v>
      </c>
      <c r="F149" s="12" t="s">
        <v>66</v>
      </c>
      <c r="G149" s="12" t="s">
        <v>75</v>
      </c>
      <c r="H149" s="12">
        <v>2507507</v>
      </c>
      <c r="I149" s="13">
        <v>45915.870717592603</v>
      </c>
      <c r="J149" s="12" t="s">
        <v>127</v>
      </c>
      <c r="K149" s="12" t="s">
        <v>135</v>
      </c>
      <c r="L149" s="14"/>
      <c r="M149" s="14">
        <f t="shared" si="2"/>
        <v>0</v>
      </c>
      <c r="N149" s="7" t="s">
        <v>281</v>
      </c>
      <c r="O149" s="12"/>
      <c r="P149" s="12" t="s">
        <v>130</v>
      </c>
    </row>
    <row r="150" spans="1:16" ht="34.5" hidden="1" customHeight="1" x14ac:dyDescent="0.35">
      <c r="A150" s="12">
        <v>9483</v>
      </c>
      <c r="B150" s="12" t="s">
        <v>93</v>
      </c>
      <c r="C150" s="12" t="s">
        <v>96</v>
      </c>
      <c r="D150" s="12" t="s">
        <v>97</v>
      </c>
      <c r="E150" s="12" t="s">
        <v>126</v>
      </c>
      <c r="F150" s="12" t="s">
        <v>66</v>
      </c>
      <c r="G150" s="12" t="s">
        <v>75</v>
      </c>
      <c r="H150" s="12">
        <v>2507507</v>
      </c>
      <c r="I150" s="13">
        <v>45915.870717592603</v>
      </c>
      <c r="J150" s="12" t="s">
        <v>127</v>
      </c>
      <c r="K150" s="12" t="s">
        <v>135</v>
      </c>
      <c r="L150" s="14"/>
      <c r="M150" s="14">
        <f t="shared" si="2"/>
        <v>0</v>
      </c>
      <c r="N150" s="7" t="s">
        <v>282</v>
      </c>
      <c r="O150" s="12"/>
      <c r="P150" s="12" t="s">
        <v>130</v>
      </c>
    </row>
    <row r="151" spans="1:16" ht="23.25" hidden="1" customHeight="1" x14ac:dyDescent="0.35">
      <c r="A151" s="12">
        <v>9456</v>
      </c>
      <c r="B151" s="12" t="s">
        <v>93</v>
      </c>
      <c r="C151" s="12" t="s">
        <v>96</v>
      </c>
      <c r="D151" s="12" t="s">
        <v>97</v>
      </c>
      <c r="E151" s="12" t="s">
        <v>131</v>
      </c>
      <c r="F151" s="12" t="s">
        <v>66</v>
      </c>
      <c r="G151" s="12" t="s">
        <v>75</v>
      </c>
      <c r="H151" s="12">
        <v>2507507</v>
      </c>
      <c r="I151" s="13">
        <v>45915.870717592603</v>
      </c>
      <c r="J151" s="12" t="s">
        <v>127</v>
      </c>
      <c r="K151" s="12" t="s">
        <v>142</v>
      </c>
      <c r="L151" s="14">
        <v>0.33300000000000002</v>
      </c>
      <c r="M151" s="14">
        <f t="shared" si="2"/>
        <v>0.33300000000000002</v>
      </c>
      <c r="N151" s="7" t="s">
        <v>283</v>
      </c>
      <c r="O151" s="12"/>
      <c r="P151" s="12" t="s">
        <v>130</v>
      </c>
    </row>
    <row r="152" spans="1:16" ht="23.25" hidden="1" customHeight="1" x14ac:dyDescent="0.35">
      <c r="A152" s="12">
        <v>9484</v>
      </c>
      <c r="B152" s="12" t="s">
        <v>93</v>
      </c>
      <c r="C152" s="12" t="s">
        <v>96</v>
      </c>
      <c r="D152" s="12" t="s">
        <v>97</v>
      </c>
      <c r="E152" s="12" t="s">
        <v>134</v>
      </c>
      <c r="F152" s="12" t="s">
        <v>66</v>
      </c>
      <c r="G152" s="12" t="s">
        <v>75</v>
      </c>
      <c r="H152" s="12">
        <v>2507507</v>
      </c>
      <c r="I152" s="13">
        <v>45915.870717592603</v>
      </c>
      <c r="J152" s="12" t="s">
        <v>127</v>
      </c>
      <c r="K152" s="12" t="s">
        <v>135</v>
      </c>
      <c r="L152" s="14"/>
      <c r="M152" s="14">
        <f t="shared" si="2"/>
        <v>0</v>
      </c>
      <c r="N152" s="7" t="s">
        <v>284</v>
      </c>
      <c r="O152" s="12"/>
      <c r="P152" s="12" t="s">
        <v>130</v>
      </c>
    </row>
    <row r="153" spans="1:16" ht="34.5" hidden="1" customHeight="1" x14ac:dyDescent="0.35">
      <c r="A153" s="12">
        <v>9485</v>
      </c>
      <c r="B153" s="12" t="s">
        <v>93</v>
      </c>
      <c r="C153" s="12" t="s">
        <v>98</v>
      </c>
      <c r="D153" s="12" t="s">
        <v>99</v>
      </c>
      <c r="E153" s="12" t="s">
        <v>126</v>
      </c>
      <c r="F153" s="12" t="s">
        <v>66</v>
      </c>
      <c r="G153" s="12" t="s">
        <v>75</v>
      </c>
      <c r="H153" s="12">
        <v>2507507</v>
      </c>
      <c r="I153" s="13">
        <v>45915.870717592603</v>
      </c>
      <c r="J153" s="12" t="s">
        <v>127</v>
      </c>
      <c r="K153" s="12" t="s">
        <v>135</v>
      </c>
      <c r="L153" s="14"/>
      <c r="M153" s="14">
        <f t="shared" si="2"/>
        <v>0</v>
      </c>
      <c r="N153" s="7" t="s">
        <v>285</v>
      </c>
      <c r="O153" s="12"/>
      <c r="P153" s="12" t="s">
        <v>130</v>
      </c>
    </row>
    <row r="154" spans="1:16" ht="34.5" hidden="1" customHeight="1" x14ac:dyDescent="0.35">
      <c r="A154" s="12">
        <v>9486</v>
      </c>
      <c r="B154" s="12" t="s">
        <v>93</v>
      </c>
      <c r="C154" s="12" t="s">
        <v>98</v>
      </c>
      <c r="D154" s="12" t="s">
        <v>99</v>
      </c>
      <c r="E154" s="12" t="s">
        <v>131</v>
      </c>
      <c r="F154" s="12" t="s">
        <v>66</v>
      </c>
      <c r="G154" s="12" t="s">
        <v>75</v>
      </c>
      <c r="H154" s="12">
        <v>2507507</v>
      </c>
      <c r="I154" s="13">
        <v>45915.870717592603</v>
      </c>
      <c r="J154" s="12" t="s">
        <v>127</v>
      </c>
      <c r="K154" s="12" t="s">
        <v>135</v>
      </c>
      <c r="L154" s="14"/>
      <c r="M154" s="14">
        <f t="shared" si="2"/>
        <v>0</v>
      </c>
      <c r="N154" s="7" t="s">
        <v>286</v>
      </c>
      <c r="O154" s="12"/>
      <c r="P154" s="12" t="s">
        <v>130</v>
      </c>
    </row>
    <row r="155" spans="1:16" ht="79.5" hidden="1" customHeight="1" x14ac:dyDescent="0.35">
      <c r="A155" s="12">
        <v>8618</v>
      </c>
      <c r="B155" s="12" t="s">
        <v>93</v>
      </c>
      <c r="C155" s="12" t="s">
        <v>94</v>
      </c>
      <c r="D155" s="12" t="s">
        <v>95</v>
      </c>
      <c r="E155" s="12" t="s">
        <v>126</v>
      </c>
      <c r="F155" s="12" t="s">
        <v>66</v>
      </c>
      <c r="G155" s="12" t="s">
        <v>76</v>
      </c>
      <c r="H155" s="12">
        <v>1600303</v>
      </c>
      <c r="I155" s="13">
        <v>45922.504629629599</v>
      </c>
      <c r="J155" s="12" t="s">
        <v>127</v>
      </c>
      <c r="K155" s="12" t="s">
        <v>135</v>
      </c>
      <c r="L155" s="14"/>
      <c r="M155" s="14">
        <f t="shared" si="2"/>
        <v>0</v>
      </c>
      <c r="N155" s="7" t="s">
        <v>287</v>
      </c>
      <c r="O155" s="12"/>
      <c r="P155" s="12" t="s">
        <v>130</v>
      </c>
    </row>
    <row r="156" spans="1:16" ht="79.5" hidden="1" customHeight="1" x14ac:dyDescent="0.35">
      <c r="A156" s="12">
        <v>8619</v>
      </c>
      <c r="B156" s="12" t="s">
        <v>93</v>
      </c>
      <c r="C156" s="12" t="s">
        <v>94</v>
      </c>
      <c r="D156" s="12" t="s">
        <v>95</v>
      </c>
      <c r="E156" s="12" t="s">
        <v>131</v>
      </c>
      <c r="F156" s="12" t="s">
        <v>66</v>
      </c>
      <c r="G156" s="12" t="s">
        <v>76</v>
      </c>
      <c r="H156" s="12">
        <v>1600303</v>
      </c>
      <c r="I156" s="13">
        <v>45922.504629629599</v>
      </c>
      <c r="J156" s="12" t="s">
        <v>127</v>
      </c>
      <c r="K156" s="12" t="s">
        <v>135</v>
      </c>
      <c r="L156" s="14"/>
      <c r="M156" s="14">
        <f t="shared" si="2"/>
        <v>0</v>
      </c>
      <c r="N156" s="7" t="s">
        <v>288</v>
      </c>
      <c r="O156" s="12"/>
      <c r="P156" s="12" t="s">
        <v>130</v>
      </c>
    </row>
    <row r="157" spans="1:16" ht="68.25" hidden="1" customHeight="1" x14ac:dyDescent="0.35">
      <c r="A157" s="12">
        <v>8634</v>
      </c>
      <c r="B157" s="12" t="s">
        <v>93</v>
      </c>
      <c r="C157" s="12" t="s">
        <v>94</v>
      </c>
      <c r="D157" s="12" t="s">
        <v>95</v>
      </c>
      <c r="E157" s="12" t="s">
        <v>134</v>
      </c>
      <c r="F157" s="12" t="s">
        <v>66</v>
      </c>
      <c r="G157" s="12" t="s">
        <v>76</v>
      </c>
      <c r="H157" s="12">
        <v>1600303</v>
      </c>
      <c r="I157" s="13">
        <v>45922.504629629599</v>
      </c>
      <c r="J157" s="12" t="s">
        <v>127</v>
      </c>
      <c r="K157" s="12" t="s">
        <v>135</v>
      </c>
      <c r="L157" s="14"/>
      <c r="M157" s="14">
        <f t="shared" si="2"/>
        <v>0</v>
      </c>
      <c r="N157" s="7" t="s">
        <v>289</v>
      </c>
      <c r="O157" s="12"/>
      <c r="P157" s="12" t="s">
        <v>130</v>
      </c>
    </row>
    <row r="158" spans="1:16" ht="68.25" hidden="1" customHeight="1" x14ac:dyDescent="0.35">
      <c r="A158" s="12">
        <v>8620</v>
      </c>
      <c r="B158" s="12" t="s">
        <v>93</v>
      </c>
      <c r="C158" s="12" t="s">
        <v>94</v>
      </c>
      <c r="D158" s="12" t="s">
        <v>95</v>
      </c>
      <c r="E158" s="12" t="s">
        <v>137</v>
      </c>
      <c r="F158" s="12" t="s">
        <v>66</v>
      </c>
      <c r="G158" s="12" t="s">
        <v>76</v>
      </c>
      <c r="H158" s="12">
        <v>1600303</v>
      </c>
      <c r="I158" s="13">
        <v>45922.504629629599</v>
      </c>
      <c r="J158" s="12" t="s">
        <v>127</v>
      </c>
      <c r="K158" s="12" t="s">
        <v>135</v>
      </c>
      <c r="L158" s="14"/>
      <c r="M158" s="14">
        <f t="shared" si="2"/>
        <v>0</v>
      </c>
      <c r="N158" s="7" t="s">
        <v>290</v>
      </c>
      <c r="O158" s="12"/>
      <c r="P158" s="12" t="s">
        <v>130</v>
      </c>
    </row>
    <row r="159" spans="1:16" ht="79.5" hidden="1" customHeight="1" x14ac:dyDescent="0.35">
      <c r="A159" s="12">
        <v>8641</v>
      </c>
      <c r="B159" s="12" t="s">
        <v>93</v>
      </c>
      <c r="C159" s="12" t="s">
        <v>96</v>
      </c>
      <c r="D159" s="12" t="s">
        <v>97</v>
      </c>
      <c r="E159" s="12" t="s">
        <v>126</v>
      </c>
      <c r="F159" s="12" t="s">
        <v>66</v>
      </c>
      <c r="G159" s="12" t="s">
        <v>76</v>
      </c>
      <c r="H159" s="12">
        <v>1600303</v>
      </c>
      <c r="I159" s="13">
        <v>45922.504629629599</v>
      </c>
      <c r="J159" s="12" t="s">
        <v>127</v>
      </c>
      <c r="K159" s="12" t="s">
        <v>135</v>
      </c>
      <c r="L159" s="14"/>
      <c r="M159" s="14">
        <f t="shared" si="2"/>
        <v>0</v>
      </c>
      <c r="N159" s="7" t="s">
        <v>291</v>
      </c>
      <c r="O159" s="12"/>
      <c r="P159" s="12" t="s">
        <v>130</v>
      </c>
    </row>
    <row r="160" spans="1:16" ht="79.5" hidden="1" customHeight="1" x14ac:dyDescent="0.35">
      <c r="A160" s="12">
        <v>8635</v>
      </c>
      <c r="B160" s="12" t="s">
        <v>93</v>
      </c>
      <c r="C160" s="12" t="s">
        <v>96</v>
      </c>
      <c r="D160" s="12" t="s">
        <v>97</v>
      </c>
      <c r="E160" s="12" t="s">
        <v>131</v>
      </c>
      <c r="F160" s="12" t="s">
        <v>66</v>
      </c>
      <c r="G160" s="12" t="s">
        <v>76</v>
      </c>
      <c r="H160" s="12">
        <v>1600303</v>
      </c>
      <c r="I160" s="13">
        <v>45922.504629629599</v>
      </c>
      <c r="J160" s="12" t="s">
        <v>127</v>
      </c>
      <c r="K160" s="12" t="s">
        <v>135</v>
      </c>
      <c r="L160" s="14"/>
      <c r="M160" s="14">
        <f t="shared" si="2"/>
        <v>0</v>
      </c>
      <c r="N160" s="7" t="s">
        <v>292</v>
      </c>
      <c r="O160" s="12"/>
      <c r="P160" s="12" t="s">
        <v>130</v>
      </c>
    </row>
    <row r="161" spans="1:16" ht="79.5" hidden="1" customHeight="1" x14ac:dyDescent="0.35">
      <c r="A161" s="12">
        <v>8636</v>
      </c>
      <c r="B161" s="12" t="s">
        <v>93</v>
      </c>
      <c r="C161" s="12" t="s">
        <v>96</v>
      </c>
      <c r="D161" s="12" t="s">
        <v>97</v>
      </c>
      <c r="E161" s="12" t="s">
        <v>134</v>
      </c>
      <c r="F161" s="12" t="s">
        <v>66</v>
      </c>
      <c r="G161" s="12" t="s">
        <v>76</v>
      </c>
      <c r="H161" s="12">
        <v>1600303</v>
      </c>
      <c r="I161" s="13">
        <v>45922.504629629599</v>
      </c>
      <c r="J161" s="12" t="s">
        <v>127</v>
      </c>
      <c r="K161" s="12" t="s">
        <v>135</v>
      </c>
      <c r="L161" s="14"/>
      <c r="M161" s="14">
        <f t="shared" si="2"/>
        <v>0</v>
      </c>
      <c r="N161" s="7" t="s">
        <v>293</v>
      </c>
      <c r="O161" s="12"/>
      <c r="P161" s="12" t="s">
        <v>130</v>
      </c>
    </row>
    <row r="162" spans="1:16" ht="57" hidden="1" customHeight="1" x14ac:dyDescent="0.35">
      <c r="A162" s="12">
        <v>8642</v>
      </c>
      <c r="B162" s="12" t="s">
        <v>93</v>
      </c>
      <c r="C162" s="12" t="s">
        <v>98</v>
      </c>
      <c r="D162" s="12" t="s">
        <v>99</v>
      </c>
      <c r="E162" s="12" t="s">
        <v>126</v>
      </c>
      <c r="F162" s="12" t="s">
        <v>66</v>
      </c>
      <c r="G162" s="12" t="s">
        <v>76</v>
      </c>
      <c r="H162" s="12">
        <v>1600303</v>
      </c>
      <c r="I162" s="13">
        <v>45922.504629629599</v>
      </c>
      <c r="J162" s="12" t="s">
        <v>127</v>
      </c>
      <c r="K162" s="12" t="s">
        <v>135</v>
      </c>
      <c r="L162" s="14"/>
      <c r="M162" s="14">
        <f t="shared" si="2"/>
        <v>0</v>
      </c>
      <c r="N162" s="7" t="s">
        <v>294</v>
      </c>
      <c r="O162" s="12"/>
      <c r="P162" s="12" t="s">
        <v>130</v>
      </c>
    </row>
    <row r="163" spans="1:16" ht="57" hidden="1" customHeight="1" x14ac:dyDescent="0.35">
      <c r="A163" s="12">
        <v>8637</v>
      </c>
      <c r="B163" s="12" t="s">
        <v>93</v>
      </c>
      <c r="C163" s="12" t="s">
        <v>98</v>
      </c>
      <c r="D163" s="12" t="s">
        <v>99</v>
      </c>
      <c r="E163" s="12" t="s">
        <v>131</v>
      </c>
      <c r="F163" s="12" t="s">
        <v>66</v>
      </c>
      <c r="G163" s="12" t="s">
        <v>76</v>
      </c>
      <c r="H163" s="12">
        <v>1600303</v>
      </c>
      <c r="I163" s="13">
        <v>45922.504629629599</v>
      </c>
      <c r="J163" s="12" t="s">
        <v>127</v>
      </c>
      <c r="K163" s="12" t="s">
        <v>135</v>
      </c>
      <c r="L163" s="14"/>
      <c r="M163" s="14">
        <f t="shared" si="2"/>
        <v>0</v>
      </c>
      <c r="N163" s="7" t="s">
        <v>295</v>
      </c>
      <c r="O163" s="12"/>
      <c r="P163" s="12" t="s">
        <v>130</v>
      </c>
    </row>
    <row r="164" spans="1:16" ht="225" hidden="1" customHeight="1" x14ac:dyDescent="0.35">
      <c r="A164" s="12">
        <v>9684</v>
      </c>
      <c r="B164" s="12" t="s">
        <v>93</v>
      </c>
      <c r="C164" s="12" t="s">
        <v>94</v>
      </c>
      <c r="D164" s="12" t="s">
        <v>95</v>
      </c>
      <c r="E164" s="12" t="s">
        <v>126</v>
      </c>
      <c r="F164" s="12" t="s">
        <v>66</v>
      </c>
      <c r="G164" s="12" t="s">
        <v>77</v>
      </c>
      <c r="H164" s="12">
        <v>2704302</v>
      </c>
      <c r="I164" s="13">
        <v>45933.595613425903</v>
      </c>
      <c r="J164" s="12" t="s">
        <v>127</v>
      </c>
      <c r="K164" s="12" t="s">
        <v>132</v>
      </c>
      <c r="L164" s="14">
        <v>0.66600000000000004</v>
      </c>
      <c r="M164" s="14">
        <f t="shared" si="2"/>
        <v>0.66600000000000004</v>
      </c>
      <c r="N164" s="7" t="s">
        <v>296</v>
      </c>
      <c r="O164" s="12"/>
      <c r="P164" s="12" t="s">
        <v>130</v>
      </c>
    </row>
    <row r="165" spans="1:16" ht="45.75" hidden="1" customHeight="1" x14ac:dyDescent="0.35">
      <c r="A165" s="12">
        <v>9702</v>
      </c>
      <c r="B165" s="12" t="s">
        <v>93</v>
      </c>
      <c r="C165" s="12" t="s">
        <v>94</v>
      </c>
      <c r="D165" s="12" t="s">
        <v>95</v>
      </c>
      <c r="E165" s="12" t="s">
        <v>131</v>
      </c>
      <c r="F165" s="12" t="s">
        <v>66</v>
      </c>
      <c r="G165" s="12" t="s">
        <v>77</v>
      </c>
      <c r="H165" s="12">
        <v>2704302</v>
      </c>
      <c r="I165" s="13">
        <v>45933.595613425903</v>
      </c>
      <c r="J165" s="12" t="s">
        <v>127</v>
      </c>
      <c r="K165" s="12" t="s">
        <v>135</v>
      </c>
      <c r="L165" s="14"/>
      <c r="M165" s="14">
        <f t="shared" si="2"/>
        <v>0</v>
      </c>
      <c r="N165" s="7" t="s">
        <v>297</v>
      </c>
      <c r="O165" s="12"/>
      <c r="P165" s="12" t="s">
        <v>130</v>
      </c>
    </row>
    <row r="166" spans="1:16" ht="135.75" hidden="1" customHeight="1" x14ac:dyDescent="0.35">
      <c r="A166" s="12">
        <v>9721</v>
      </c>
      <c r="B166" s="12" t="s">
        <v>93</v>
      </c>
      <c r="C166" s="12" t="s">
        <v>94</v>
      </c>
      <c r="D166" s="12" t="s">
        <v>95</v>
      </c>
      <c r="E166" s="12" t="s">
        <v>134</v>
      </c>
      <c r="F166" s="12" t="s">
        <v>66</v>
      </c>
      <c r="G166" s="12" t="s">
        <v>77</v>
      </c>
      <c r="H166" s="12">
        <v>2704302</v>
      </c>
      <c r="I166" s="13">
        <v>45933.595613425903</v>
      </c>
      <c r="J166" s="12" t="s">
        <v>127</v>
      </c>
      <c r="K166" s="12" t="s">
        <v>142</v>
      </c>
      <c r="L166" s="14">
        <v>0.33300000000000002</v>
      </c>
      <c r="M166" s="14">
        <f t="shared" si="2"/>
        <v>0.33300000000000002</v>
      </c>
      <c r="N166" s="7" t="s">
        <v>298</v>
      </c>
      <c r="O166" s="12"/>
      <c r="P166" s="12" t="s">
        <v>130</v>
      </c>
    </row>
    <row r="167" spans="1:16" ht="90.75" hidden="1" customHeight="1" x14ac:dyDescent="0.35">
      <c r="A167" s="12">
        <v>9602</v>
      </c>
      <c r="B167" s="12" t="s">
        <v>93</v>
      </c>
      <c r="C167" s="12" t="s">
        <v>94</v>
      </c>
      <c r="D167" s="12" t="s">
        <v>95</v>
      </c>
      <c r="E167" s="12" t="s">
        <v>137</v>
      </c>
      <c r="F167" s="12" t="s">
        <v>66</v>
      </c>
      <c r="G167" s="12" t="s">
        <v>77</v>
      </c>
      <c r="H167" s="12">
        <v>2704302</v>
      </c>
      <c r="I167" s="13">
        <v>45933.595613425903</v>
      </c>
      <c r="J167" s="12" t="s">
        <v>127</v>
      </c>
      <c r="K167" s="12" t="s">
        <v>135</v>
      </c>
      <c r="L167" s="14"/>
      <c r="M167" s="14">
        <f t="shared" si="2"/>
        <v>0</v>
      </c>
      <c r="N167" s="7" t="s">
        <v>299</v>
      </c>
      <c r="O167" s="12"/>
      <c r="P167" s="12" t="s">
        <v>130</v>
      </c>
    </row>
    <row r="168" spans="1:16" ht="23.25" hidden="1" customHeight="1" x14ac:dyDescent="0.35">
      <c r="A168" s="12">
        <v>9603</v>
      </c>
      <c r="B168" s="12" t="s">
        <v>93</v>
      </c>
      <c r="C168" s="12" t="s">
        <v>96</v>
      </c>
      <c r="D168" s="12" t="s">
        <v>97</v>
      </c>
      <c r="E168" s="12" t="s">
        <v>126</v>
      </c>
      <c r="F168" s="12" t="s">
        <v>66</v>
      </c>
      <c r="G168" s="12" t="s">
        <v>77</v>
      </c>
      <c r="H168" s="12">
        <v>2704302</v>
      </c>
      <c r="I168" s="13">
        <v>45933.595613425903</v>
      </c>
      <c r="J168" s="12" t="s">
        <v>127</v>
      </c>
      <c r="K168" s="12" t="s">
        <v>135</v>
      </c>
      <c r="L168" s="14"/>
      <c r="M168" s="14">
        <f t="shared" si="2"/>
        <v>0</v>
      </c>
      <c r="N168" s="7" t="s">
        <v>300</v>
      </c>
      <c r="O168" s="12"/>
      <c r="P168" s="12" t="s">
        <v>130</v>
      </c>
    </row>
    <row r="169" spans="1:16" ht="23.25" hidden="1" customHeight="1" x14ac:dyDescent="0.35">
      <c r="A169" s="12">
        <v>9604</v>
      </c>
      <c r="B169" s="12" t="s">
        <v>93</v>
      </c>
      <c r="C169" s="12" t="s">
        <v>96</v>
      </c>
      <c r="D169" s="12" t="s">
        <v>97</v>
      </c>
      <c r="E169" s="12" t="s">
        <v>131</v>
      </c>
      <c r="F169" s="12" t="s">
        <v>66</v>
      </c>
      <c r="G169" s="12" t="s">
        <v>77</v>
      </c>
      <c r="H169" s="12">
        <v>2704302</v>
      </c>
      <c r="I169" s="13">
        <v>45933.595613425903</v>
      </c>
      <c r="J169" s="12" t="s">
        <v>127</v>
      </c>
      <c r="K169" s="12" t="s">
        <v>135</v>
      </c>
      <c r="L169" s="14"/>
      <c r="M169" s="14">
        <f t="shared" si="2"/>
        <v>0</v>
      </c>
      <c r="N169" s="7" t="s">
        <v>301</v>
      </c>
      <c r="O169" s="12"/>
      <c r="P169" s="12" t="s">
        <v>130</v>
      </c>
    </row>
    <row r="170" spans="1:16" ht="23.25" hidden="1" customHeight="1" x14ac:dyDescent="0.35">
      <c r="A170" s="12">
        <v>9605</v>
      </c>
      <c r="B170" s="12" t="s">
        <v>93</v>
      </c>
      <c r="C170" s="12" t="s">
        <v>96</v>
      </c>
      <c r="D170" s="12" t="s">
        <v>97</v>
      </c>
      <c r="E170" s="12" t="s">
        <v>134</v>
      </c>
      <c r="F170" s="12" t="s">
        <v>66</v>
      </c>
      <c r="G170" s="12" t="s">
        <v>77</v>
      </c>
      <c r="H170" s="12">
        <v>2704302</v>
      </c>
      <c r="I170" s="13">
        <v>45933.595613425903</v>
      </c>
      <c r="J170" s="12" t="s">
        <v>127</v>
      </c>
      <c r="K170" s="12" t="s">
        <v>135</v>
      </c>
      <c r="L170" s="14"/>
      <c r="M170" s="14">
        <f t="shared" si="2"/>
        <v>0</v>
      </c>
      <c r="N170" s="7" t="s">
        <v>302</v>
      </c>
      <c r="O170" s="12"/>
      <c r="P170" s="12" t="s">
        <v>130</v>
      </c>
    </row>
    <row r="171" spans="1:16" ht="23.25" hidden="1" customHeight="1" x14ac:dyDescent="0.35">
      <c r="A171" s="12">
        <v>9585</v>
      </c>
      <c r="B171" s="12" t="s">
        <v>93</v>
      </c>
      <c r="C171" s="12" t="s">
        <v>98</v>
      </c>
      <c r="D171" s="12" t="s">
        <v>99</v>
      </c>
      <c r="E171" s="12" t="s">
        <v>126</v>
      </c>
      <c r="F171" s="12" t="s">
        <v>66</v>
      </c>
      <c r="G171" s="12" t="s">
        <v>77</v>
      </c>
      <c r="H171" s="12">
        <v>2704302</v>
      </c>
      <c r="I171" s="13">
        <v>45933.595613425903</v>
      </c>
      <c r="J171" s="12" t="s">
        <v>127</v>
      </c>
      <c r="K171" s="12" t="s">
        <v>135</v>
      </c>
      <c r="L171" s="14"/>
      <c r="M171" s="14">
        <f t="shared" si="2"/>
        <v>0</v>
      </c>
      <c r="N171" s="7" t="s">
        <v>303</v>
      </c>
      <c r="O171" s="12"/>
      <c r="P171" s="12" t="s">
        <v>130</v>
      </c>
    </row>
    <row r="172" spans="1:16" ht="34.5" hidden="1" customHeight="1" x14ac:dyDescent="0.35">
      <c r="A172" s="12">
        <v>9586</v>
      </c>
      <c r="B172" s="12" t="s">
        <v>93</v>
      </c>
      <c r="C172" s="12" t="s">
        <v>98</v>
      </c>
      <c r="D172" s="12" t="s">
        <v>99</v>
      </c>
      <c r="E172" s="12" t="s">
        <v>131</v>
      </c>
      <c r="F172" s="12" t="s">
        <v>66</v>
      </c>
      <c r="G172" s="12" t="s">
        <v>77</v>
      </c>
      <c r="H172" s="12">
        <v>2704302</v>
      </c>
      <c r="I172" s="13">
        <v>45933.595613425903</v>
      </c>
      <c r="J172" s="12" t="s">
        <v>127</v>
      </c>
      <c r="K172" s="12" t="s">
        <v>135</v>
      </c>
      <c r="L172" s="14"/>
      <c r="M172" s="14">
        <f t="shared" si="2"/>
        <v>0</v>
      </c>
      <c r="N172" s="7" t="s">
        <v>304</v>
      </c>
      <c r="O172" s="12"/>
      <c r="P172" s="12" t="s">
        <v>130</v>
      </c>
    </row>
    <row r="173" spans="1:16" ht="79.5" hidden="1" customHeight="1" x14ac:dyDescent="0.35">
      <c r="A173" s="12">
        <v>9201</v>
      </c>
      <c r="B173" s="12" t="s">
        <v>93</v>
      </c>
      <c r="C173" s="12" t="s">
        <v>94</v>
      </c>
      <c r="D173" s="12" t="s">
        <v>95</v>
      </c>
      <c r="E173" s="12" t="s">
        <v>126</v>
      </c>
      <c r="F173" s="12" t="s">
        <v>66</v>
      </c>
      <c r="G173" s="12" t="s">
        <v>78</v>
      </c>
      <c r="H173" s="12">
        <v>1302603</v>
      </c>
      <c r="I173" s="13">
        <v>45917.854675925897</v>
      </c>
      <c r="J173" s="12" t="s">
        <v>127</v>
      </c>
      <c r="K173" s="12" t="s">
        <v>132</v>
      </c>
      <c r="L173" s="14">
        <v>0.66600000000000004</v>
      </c>
      <c r="M173" s="14">
        <f t="shared" si="2"/>
        <v>0.66600000000000004</v>
      </c>
      <c r="N173" s="7" t="s">
        <v>305</v>
      </c>
      <c r="O173" s="12"/>
      <c r="P173" s="12"/>
    </row>
    <row r="174" spans="1:16" ht="180" hidden="1" customHeight="1" x14ac:dyDescent="0.35">
      <c r="A174" s="12">
        <v>9286</v>
      </c>
      <c r="B174" s="12" t="s">
        <v>93</v>
      </c>
      <c r="C174" s="12" t="s">
        <v>94</v>
      </c>
      <c r="D174" s="12" t="s">
        <v>95</v>
      </c>
      <c r="E174" s="12" t="s">
        <v>131</v>
      </c>
      <c r="F174" s="12" t="s">
        <v>66</v>
      </c>
      <c r="G174" s="12" t="s">
        <v>78</v>
      </c>
      <c r="H174" s="12">
        <v>1302603</v>
      </c>
      <c r="I174" s="13">
        <v>45917.854675925897</v>
      </c>
      <c r="J174" s="12" t="s">
        <v>127</v>
      </c>
      <c r="K174" s="12" t="s">
        <v>135</v>
      </c>
      <c r="L174" s="14"/>
      <c r="M174" s="14">
        <f t="shared" si="2"/>
        <v>0</v>
      </c>
      <c r="N174" s="7" t="s">
        <v>306</v>
      </c>
      <c r="O174" s="12"/>
      <c r="P174" s="12" t="s">
        <v>130</v>
      </c>
    </row>
    <row r="175" spans="1:16" ht="213.75" hidden="1" customHeight="1" x14ac:dyDescent="0.35">
      <c r="A175" s="12">
        <v>9287</v>
      </c>
      <c r="B175" s="12" t="s">
        <v>93</v>
      </c>
      <c r="C175" s="12" t="s">
        <v>94</v>
      </c>
      <c r="D175" s="12" t="s">
        <v>95</v>
      </c>
      <c r="E175" s="12" t="s">
        <v>134</v>
      </c>
      <c r="F175" s="12" t="s">
        <v>66</v>
      </c>
      <c r="G175" s="12" t="s">
        <v>78</v>
      </c>
      <c r="H175" s="12">
        <v>1302603</v>
      </c>
      <c r="I175" s="13">
        <v>45917.854675925897</v>
      </c>
      <c r="J175" s="12" t="s">
        <v>127</v>
      </c>
      <c r="K175" s="12" t="s">
        <v>142</v>
      </c>
      <c r="L175" s="14">
        <v>0.33300000000000002</v>
      </c>
      <c r="M175" s="14">
        <f t="shared" si="2"/>
        <v>0.33300000000000002</v>
      </c>
      <c r="N175" s="7" t="s">
        <v>307</v>
      </c>
      <c r="O175" s="12"/>
      <c r="P175" s="12" t="s">
        <v>130</v>
      </c>
    </row>
    <row r="176" spans="1:16" ht="180" hidden="1" customHeight="1" x14ac:dyDescent="0.35">
      <c r="A176" s="12">
        <v>9202</v>
      </c>
      <c r="B176" s="12" t="s">
        <v>93</v>
      </c>
      <c r="C176" s="12" t="s">
        <v>94</v>
      </c>
      <c r="D176" s="12" t="s">
        <v>95</v>
      </c>
      <c r="E176" s="12" t="s">
        <v>137</v>
      </c>
      <c r="F176" s="12" t="s">
        <v>66</v>
      </c>
      <c r="G176" s="12" t="s">
        <v>78</v>
      </c>
      <c r="H176" s="12">
        <v>1302603</v>
      </c>
      <c r="I176" s="13">
        <v>45917.854675925897</v>
      </c>
      <c r="J176" s="12" t="s">
        <v>127</v>
      </c>
      <c r="K176" s="12" t="s">
        <v>142</v>
      </c>
      <c r="L176" s="14">
        <v>0.33300000000000002</v>
      </c>
      <c r="M176" s="14">
        <f t="shared" si="2"/>
        <v>0.33300000000000002</v>
      </c>
      <c r="N176" s="7" t="s">
        <v>308</v>
      </c>
      <c r="O176" s="12"/>
      <c r="P176" s="12" t="s">
        <v>130</v>
      </c>
    </row>
    <row r="177" spans="1:16" ht="213.75" hidden="1" customHeight="1" x14ac:dyDescent="0.35">
      <c r="A177" s="12">
        <v>9341</v>
      </c>
      <c r="B177" s="12" t="s">
        <v>93</v>
      </c>
      <c r="C177" s="12" t="s">
        <v>96</v>
      </c>
      <c r="D177" s="12" t="s">
        <v>97</v>
      </c>
      <c r="E177" s="12" t="s">
        <v>126</v>
      </c>
      <c r="F177" s="12" t="s">
        <v>66</v>
      </c>
      <c r="G177" s="12" t="s">
        <v>78</v>
      </c>
      <c r="H177" s="12">
        <v>1302603</v>
      </c>
      <c r="I177" s="13">
        <v>45917.854675925897</v>
      </c>
      <c r="J177" s="12" t="s">
        <v>127</v>
      </c>
      <c r="K177" s="12" t="s">
        <v>132</v>
      </c>
      <c r="L177" s="14">
        <v>0.66600000000000004</v>
      </c>
      <c r="M177" s="14">
        <f t="shared" si="2"/>
        <v>0.66600000000000004</v>
      </c>
      <c r="N177" s="7" t="s">
        <v>309</v>
      </c>
      <c r="O177" s="12"/>
      <c r="P177" s="12" t="s">
        <v>130</v>
      </c>
    </row>
    <row r="178" spans="1:16" ht="213.75" hidden="1" customHeight="1" x14ac:dyDescent="0.35">
      <c r="A178" s="12">
        <v>9342</v>
      </c>
      <c r="B178" s="12" t="s">
        <v>93</v>
      </c>
      <c r="C178" s="12" t="s">
        <v>96</v>
      </c>
      <c r="D178" s="12" t="s">
        <v>97</v>
      </c>
      <c r="E178" s="12" t="s">
        <v>131</v>
      </c>
      <c r="F178" s="12" t="s">
        <v>66</v>
      </c>
      <c r="G178" s="12" t="s">
        <v>78</v>
      </c>
      <c r="H178" s="12">
        <v>1302603</v>
      </c>
      <c r="I178" s="13">
        <v>45917.854675925897</v>
      </c>
      <c r="J178" s="12" t="s">
        <v>127</v>
      </c>
      <c r="K178" s="12" t="s">
        <v>132</v>
      </c>
      <c r="L178" s="14">
        <v>0.66600000000000004</v>
      </c>
      <c r="M178" s="14">
        <f t="shared" si="2"/>
        <v>0.66600000000000004</v>
      </c>
      <c r="N178" s="7" t="s">
        <v>310</v>
      </c>
      <c r="O178" s="12"/>
      <c r="P178" s="12" t="s">
        <v>130</v>
      </c>
    </row>
    <row r="179" spans="1:16" ht="113.25" hidden="1" customHeight="1" x14ac:dyDescent="0.35">
      <c r="A179" s="12">
        <v>9203</v>
      </c>
      <c r="B179" s="12" t="s">
        <v>93</v>
      </c>
      <c r="C179" s="12" t="s">
        <v>96</v>
      </c>
      <c r="D179" s="12" t="s">
        <v>97</v>
      </c>
      <c r="E179" s="12" t="s">
        <v>134</v>
      </c>
      <c r="F179" s="12" t="s">
        <v>66</v>
      </c>
      <c r="G179" s="12" t="s">
        <v>78</v>
      </c>
      <c r="H179" s="12">
        <v>1302603</v>
      </c>
      <c r="I179" s="13">
        <v>45917.854675925897</v>
      </c>
      <c r="J179" s="12" t="s">
        <v>127</v>
      </c>
      <c r="K179" s="12" t="s">
        <v>135</v>
      </c>
      <c r="L179" s="14"/>
      <c r="M179" s="14">
        <f t="shared" si="2"/>
        <v>0</v>
      </c>
      <c r="N179" s="7" t="s">
        <v>311</v>
      </c>
      <c r="O179" s="12"/>
      <c r="P179" s="12" t="s">
        <v>130</v>
      </c>
    </row>
    <row r="180" spans="1:16" ht="113.25" hidden="1" customHeight="1" x14ac:dyDescent="0.35">
      <c r="A180" s="12">
        <v>9367</v>
      </c>
      <c r="B180" s="12" t="s">
        <v>93</v>
      </c>
      <c r="C180" s="12" t="s">
        <v>98</v>
      </c>
      <c r="D180" s="12" t="s">
        <v>99</v>
      </c>
      <c r="E180" s="12" t="s">
        <v>126</v>
      </c>
      <c r="F180" s="12" t="s">
        <v>66</v>
      </c>
      <c r="G180" s="12" t="s">
        <v>78</v>
      </c>
      <c r="H180" s="12">
        <v>1302603</v>
      </c>
      <c r="I180" s="13">
        <v>45917.854675925897</v>
      </c>
      <c r="J180" s="12" t="s">
        <v>127</v>
      </c>
      <c r="K180" s="12" t="s">
        <v>132</v>
      </c>
      <c r="L180" s="14">
        <v>0.66600000000000004</v>
      </c>
      <c r="M180" s="14">
        <f t="shared" si="2"/>
        <v>0.66600000000000004</v>
      </c>
      <c r="N180" s="7" t="s">
        <v>312</v>
      </c>
      <c r="O180" s="12"/>
      <c r="P180" s="12" t="s">
        <v>130</v>
      </c>
    </row>
    <row r="181" spans="1:16" ht="135.75" hidden="1" customHeight="1" x14ac:dyDescent="0.35">
      <c r="A181" s="12">
        <v>9356</v>
      </c>
      <c r="B181" s="12" t="s">
        <v>93</v>
      </c>
      <c r="C181" s="12" t="s">
        <v>98</v>
      </c>
      <c r="D181" s="12" t="s">
        <v>99</v>
      </c>
      <c r="E181" s="12" t="s">
        <v>131</v>
      </c>
      <c r="F181" s="12" t="s">
        <v>66</v>
      </c>
      <c r="G181" s="12" t="s">
        <v>78</v>
      </c>
      <c r="H181" s="12">
        <v>1302603</v>
      </c>
      <c r="I181" s="13">
        <v>45917.854675925897</v>
      </c>
      <c r="J181" s="12" t="s">
        <v>127</v>
      </c>
      <c r="K181" s="12" t="s">
        <v>142</v>
      </c>
      <c r="L181" s="14">
        <v>0.33300000000000002</v>
      </c>
      <c r="M181" s="14">
        <f t="shared" si="2"/>
        <v>0.33300000000000002</v>
      </c>
      <c r="N181" s="7" t="s">
        <v>313</v>
      </c>
      <c r="O181" s="12"/>
      <c r="P181" s="12" t="s">
        <v>130</v>
      </c>
    </row>
    <row r="182" spans="1:16" ht="180" hidden="1" customHeight="1" x14ac:dyDescent="0.35">
      <c r="A182" s="12">
        <v>1886</v>
      </c>
      <c r="B182" s="12" t="s">
        <v>93</v>
      </c>
      <c r="C182" s="12" t="s">
        <v>94</v>
      </c>
      <c r="D182" s="12" t="s">
        <v>95</v>
      </c>
      <c r="E182" s="12" t="s">
        <v>126</v>
      </c>
      <c r="F182" s="12" t="s">
        <v>39</v>
      </c>
      <c r="G182" s="12" t="s">
        <v>48</v>
      </c>
      <c r="H182" s="12">
        <v>21</v>
      </c>
      <c r="I182" s="13">
        <v>45917.9682523148</v>
      </c>
      <c r="J182" s="12" t="s">
        <v>127</v>
      </c>
      <c r="K182" s="12" t="s">
        <v>128</v>
      </c>
      <c r="L182" s="14">
        <v>1</v>
      </c>
      <c r="M182" s="14">
        <f t="shared" si="2"/>
        <v>1</v>
      </c>
      <c r="N182" s="7" t="s">
        <v>314</v>
      </c>
      <c r="O182" s="12"/>
      <c r="P182" s="12" t="s">
        <v>130</v>
      </c>
    </row>
    <row r="183" spans="1:16" ht="213.75" hidden="1" customHeight="1" x14ac:dyDescent="0.35">
      <c r="A183" s="12">
        <v>7741</v>
      </c>
      <c r="B183" s="12" t="s">
        <v>93</v>
      </c>
      <c r="C183" s="12" t="s">
        <v>94</v>
      </c>
      <c r="D183" s="12" t="s">
        <v>95</v>
      </c>
      <c r="E183" s="12" t="s">
        <v>131</v>
      </c>
      <c r="F183" s="12" t="s">
        <v>39</v>
      </c>
      <c r="G183" s="12" t="s">
        <v>48</v>
      </c>
      <c r="H183" s="12">
        <v>21</v>
      </c>
      <c r="I183" s="13">
        <v>45917.9682523148</v>
      </c>
      <c r="J183" s="12" t="s">
        <v>127</v>
      </c>
      <c r="K183" s="12" t="s">
        <v>135</v>
      </c>
      <c r="L183" s="14"/>
      <c r="M183" s="14">
        <f t="shared" si="2"/>
        <v>0</v>
      </c>
      <c r="N183" s="7" t="s">
        <v>315</v>
      </c>
      <c r="O183" s="12"/>
      <c r="P183" s="12" t="s">
        <v>130</v>
      </c>
    </row>
    <row r="184" spans="1:16" ht="168.75" hidden="1" customHeight="1" x14ac:dyDescent="0.35">
      <c r="A184" s="12">
        <v>7742</v>
      </c>
      <c r="B184" s="12" t="s">
        <v>93</v>
      </c>
      <c r="C184" s="12" t="s">
        <v>94</v>
      </c>
      <c r="D184" s="12" t="s">
        <v>95</v>
      </c>
      <c r="E184" s="12" t="s">
        <v>134</v>
      </c>
      <c r="F184" s="12" t="s">
        <v>39</v>
      </c>
      <c r="G184" s="12" t="s">
        <v>48</v>
      </c>
      <c r="H184" s="12">
        <v>21</v>
      </c>
      <c r="I184" s="13">
        <v>45917.9682523148</v>
      </c>
      <c r="J184" s="12" t="s">
        <v>127</v>
      </c>
      <c r="K184" s="12" t="s">
        <v>142</v>
      </c>
      <c r="L184" s="14">
        <v>0.33300000000000002</v>
      </c>
      <c r="M184" s="14">
        <f t="shared" si="2"/>
        <v>0.33300000000000002</v>
      </c>
      <c r="N184" s="7" t="s">
        <v>316</v>
      </c>
      <c r="O184" s="12"/>
      <c r="P184" s="12" t="s">
        <v>130</v>
      </c>
    </row>
    <row r="185" spans="1:16" ht="213.75" hidden="1" customHeight="1" x14ac:dyDescent="0.35">
      <c r="A185" s="12">
        <v>7761</v>
      </c>
      <c r="B185" s="12" t="s">
        <v>93</v>
      </c>
      <c r="C185" s="12" t="s">
        <v>94</v>
      </c>
      <c r="D185" s="12" t="s">
        <v>95</v>
      </c>
      <c r="E185" s="12" t="s">
        <v>137</v>
      </c>
      <c r="F185" s="12" t="s">
        <v>39</v>
      </c>
      <c r="G185" s="12" t="s">
        <v>48</v>
      </c>
      <c r="H185" s="12">
        <v>21</v>
      </c>
      <c r="I185" s="13">
        <v>45917.9682523148</v>
      </c>
      <c r="J185" s="12" t="s">
        <v>127</v>
      </c>
      <c r="K185" s="12" t="s">
        <v>142</v>
      </c>
      <c r="L185" s="14">
        <v>0.33300000000000002</v>
      </c>
      <c r="M185" s="14">
        <f t="shared" si="2"/>
        <v>0.33300000000000002</v>
      </c>
      <c r="N185" s="7" t="s">
        <v>317</v>
      </c>
      <c r="O185" s="12"/>
      <c r="P185" s="12" t="s">
        <v>130</v>
      </c>
    </row>
    <row r="186" spans="1:16" ht="202.5" hidden="1" customHeight="1" x14ac:dyDescent="0.35">
      <c r="A186" s="12">
        <v>7762</v>
      </c>
      <c r="B186" s="12" t="s">
        <v>93</v>
      </c>
      <c r="C186" s="12" t="s">
        <v>96</v>
      </c>
      <c r="D186" s="12" t="s">
        <v>97</v>
      </c>
      <c r="E186" s="12" t="s">
        <v>126</v>
      </c>
      <c r="F186" s="12" t="s">
        <v>39</v>
      </c>
      <c r="G186" s="12" t="s">
        <v>48</v>
      </c>
      <c r="H186" s="12">
        <v>21</v>
      </c>
      <c r="I186" s="13">
        <v>45917.9682523148</v>
      </c>
      <c r="J186" s="12" t="s">
        <v>127</v>
      </c>
      <c r="K186" s="12" t="s">
        <v>128</v>
      </c>
      <c r="L186" s="14">
        <v>1</v>
      </c>
      <c r="M186" s="14">
        <f t="shared" si="2"/>
        <v>1</v>
      </c>
      <c r="N186" s="7" t="s">
        <v>318</v>
      </c>
      <c r="O186" s="12"/>
      <c r="P186" s="12" t="s">
        <v>130</v>
      </c>
    </row>
    <row r="187" spans="1:16" ht="213.75" hidden="1" customHeight="1" x14ac:dyDescent="0.35">
      <c r="A187" s="12">
        <v>7781</v>
      </c>
      <c r="B187" s="12" t="s">
        <v>93</v>
      </c>
      <c r="C187" s="12" t="s">
        <v>96</v>
      </c>
      <c r="D187" s="12" t="s">
        <v>97</v>
      </c>
      <c r="E187" s="12" t="s">
        <v>131</v>
      </c>
      <c r="F187" s="12" t="s">
        <v>39</v>
      </c>
      <c r="G187" s="12" t="s">
        <v>48</v>
      </c>
      <c r="H187" s="12">
        <v>21</v>
      </c>
      <c r="I187" s="13">
        <v>45917.9682523148</v>
      </c>
      <c r="J187" s="12" t="s">
        <v>127</v>
      </c>
      <c r="K187" s="12" t="s">
        <v>128</v>
      </c>
      <c r="L187" s="14">
        <v>1</v>
      </c>
      <c r="M187" s="14">
        <f t="shared" si="2"/>
        <v>1</v>
      </c>
      <c r="N187" s="7" t="s">
        <v>319</v>
      </c>
      <c r="O187" s="12"/>
      <c r="P187" s="12" t="s">
        <v>130</v>
      </c>
    </row>
    <row r="188" spans="1:16" ht="147" hidden="1" customHeight="1" x14ac:dyDescent="0.35">
      <c r="A188" s="12">
        <v>7763</v>
      </c>
      <c r="B188" s="12" t="s">
        <v>93</v>
      </c>
      <c r="C188" s="12" t="s">
        <v>96</v>
      </c>
      <c r="D188" s="12" t="s">
        <v>97</v>
      </c>
      <c r="E188" s="12" t="s">
        <v>134</v>
      </c>
      <c r="F188" s="12" t="s">
        <v>39</v>
      </c>
      <c r="G188" s="12" t="s">
        <v>48</v>
      </c>
      <c r="H188" s="12">
        <v>21</v>
      </c>
      <c r="I188" s="13">
        <v>45917.9682523148</v>
      </c>
      <c r="J188" s="12" t="s">
        <v>127</v>
      </c>
      <c r="K188" s="12" t="s">
        <v>135</v>
      </c>
      <c r="L188" s="14"/>
      <c r="M188" s="14">
        <f t="shared" si="2"/>
        <v>0</v>
      </c>
      <c r="N188" s="7" t="s">
        <v>320</v>
      </c>
      <c r="O188" s="12"/>
      <c r="P188" s="12" t="s">
        <v>130</v>
      </c>
    </row>
    <row r="189" spans="1:16" ht="213.75" hidden="1" customHeight="1" x14ac:dyDescent="0.35">
      <c r="A189" s="12">
        <v>7801</v>
      </c>
      <c r="B189" s="12" t="s">
        <v>93</v>
      </c>
      <c r="C189" s="12" t="s">
        <v>98</v>
      </c>
      <c r="D189" s="12" t="s">
        <v>99</v>
      </c>
      <c r="E189" s="12" t="s">
        <v>126</v>
      </c>
      <c r="F189" s="12" t="s">
        <v>39</v>
      </c>
      <c r="G189" s="12" t="s">
        <v>48</v>
      </c>
      <c r="H189" s="12">
        <v>21</v>
      </c>
      <c r="I189" s="13">
        <v>45917.9682523148</v>
      </c>
      <c r="J189" s="12" t="s">
        <v>127</v>
      </c>
      <c r="K189" s="12" t="s">
        <v>132</v>
      </c>
      <c r="L189" s="14">
        <v>0.66600000000000004</v>
      </c>
      <c r="M189" s="14">
        <f t="shared" si="2"/>
        <v>0.66600000000000004</v>
      </c>
      <c r="N189" s="7" t="s">
        <v>321</v>
      </c>
      <c r="O189" s="12"/>
      <c r="P189" s="12" t="s">
        <v>130</v>
      </c>
    </row>
    <row r="190" spans="1:16" ht="213.75" hidden="1" customHeight="1" x14ac:dyDescent="0.35">
      <c r="A190" s="12">
        <v>7804</v>
      </c>
      <c r="B190" s="12" t="s">
        <v>93</v>
      </c>
      <c r="C190" s="12" t="s">
        <v>98</v>
      </c>
      <c r="D190" s="12" t="s">
        <v>99</v>
      </c>
      <c r="E190" s="12" t="s">
        <v>131</v>
      </c>
      <c r="F190" s="12" t="s">
        <v>39</v>
      </c>
      <c r="G190" s="12" t="s">
        <v>48</v>
      </c>
      <c r="H190" s="12">
        <v>21</v>
      </c>
      <c r="I190" s="13">
        <v>45917.9682523148</v>
      </c>
      <c r="J190" s="12" t="s">
        <v>127</v>
      </c>
      <c r="K190" s="12" t="s">
        <v>142</v>
      </c>
      <c r="L190" s="14">
        <v>0.33300000000000002</v>
      </c>
      <c r="M190" s="14">
        <f t="shared" si="2"/>
        <v>0.33300000000000002</v>
      </c>
      <c r="N190" s="7" t="s">
        <v>322</v>
      </c>
      <c r="O190" s="12"/>
      <c r="P190" s="12" t="s">
        <v>130</v>
      </c>
    </row>
    <row r="191" spans="1:16" ht="135.75" hidden="1" customHeight="1" x14ac:dyDescent="0.35">
      <c r="A191" s="12">
        <v>3561</v>
      </c>
      <c r="B191" s="12" t="s">
        <v>93</v>
      </c>
      <c r="C191" s="12" t="s">
        <v>94</v>
      </c>
      <c r="D191" s="12" t="s">
        <v>95</v>
      </c>
      <c r="E191" s="12" t="s">
        <v>126</v>
      </c>
      <c r="F191" s="12" t="s">
        <v>39</v>
      </c>
      <c r="G191" s="12" t="s">
        <v>49</v>
      </c>
      <c r="H191" s="12">
        <v>51</v>
      </c>
      <c r="I191" s="13">
        <v>45905.658067129603</v>
      </c>
      <c r="J191" s="12" t="s">
        <v>127</v>
      </c>
      <c r="K191" s="12" t="s">
        <v>132</v>
      </c>
      <c r="L191" s="14">
        <v>0.66600000000000004</v>
      </c>
      <c r="M191" s="14">
        <f t="shared" si="2"/>
        <v>0.66600000000000004</v>
      </c>
      <c r="N191" s="7" t="s">
        <v>323</v>
      </c>
      <c r="O191" s="12"/>
      <c r="P191" s="12" t="s">
        <v>130</v>
      </c>
    </row>
    <row r="192" spans="1:16" ht="191.25" hidden="1" customHeight="1" x14ac:dyDescent="0.35">
      <c r="A192" s="12">
        <v>3562</v>
      </c>
      <c r="B192" s="12" t="s">
        <v>93</v>
      </c>
      <c r="C192" s="12" t="s">
        <v>94</v>
      </c>
      <c r="D192" s="12" t="s">
        <v>95</v>
      </c>
      <c r="E192" s="12" t="s">
        <v>131</v>
      </c>
      <c r="F192" s="12" t="s">
        <v>39</v>
      </c>
      <c r="G192" s="12" t="s">
        <v>49</v>
      </c>
      <c r="H192" s="12">
        <v>51</v>
      </c>
      <c r="I192" s="13">
        <v>45905.658067129603</v>
      </c>
      <c r="J192" s="12" t="s">
        <v>127</v>
      </c>
      <c r="K192" s="12" t="s">
        <v>135</v>
      </c>
      <c r="L192" s="14"/>
      <c r="M192" s="14">
        <f t="shared" si="2"/>
        <v>0</v>
      </c>
      <c r="N192" s="7" t="s">
        <v>324</v>
      </c>
      <c r="O192" s="12"/>
      <c r="P192" s="12" t="s">
        <v>130</v>
      </c>
    </row>
    <row r="193" spans="1:16" ht="34.5" hidden="1" customHeight="1" x14ac:dyDescent="0.35">
      <c r="A193" s="12">
        <v>3563</v>
      </c>
      <c r="B193" s="12" t="s">
        <v>93</v>
      </c>
      <c r="C193" s="12" t="s">
        <v>94</v>
      </c>
      <c r="D193" s="12" t="s">
        <v>95</v>
      </c>
      <c r="E193" s="12" t="s">
        <v>134</v>
      </c>
      <c r="F193" s="12" t="s">
        <v>39</v>
      </c>
      <c r="G193" s="12" t="s">
        <v>49</v>
      </c>
      <c r="H193" s="12">
        <v>51</v>
      </c>
      <c r="I193" s="13">
        <v>45905.658067129603</v>
      </c>
      <c r="J193" s="12" t="s">
        <v>127</v>
      </c>
      <c r="K193" s="12" t="s">
        <v>135</v>
      </c>
      <c r="L193" s="14"/>
      <c r="M193" s="14">
        <f t="shared" si="2"/>
        <v>0</v>
      </c>
      <c r="N193" s="7" t="s">
        <v>325</v>
      </c>
      <c r="O193" s="12"/>
      <c r="P193" s="12"/>
    </row>
    <row r="194" spans="1:16" ht="90.75" hidden="1" customHeight="1" x14ac:dyDescent="0.35">
      <c r="A194" s="12">
        <v>3581</v>
      </c>
      <c r="B194" s="12" t="s">
        <v>93</v>
      </c>
      <c r="C194" s="12" t="s">
        <v>94</v>
      </c>
      <c r="D194" s="12" t="s">
        <v>95</v>
      </c>
      <c r="E194" s="12" t="s">
        <v>137</v>
      </c>
      <c r="F194" s="12" t="s">
        <v>39</v>
      </c>
      <c r="G194" s="12" t="s">
        <v>49</v>
      </c>
      <c r="H194" s="12">
        <v>51</v>
      </c>
      <c r="I194" s="13">
        <v>45905.658067129603</v>
      </c>
      <c r="J194" s="12" t="s">
        <v>127</v>
      </c>
      <c r="K194" s="12" t="s">
        <v>142</v>
      </c>
      <c r="L194" s="14">
        <v>0.33300000000000002</v>
      </c>
      <c r="M194" s="14">
        <f t="shared" ref="M194:M257" si="3">IF(K194="Sem progresso",0,IF(OR(K194="Não avaliado",K194="Não se aplica",K194=""),"",L194))</f>
        <v>0.33300000000000002</v>
      </c>
      <c r="N194" s="7" t="s">
        <v>326</v>
      </c>
      <c r="O194" s="12"/>
      <c r="P194" s="12" t="s">
        <v>130</v>
      </c>
    </row>
    <row r="195" spans="1:16" ht="15" hidden="1" customHeight="1" x14ac:dyDescent="0.35">
      <c r="A195" s="12">
        <v>3564</v>
      </c>
      <c r="B195" s="12" t="s">
        <v>93</v>
      </c>
      <c r="C195" s="12" t="s">
        <v>96</v>
      </c>
      <c r="D195" s="12" t="s">
        <v>97</v>
      </c>
      <c r="E195" s="12" t="s">
        <v>126</v>
      </c>
      <c r="F195" s="12" t="s">
        <v>39</v>
      </c>
      <c r="G195" s="12" t="s">
        <v>49</v>
      </c>
      <c r="H195" s="12">
        <v>51</v>
      </c>
      <c r="I195" s="13">
        <v>45905.658067129603</v>
      </c>
      <c r="J195" s="12" t="s">
        <v>127</v>
      </c>
      <c r="K195" s="12" t="s">
        <v>135</v>
      </c>
      <c r="L195" s="14"/>
      <c r="M195" s="14">
        <f t="shared" si="3"/>
        <v>0</v>
      </c>
      <c r="N195" s="7" t="s">
        <v>327</v>
      </c>
      <c r="O195" s="12"/>
      <c r="P195" s="12" t="s">
        <v>130</v>
      </c>
    </row>
    <row r="196" spans="1:16" ht="135.75" hidden="1" customHeight="1" x14ac:dyDescent="0.35">
      <c r="A196" s="12">
        <v>3565</v>
      </c>
      <c r="B196" s="12" t="s">
        <v>93</v>
      </c>
      <c r="C196" s="12" t="s">
        <v>96</v>
      </c>
      <c r="D196" s="12" t="s">
        <v>97</v>
      </c>
      <c r="E196" s="12" t="s">
        <v>131</v>
      </c>
      <c r="F196" s="12" t="s">
        <v>39</v>
      </c>
      <c r="G196" s="12" t="s">
        <v>49</v>
      </c>
      <c r="H196" s="12">
        <v>51</v>
      </c>
      <c r="I196" s="13">
        <v>45905.658067129603</v>
      </c>
      <c r="J196" s="12" t="s">
        <v>127</v>
      </c>
      <c r="K196" s="12" t="s">
        <v>132</v>
      </c>
      <c r="L196" s="14">
        <v>0.66600000000000004</v>
      </c>
      <c r="M196" s="14">
        <f t="shared" si="3"/>
        <v>0.66600000000000004</v>
      </c>
      <c r="N196" s="7" t="s">
        <v>328</v>
      </c>
      <c r="O196" s="12"/>
      <c r="P196" s="12" t="s">
        <v>130</v>
      </c>
    </row>
    <row r="197" spans="1:16" ht="124.5" hidden="1" customHeight="1" x14ac:dyDescent="0.35">
      <c r="A197" s="12">
        <v>3582</v>
      </c>
      <c r="B197" s="12" t="s">
        <v>93</v>
      </c>
      <c r="C197" s="12" t="s">
        <v>96</v>
      </c>
      <c r="D197" s="12" t="s">
        <v>97</v>
      </c>
      <c r="E197" s="12" t="s">
        <v>134</v>
      </c>
      <c r="F197" s="12" t="s">
        <v>39</v>
      </c>
      <c r="G197" s="12" t="s">
        <v>49</v>
      </c>
      <c r="H197" s="12">
        <v>51</v>
      </c>
      <c r="I197" s="13">
        <v>45905.658067129603</v>
      </c>
      <c r="J197" s="12" t="s">
        <v>127</v>
      </c>
      <c r="K197" s="12" t="s">
        <v>132</v>
      </c>
      <c r="L197" s="14">
        <v>0.66600000000000004</v>
      </c>
      <c r="M197" s="14">
        <f t="shared" si="3"/>
        <v>0.66600000000000004</v>
      </c>
      <c r="N197" s="7" t="s">
        <v>329</v>
      </c>
      <c r="O197" s="12"/>
      <c r="P197" s="12" t="s">
        <v>130</v>
      </c>
    </row>
    <row r="198" spans="1:16" ht="135.75" hidden="1" customHeight="1" x14ac:dyDescent="0.35">
      <c r="A198" s="12">
        <v>3566</v>
      </c>
      <c r="B198" s="12" t="s">
        <v>93</v>
      </c>
      <c r="C198" s="12" t="s">
        <v>98</v>
      </c>
      <c r="D198" s="12" t="s">
        <v>99</v>
      </c>
      <c r="E198" s="12" t="s">
        <v>126</v>
      </c>
      <c r="F198" s="12" t="s">
        <v>39</v>
      </c>
      <c r="G198" s="12" t="s">
        <v>49</v>
      </c>
      <c r="H198" s="12">
        <v>51</v>
      </c>
      <c r="I198" s="13">
        <v>45905.658067129603</v>
      </c>
      <c r="J198" s="12" t="s">
        <v>127</v>
      </c>
      <c r="K198" s="12" t="s">
        <v>132</v>
      </c>
      <c r="L198" s="14">
        <v>0.66600000000000004</v>
      </c>
      <c r="M198" s="14">
        <f t="shared" si="3"/>
        <v>0.66600000000000004</v>
      </c>
      <c r="N198" s="7" t="s">
        <v>330</v>
      </c>
      <c r="O198" s="12"/>
      <c r="P198" s="12"/>
    </row>
    <row r="199" spans="1:16" ht="147" hidden="1" customHeight="1" x14ac:dyDescent="0.35">
      <c r="A199" s="12">
        <v>3585</v>
      </c>
      <c r="B199" s="12" t="s">
        <v>93</v>
      </c>
      <c r="C199" s="12" t="s">
        <v>98</v>
      </c>
      <c r="D199" s="12" t="s">
        <v>99</v>
      </c>
      <c r="E199" s="12" t="s">
        <v>131</v>
      </c>
      <c r="F199" s="12" t="s">
        <v>39</v>
      </c>
      <c r="G199" s="12" t="s">
        <v>49</v>
      </c>
      <c r="H199" s="12">
        <v>51</v>
      </c>
      <c r="I199" s="13">
        <v>45905.658067129603</v>
      </c>
      <c r="J199" s="12" t="s">
        <v>127</v>
      </c>
      <c r="K199" s="12" t="s">
        <v>128</v>
      </c>
      <c r="L199" s="14">
        <v>1</v>
      </c>
      <c r="M199" s="14">
        <f t="shared" si="3"/>
        <v>1</v>
      </c>
      <c r="N199" s="7" t="s">
        <v>331</v>
      </c>
      <c r="O199" s="12"/>
      <c r="P199" s="12" t="s">
        <v>130</v>
      </c>
    </row>
    <row r="200" spans="1:16" ht="23.25" hidden="1" customHeight="1" x14ac:dyDescent="0.35">
      <c r="A200" s="12">
        <v>1883</v>
      </c>
      <c r="B200" s="12" t="s">
        <v>93</v>
      </c>
      <c r="C200" s="12" t="s">
        <v>94</v>
      </c>
      <c r="D200" s="12" t="s">
        <v>95</v>
      </c>
      <c r="E200" s="12" t="s">
        <v>126</v>
      </c>
      <c r="F200" s="12" t="s">
        <v>39</v>
      </c>
      <c r="G200" s="12" t="s">
        <v>50</v>
      </c>
      <c r="H200" s="12">
        <v>50</v>
      </c>
      <c r="I200" s="13">
        <v>45908.571053240703</v>
      </c>
      <c r="J200" s="12" t="s">
        <v>127</v>
      </c>
      <c r="K200" s="12" t="s">
        <v>128</v>
      </c>
      <c r="L200" s="14">
        <v>1</v>
      </c>
      <c r="M200" s="14">
        <f t="shared" si="3"/>
        <v>1</v>
      </c>
      <c r="N200" s="7" t="s">
        <v>332</v>
      </c>
      <c r="O200" s="12"/>
      <c r="P200" s="12" t="s">
        <v>130</v>
      </c>
    </row>
    <row r="201" spans="1:16" ht="45.75" hidden="1" customHeight="1" x14ac:dyDescent="0.35">
      <c r="A201" s="12">
        <v>1907</v>
      </c>
      <c r="B201" s="12" t="s">
        <v>93</v>
      </c>
      <c r="C201" s="12" t="s">
        <v>94</v>
      </c>
      <c r="D201" s="12" t="s">
        <v>95</v>
      </c>
      <c r="E201" s="12" t="s">
        <v>131</v>
      </c>
      <c r="F201" s="12" t="s">
        <v>39</v>
      </c>
      <c r="G201" s="12" t="s">
        <v>50</v>
      </c>
      <c r="H201" s="12">
        <v>50</v>
      </c>
      <c r="I201" s="13">
        <v>45908.571053240703</v>
      </c>
      <c r="J201" s="12" t="s">
        <v>127</v>
      </c>
      <c r="K201" s="12" t="s">
        <v>135</v>
      </c>
      <c r="L201" s="14"/>
      <c r="M201" s="14">
        <f t="shared" si="3"/>
        <v>0</v>
      </c>
      <c r="N201" s="7" t="s">
        <v>333</v>
      </c>
      <c r="O201" s="12"/>
      <c r="P201" s="12" t="s">
        <v>130</v>
      </c>
    </row>
    <row r="202" spans="1:16" ht="45.75" hidden="1" customHeight="1" x14ac:dyDescent="0.35">
      <c r="A202" s="12">
        <v>1891</v>
      </c>
      <c r="B202" s="12" t="s">
        <v>93</v>
      </c>
      <c r="C202" s="12" t="s">
        <v>94</v>
      </c>
      <c r="D202" s="12" t="s">
        <v>95</v>
      </c>
      <c r="E202" s="12" t="s">
        <v>134</v>
      </c>
      <c r="F202" s="12" t="s">
        <v>39</v>
      </c>
      <c r="G202" s="12" t="s">
        <v>50</v>
      </c>
      <c r="H202" s="12">
        <v>50</v>
      </c>
      <c r="I202" s="13">
        <v>45908.571053240703</v>
      </c>
      <c r="J202" s="12" t="s">
        <v>127</v>
      </c>
      <c r="K202" s="12" t="s">
        <v>142</v>
      </c>
      <c r="L202" s="14">
        <v>0.33300000000000002</v>
      </c>
      <c r="M202" s="14">
        <f t="shared" si="3"/>
        <v>0.33300000000000002</v>
      </c>
      <c r="N202" s="7" t="s">
        <v>334</v>
      </c>
      <c r="O202" s="12"/>
      <c r="P202" s="12" t="s">
        <v>130</v>
      </c>
    </row>
    <row r="203" spans="1:16" ht="45.75" hidden="1" customHeight="1" x14ac:dyDescent="0.35">
      <c r="A203" s="12">
        <v>1895</v>
      </c>
      <c r="B203" s="12" t="s">
        <v>93</v>
      </c>
      <c r="C203" s="12" t="s">
        <v>94</v>
      </c>
      <c r="D203" s="12" t="s">
        <v>95</v>
      </c>
      <c r="E203" s="12" t="s">
        <v>137</v>
      </c>
      <c r="F203" s="12" t="s">
        <v>39</v>
      </c>
      <c r="G203" s="12" t="s">
        <v>50</v>
      </c>
      <c r="H203" s="12">
        <v>50</v>
      </c>
      <c r="I203" s="13">
        <v>45908.571053240703</v>
      </c>
      <c r="J203" s="12" t="s">
        <v>127</v>
      </c>
      <c r="K203" s="12" t="s">
        <v>142</v>
      </c>
      <c r="L203" s="14">
        <v>0.33300000000000002</v>
      </c>
      <c r="M203" s="14">
        <f t="shared" si="3"/>
        <v>0.33300000000000002</v>
      </c>
      <c r="N203" s="7" t="s">
        <v>335</v>
      </c>
      <c r="O203" s="12"/>
      <c r="P203" s="12" t="s">
        <v>130</v>
      </c>
    </row>
    <row r="204" spans="1:16" ht="79.5" hidden="1" customHeight="1" x14ac:dyDescent="0.35">
      <c r="A204" s="12">
        <v>5585</v>
      </c>
      <c r="B204" s="12" t="s">
        <v>93</v>
      </c>
      <c r="C204" s="12" t="s">
        <v>96</v>
      </c>
      <c r="D204" s="12" t="s">
        <v>97</v>
      </c>
      <c r="E204" s="12" t="s">
        <v>126</v>
      </c>
      <c r="F204" s="12" t="s">
        <v>39</v>
      </c>
      <c r="G204" s="12" t="s">
        <v>50</v>
      </c>
      <c r="H204" s="12">
        <v>50</v>
      </c>
      <c r="I204" s="13">
        <v>45908.571053240703</v>
      </c>
      <c r="J204" s="12" t="s">
        <v>127</v>
      </c>
      <c r="K204" s="12" t="s">
        <v>128</v>
      </c>
      <c r="L204" s="14">
        <v>1</v>
      </c>
      <c r="M204" s="14">
        <f t="shared" si="3"/>
        <v>1</v>
      </c>
      <c r="N204" s="7" t="s">
        <v>336</v>
      </c>
      <c r="O204" s="12"/>
      <c r="P204" s="12" t="s">
        <v>130</v>
      </c>
    </row>
    <row r="205" spans="1:16" ht="45.75" hidden="1" customHeight="1" x14ac:dyDescent="0.35">
      <c r="A205" s="12">
        <v>6432</v>
      </c>
      <c r="B205" s="12" t="s">
        <v>93</v>
      </c>
      <c r="C205" s="12" t="s">
        <v>96</v>
      </c>
      <c r="D205" s="12" t="s">
        <v>97</v>
      </c>
      <c r="E205" s="12" t="s">
        <v>131</v>
      </c>
      <c r="F205" s="12" t="s">
        <v>39</v>
      </c>
      <c r="G205" s="12" t="s">
        <v>50</v>
      </c>
      <c r="H205" s="12">
        <v>50</v>
      </c>
      <c r="I205" s="13">
        <v>45908.571053240703</v>
      </c>
      <c r="J205" s="12" t="s">
        <v>127</v>
      </c>
      <c r="K205" s="12" t="s">
        <v>128</v>
      </c>
      <c r="L205" s="14">
        <v>1</v>
      </c>
      <c r="M205" s="14">
        <f t="shared" si="3"/>
        <v>1</v>
      </c>
      <c r="N205" s="7" t="s">
        <v>337</v>
      </c>
      <c r="O205" s="12"/>
      <c r="P205" s="12" t="s">
        <v>130</v>
      </c>
    </row>
    <row r="206" spans="1:16" ht="45.75" hidden="1" customHeight="1" x14ac:dyDescent="0.35">
      <c r="A206" s="12">
        <v>6416</v>
      </c>
      <c r="B206" s="12" t="s">
        <v>93</v>
      </c>
      <c r="C206" s="12" t="s">
        <v>96</v>
      </c>
      <c r="D206" s="12" t="s">
        <v>97</v>
      </c>
      <c r="E206" s="12" t="s">
        <v>134</v>
      </c>
      <c r="F206" s="12" t="s">
        <v>39</v>
      </c>
      <c r="G206" s="12" t="s">
        <v>50</v>
      </c>
      <c r="H206" s="12">
        <v>50</v>
      </c>
      <c r="I206" s="13">
        <v>45908.571053240703</v>
      </c>
      <c r="J206" s="12" t="s">
        <v>127</v>
      </c>
      <c r="K206" s="12" t="s">
        <v>135</v>
      </c>
      <c r="L206" s="14"/>
      <c r="M206" s="14">
        <f t="shared" si="3"/>
        <v>0</v>
      </c>
      <c r="N206" s="7" t="s">
        <v>338</v>
      </c>
      <c r="O206" s="12"/>
      <c r="P206" s="12" t="s">
        <v>130</v>
      </c>
    </row>
    <row r="207" spans="1:16" ht="45.75" hidden="1" customHeight="1" x14ac:dyDescent="0.35">
      <c r="A207" s="12">
        <v>5683</v>
      </c>
      <c r="B207" s="12" t="s">
        <v>93</v>
      </c>
      <c r="C207" s="12" t="s">
        <v>98</v>
      </c>
      <c r="D207" s="12" t="s">
        <v>99</v>
      </c>
      <c r="E207" s="12" t="s">
        <v>126</v>
      </c>
      <c r="F207" s="12" t="s">
        <v>39</v>
      </c>
      <c r="G207" s="12" t="s">
        <v>50</v>
      </c>
      <c r="H207" s="12">
        <v>50</v>
      </c>
      <c r="I207" s="13">
        <v>45908.571053240703</v>
      </c>
      <c r="J207" s="12" t="s">
        <v>127</v>
      </c>
      <c r="K207" s="12" t="s">
        <v>132</v>
      </c>
      <c r="L207" s="14">
        <v>0.66600000000000004</v>
      </c>
      <c r="M207" s="14">
        <f t="shared" si="3"/>
        <v>0.66600000000000004</v>
      </c>
      <c r="N207" s="7" t="s">
        <v>339</v>
      </c>
      <c r="O207" s="12"/>
      <c r="P207" s="12" t="s">
        <v>130</v>
      </c>
    </row>
    <row r="208" spans="1:16" ht="45.75" hidden="1" customHeight="1" x14ac:dyDescent="0.35">
      <c r="A208" s="12">
        <v>6444</v>
      </c>
      <c r="B208" s="12" t="s">
        <v>93</v>
      </c>
      <c r="C208" s="12" t="s">
        <v>98</v>
      </c>
      <c r="D208" s="12" t="s">
        <v>99</v>
      </c>
      <c r="E208" s="12" t="s">
        <v>131</v>
      </c>
      <c r="F208" s="12" t="s">
        <v>39</v>
      </c>
      <c r="G208" s="12" t="s">
        <v>50</v>
      </c>
      <c r="H208" s="12">
        <v>50</v>
      </c>
      <c r="I208" s="13">
        <v>45908.571053240703</v>
      </c>
      <c r="J208" s="12" t="s">
        <v>127</v>
      </c>
      <c r="K208" s="12" t="s">
        <v>135</v>
      </c>
      <c r="L208" s="14"/>
      <c r="M208" s="14">
        <f t="shared" si="3"/>
        <v>0</v>
      </c>
      <c r="N208" s="7" t="s">
        <v>340</v>
      </c>
      <c r="O208" s="12"/>
      <c r="P208" s="12" t="s">
        <v>130</v>
      </c>
    </row>
    <row r="209" spans="1:16" ht="180" hidden="1" customHeight="1" x14ac:dyDescent="0.35">
      <c r="A209" s="12">
        <v>4042</v>
      </c>
      <c r="B209" s="12" t="s">
        <v>93</v>
      </c>
      <c r="C209" s="12" t="s">
        <v>94</v>
      </c>
      <c r="D209" s="12" t="s">
        <v>95</v>
      </c>
      <c r="E209" s="12" t="s">
        <v>126</v>
      </c>
      <c r="F209" s="12" t="s">
        <v>39</v>
      </c>
      <c r="G209" s="12" t="s">
        <v>51</v>
      </c>
      <c r="H209" s="12">
        <v>31</v>
      </c>
      <c r="I209" s="13">
        <v>45897.470879629604</v>
      </c>
      <c r="J209" s="12" t="s">
        <v>127</v>
      </c>
      <c r="K209" s="12" t="s">
        <v>132</v>
      </c>
      <c r="L209" s="14">
        <v>0.66600000000000004</v>
      </c>
      <c r="M209" s="14">
        <f t="shared" si="3"/>
        <v>0.66600000000000004</v>
      </c>
      <c r="N209" s="7" t="s">
        <v>341</v>
      </c>
      <c r="O209" s="12"/>
      <c r="P209" s="12" t="s">
        <v>130</v>
      </c>
    </row>
    <row r="210" spans="1:16" ht="202.5" hidden="1" customHeight="1" x14ac:dyDescent="0.35">
      <c r="A210" s="12">
        <v>4043</v>
      </c>
      <c r="B210" s="12" t="s">
        <v>93</v>
      </c>
      <c r="C210" s="12" t="s">
        <v>94</v>
      </c>
      <c r="D210" s="12" t="s">
        <v>95</v>
      </c>
      <c r="E210" s="12" t="s">
        <v>131</v>
      </c>
      <c r="F210" s="12" t="s">
        <v>39</v>
      </c>
      <c r="G210" s="12" t="s">
        <v>51</v>
      </c>
      <c r="H210" s="12">
        <v>31</v>
      </c>
      <c r="I210" s="13">
        <v>45897.470879629604</v>
      </c>
      <c r="J210" s="12" t="s">
        <v>127</v>
      </c>
      <c r="K210" s="12" t="s">
        <v>142</v>
      </c>
      <c r="L210" s="14">
        <v>0.33300000000000002</v>
      </c>
      <c r="M210" s="14">
        <f t="shared" si="3"/>
        <v>0.33300000000000002</v>
      </c>
      <c r="N210" s="7" t="s">
        <v>342</v>
      </c>
      <c r="O210" s="12"/>
      <c r="P210" s="12"/>
    </row>
    <row r="211" spans="1:16" ht="202.5" hidden="1" customHeight="1" x14ac:dyDescent="0.35">
      <c r="A211" s="12">
        <v>4044</v>
      </c>
      <c r="B211" s="12" t="s">
        <v>93</v>
      </c>
      <c r="C211" s="12" t="s">
        <v>94</v>
      </c>
      <c r="D211" s="12" t="s">
        <v>95</v>
      </c>
      <c r="E211" s="12" t="s">
        <v>134</v>
      </c>
      <c r="F211" s="12" t="s">
        <v>39</v>
      </c>
      <c r="G211" s="12" t="s">
        <v>51</v>
      </c>
      <c r="H211" s="12">
        <v>31</v>
      </c>
      <c r="I211" s="13">
        <v>45897.470879629604</v>
      </c>
      <c r="J211" s="12" t="s">
        <v>127</v>
      </c>
      <c r="K211" s="12" t="s">
        <v>128</v>
      </c>
      <c r="L211" s="14">
        <v>1</v>
      </c>
      <c r="M211" s="14">
        <f t="shared" si="3"/>
        <v>1</v>
      </c>
      <c r="N211" s="7" t="s">
        <v>343</v>
      </c>
      <c r="O211" s="12"/>
      <c r="P211" s="12" t="s">
        <v>130</v>
      </c>
    </row>
    <row r="212" spans="1:16" ht="180" hidden="1" customHeight="1" x14ac:dyDescent="0.35">
      <c r="A212" s="12">
        <v>4023</v>
      </c>
      <c r="B212" s="12" t="s">
        <v>93</v>
      </c>
      <c r="C212" s="12" t="s">
        <v>94</v>
      </c>
      <c r="D212" s="12" t="s">
        <v>95</v>
      </c>
      <c r="E212" s="12" t="s">
        <v>137</v>
      </c>
      <c r="F212" s="12" t="s">
        <v>39</v>
      </c>
      <c r="G212" s="12" t="s">
        <v>51</v>
      </c>
      <c r="H212" s="12">
        <v>31</v>
      </c>
      <c r="I212" s="13">
        <v>45897.470879629604</v>
      </c>
      <c r="J212" s="12" t="s">
        <v>127</v>
      </c>
      <c r="K212" s="12" t="s">
        <v>132</v>
      </c>
      <c r="L212" s="14">
        <v>0.66600000000000004</v>
      </c>
      <c r="M212" s="14">
        <f t="shared" si="3"/>
        <v>0.66600000000000004</v>
      </c>
      <c r="N212" s="7" t="s">
        <v>344</v>
      </c>
      <c r="O212" s="12"/>
      <c r="P212" s="12" t="s">
        <v>130</v>
      </c>
    </row>
    <row r="213" spans="1:16" ht="124.5" hidden="1" customHeight="1" x14ac:dyDescent="0.35">
      <c r="A213" s="12">
        <v>4022</v>
      </c>
      <c r="B213" s="12" t="s">
        <v>93</v>
      </c>
      <c r="C213" s="12" t="s">
        <v>96</v>
      </c>
      <c r="D213" s="12" t="s">
        <v>97</v>
      </c>
      <c r="E213" s="12" t="s">
        <v>126</v>
      </c>
      <c r="F213" s="12" t="s">
        <v>39</v>
      </c>
      <c r="G213" s="12" t="s">
        <v>51</v>
      </c>
      <c r="H213" s="12">
        <v>31</v>
      </c>
      <c r="I213" s="13">
        <v>45897.470879629604</v>
      </c>
      <c r="J213" s="12" t="s">
        <v>127</v>
      </c>
      <c r="K213" s="12" t="s">
        <v>128</v>
      </c>
      <c r="L213" s="14">
        <v>1</v>
      </c>
      <c r="M213" s="14">
        <f t="shared" si="3"/>
        <v>1</v>
      </c>
      <c r="N213" s="7" t="s">
        <v>345</v>
      </c>
      <c r="O213" s="12"/>
      <c r="P213" s="12" t="s">
        <v>130</v>
      </c>
    </row>
    <row r="214" spans="1:16" ht="168.75" hidden="1" customHeight="1" x14ac:dyDescent="0.35">
      <c r="A214" s="12">
        <v>4024</v>
      </c>
      <c r="B214" s="12" t="s">
        <v>93</v>
      </c>
      <c r="C214" s="12" t="s">
        <v>96</v>
      </c>
      <c r="D214" s="12" t="s">
        <v>97</v>
      </c>
      <c r="E214" s="12" t="s">
        <v>131</v>
      </c>
      <c r="F214" s="12" t="s">
        <v>39</v>
      </c>
      <c r="G214" s="12" t="s">
        <v>51</v>
      </c>
      <c r="H214" s="12">
        <v>31</v>
      </c>
      <c r="I214" s="13">
        <v>45897.470879629604</v>
      </c>
      <c r="J214" s="12" t="s">
        <v>127</v>
      </c>
      <c r="K214" s="12" t="s">
        <v>128</v>
      </c>
      <c r="L214" s="14">
        <v>1</v>
      </c>
      <c r="M214" s="14">
        <f t="shared" si="3"/>
        <v>1</v>
      </c>
      <c r="N214" s="7" t="s">
        <v>346</v>
      </c>
      <c r="O214" s="12"/>
      <c r="P214" s="12" t="s">
        <v>130</v>
      </c>
    </row>
    <row r="215" spans="1:16" ht="124.5" hidden="1" customHeight="1" x14ac:dyDescent="0.35">
      <c r="A215" s="12">
        <v>4025</v>
      </c>
      <c r="B215" s="12" t="s">
        <v>93</v>
      </c>
      <c r="C215" s="12" t="s">
        <v>96</v>
      </c>
      <c r="D215" s="12" t="s">
        <v>97</v>
      </c>
      <c r="E215" s="12" t="s">
        <v>134</v>
      </c>
      <c r="F215" s="12" t="s">
        <v>39</v>
      </c>
      <c r="G215" s="12" t="s">
        <v>51</v>
      </c>
      <c r="H215" s="12">
        <v>31</v>
      </c>
      <c r="I215" s="13">
        <v>45897.470879629604</v>
      </c>
      <c r="J215" s="12" t="s">
        <v>127</v>
      </c>
      <c r="K215" s="12" t="s">
        <v>132</v>
      </c>
      <c r="L215" s="14">
        <v>0.66600000000000004</v>
      </c>
      <c r="M215" s="14">
        <f t="shared" si="3"/>
        <v>0.66600000000000004</v>
      </c>
      <c r="N215" s="7" t="s">
        <v>347</v>
      </c>
      <c r="O215" s="12"/>
      <c r="P215" s="12" t="s">
        <v>130</v>
      </c>
    </row>
    <row r="216" spans="1:16" ht="168.75" hidden="1" customHeight="1" x14ac:dyDescent="0.35">
      <c r="A216" s="12">
        <v>4142</v>
      </c>
      <c r="B216" s="12" t="s">
        <v>93</v>
      </c>
      <c r="C216" s="12" t="s">
        <v>98</v>
      </c>
      <c r="D216" s="12" t="s">
        <v>99</v>
      </c>
      <c r="E216" s="12" t="s">
        <v>126</v>
      </c>
      <c r="F216" s="12" t="s">
        <v>39</v>
      </c>
      <c r="G216" s="12" t="s">
        <v>51</v>
      </c>
      <c r="H216" s="12">
        <v>31</v>
      </c>
      <c r="I216" s="13">
        <v>45897.470879629604</v>
      </c>
      <c r="J216" s="12" t="s">
        <v>127</v>
      </c>
      <c r="K216" s="12" t="s">
        <v>128</v>
      </c>
      <c r="L216" s="14">
        <v>1</v>
      </c>
      <c r="M216" s="14">
        <f t="shared" si="3"/>
        <v>1</v>
      </c>
      <c r="N216" s="7" t="s">
        <v>348</v>
      </c>
      <c r="O216" s="12"/>
      <c r="P216" s="12" t="s">
        <v>130</v>
      </c>
    </row>
    <row r="217" spans="1:16" ht="348" hidden="1" customHeight="1" x14ac:dyDescent="0.35">
      <c r="A217" s="12">
        <v>4162</v>
      </c>
      <c r="B217" s="12" t="s">
        <v>93</v>
      </c>
      <c r="C217" s="12" t="s">
        <v>98</v>
      </c>
      <c r="D217" s="12" t="s">
        <v>99</v>
      </c>
      <c r="E217" s="12" t="s">
        <v>131</v>
      </c>
      <c r="F217" s="12" t="s">
        <v>39</v>
      </c>
      <c r="G217" s="12" t="s">
        <v>51</v>
      </c>
      <c r="H217" s="12">
        <v>31</v>
      </c>
      <c r="I217" s="13">
        <v>45897.470879629604</v>
      </c>
      <c r="J217" s="12" t="s">
        <v>127</v>
      </c>
      <c r="K217" s="12" t="s">
        <v>132</v>
      </c>
      <c r="L217" s="14">
        <v>0.66600000000000004</v>
      </c>
      <c r="M217" s="14">
        <f t="shared" si="3"/>
        <v>0.66600000000000004</v>
      </c>
      <c r="N217" s="7" t="s">
        <v>349</v>
      </c>
      <c r="O217" s="12"/>
      <c r="P217" s="12" t="s">
        <v>130</v>
      </c>
    </row>
    <row r="218" spans="1:16" ht="102" hidden="1" customHeight="1" x14ac:dyDescent="0.35">
      <c r="A218" s="12">
        <v>7205</v>
      </c>
      <c r="B218" s="12" t="s">
        <v>93</v>
      </c>
      <c r="C218" s="12" t="s">
        <v>94</v>
      </c>
      <c r="D218" s="12" t="s">
        <v>95</v>
      </c>
      <c r="E218" s="12" t="s">
        <v>126</v>
      </c>
      <c r="F218" s="12" t="s">
        <v>66</v>
      </c>
      <c r="G218" s="12" t="s">
        <v>79</v>
      </c>
      <c r="H218" s="12">
        <v>2408102</v>
      </c>
      <c r="I218" s="13">
        <v>45912.917916666702</v>
      </c>
      <c r="J218" s="12" t="s">
        <v>127</v>
      </c>
      <c r="K218" s="12" t="s">
        <v>128</v>
      </c>
      <c r="L218" s="14">
        <v>1</v>
      </c>
      <c r="M218" s="14">
        <f t="shared" si="3"/>
        <v>1</v>
      </c>
      <c r="N218" s="7" t="s">
        <v>350</v>
      </c>
      <c r="O218" s="12"/>
      <c r="P218" s="12"/>
    </row>
    <row r="219" spans="1:16" ht="57" hidden="1" customHeight="1" x14ac:dyDescent="0.35">
      <c r="A219" s="12">
        <v>7224</v>
      </c>
      <c r="B219" s="12" t="s">
        <v>93</v>
      </c>
      <c r="C219" s="12" t="s">
        <v>94</v>
      </c>
      <c r="D219" s="12" t="s">
        <v>95</v>
      </c>
      <c r="E219" s="12" t="s">
        <v>131</v>
      </c>
      <c r="F219" s="12" t="s">
        <v>66</v>
      </c>
      <c r="G219" s="12" t="s">
        <v>79</v>
      </c>
      <c r="H219" s="12">
        <v>2408102</v>
      </c>
      <c r="I219" s="13">
        <v>45912.917916666702</v>
      </c>
      <c r="J219" s="12" t="s">
        <v>127</v>
      </c>
      <c r="K219" s="12" t="s">
        <v>135</v>
      </c>
      <c r="L219" s="14"/>
      <c r="M219" s="14">
        <f t="shared" si="3"/>
        <v>0</v>
      </c>
      <c r="N219" s="7" t="s">
        <v>351</v>
      </c>
      <c r="O219" s="12"/>
      <c r="P219" s="12" t="s">
        <v>130</v>
      </c>
    </row>
    <row r="220" spans="1:16" ht="34.5" hidden="1" customHeight="1" x14ac:dyDescent="0.35">
      <c r="A220" s="12">
        <v>7226</v>
      </c>
      <c r="B220" s="12" t="s">
        <v>93</v>
      </c>
      <c r="C220" s="12" t="s">
        <v>94</v>
      </c>
      <c r="D220" s="12" t="s">
        <v>95</v>
      </c>
      <c r="E220" s="12" t="s">
        <v>134</v>
      </c>
      <c r="F220" s="12" t="s">
        <v>66</v>
      </c>
      <c r="G220" s="12" t="s">
        <v>79</v>
      </c>
      <c r="H220" s="12">
        <v>2408102</v>
      </c>
      <c r="I220" s="13">
        <v>45912.917916666702</v>
      </c>
      <c r="J220" s="12" t="s">
        <v>127</v>
      </c>
      <c r="K220" s="12" t="s">
        <v>135</v>
      </c>
      <c r="L220" s="14"/>
      <c r="M220" s="14">
        <f t="shared" si="3"/>
        <v>0</v>
      </c>
      <c r="N220" s="7" t="s">
        <v>352</v>
      </c>
      <c r="O220" s="12"/>
      <c r="P220" s="12" t="s">
        <v>130</v>
      </c>
    </row>
    <row r="221" spans="1:16" ht="34.5" hidden="1" customHeight="1" x14ac:dyDescent="0.35">
      <c r="A221" s="12">
        <v>7227</v>
      </c>
      <c r="B221" s="12" t="s">
        <v>93</v>
      </c>
      <c r="C221" s="12" t="s">
        <v>94</v>
      </c>
      <c r="D221" s="12" t="s">
        <v>95</v>
      </c>
      <c r="E221" s="12" t="s">
        <v>137</v>
      </c>
      <c r="F221" s="12" t="s">
        <v>66</v>
      </c>
      <c r="G221" s="12" t="s">
        <v>79</v>
      </c>
      <c r="H221" s="12">
        <v>2408102</v>
      </c>
      <c r="I221" s="13">
        <v>45912.917916666702</v>
      </c>
      <c r="J221" s="12" t="s">
        <v>127</v>
      </c>
      <c r="K221" s="12" t="s">
        <v>135</v>
      </c>
      <c r="L221" s="14"/>
      <c r="M221" s="14">
        <f t="shared" si="3"/>
        <v>0</v>
      </c>
      <c r="N221" s="7" t="s">
        <v>353</v>
      </c>
      <c r="O221" s="12"/>
      <c r="P221" s="12" t="s">
        <v>130</v>
      </c>
    </row>
    <row r="222" spans="1:16" ht="23.25" hidden="1" customHeight="1" x14ac:dyDescent="0.35">
      <c r="A222" s="12">
        <v>7257</v>
      </c>
      <c r="B222" s="12" t="s">
        <v>93</v>
      </c>
      <c r="C222" s="12" t="s">
        <v>96</v>
      </c>
      <c r="D222" s="12" t="s">
        <v>97</v>
      </c>
      <c r="E222" s="12" t="s">
        <v>126</v>
      </c>
      <c r="F222" s="12" t="s">
        <v>66</v>
      </c>
      <c r="G222" s="12" t="s">
        <v>79</v>
      </c>
      <c r="H222" s="12">
        <v>2408102</v>
      </c>
      <c r="I222" s="13">
        <v>45912.917916666702</v>
      </c>
      <c r="J222" s="12" t="s">
        <v>127</v>
      </c>
      <c r="K222" s="12" t="s">
        <v>135</v>
      </c>
      <c r="L222" s="14"/>
      <c r="M222" s="14">
        <f t="shared" si="3"/>
        <v>0</v>
      </c>
      <c r="N222" s="7" t="s">
        <v>354</v>
      </c>
      <c r="O222" s="12"/>
      <c r="P222" s="12" t="s">
        <v>130</v>
      </c>
    </row>
    <row r="223" spans="1:16" ht="34.5" hidden="1" customHeight="1" x14ac:dyDescent="0.35">
      <c r="A223" s="12">
        <v>7258</v>
      </c>
      <c r="B223" s="12" t="s">
        <v>93</v>
      </c>
      <c r="C223" s="12" t="s">
        <v>96</v>
      </c>
      <c r="D223" s="12" t="s">
        <v>97</v>
      </c>
      <c r="E223" s="12" t="s">
        <v>131</v>
      </c>
      <c r="F223" s="12" t="s">
        <v>66</v>
      </c>
      <c r="G223" s="12" t="s">
        <v>79</v>
      </c>
      <c r="H223" s="12">
        <v>2408102</v>
      </c>
      <c r="I223" s="13">
        <v>45912.917916666702</v>
      </c>
      <c r="J223" s="12" t="s">
        <v>127</v>
      </c>
      <c r="K223" s="12" t="s">
        <v>135</v>
      </c>
      <c r="L223" s="14"/>
      <c r="M223" s="14">
        <f t="shared" si="3"/>
        <v>0</v>
      </c>
      <c r="N223" s="7" t="s">
        <v>355</v>
      </c>
      <c r="O223" s="12"/>
      <c r="P223" s="12" t="s">
        <v>130</v>
      </c>
    </row>
    <row r="224" spans="1:16" ht="34.5" hidden="1" customHeight="1" x14ac:dyDescent="0.35">
      <c r="A224" s="12">
        <v>7248</v>
      </c>
      <c r="B224" s="12" t="s">
        <v>93</v>
      </c>
      <c r="C224" s="12" t="s">
        <v>96</v>
      </c>
      <c r="D224" s="12" t="s">
        <v>97</v>
      </c>
      <c r="E224" s="12" t="s">
        <v>134</v>
      </c>
      <c r="F224" s="12" t="s">
        <v>66</v>
      </c>
      <c r="G224" s="12" t="s">
        <v>79</v>
      </c>
      <c r="H224" s="12">
        <v>2408102</v>
      </c>
      <c r="I224" s="13">
        <v>45912.917916666702</v>
      </c>
      <c r="J224" s="12" t="s">
        <v>127</v>
      </c>
      <c r="K224" s="12" t="s">
        <v>135</v>
      </c>
      <c r="L224" s="14"/>
      <c r="M224" s="14">
        <f t="shared" si="3"/>
        <v>0</v>
      </c>
      <c r="N224" s="7" t="s">
        <v>356</v>
      </c>
      <c r="O224" s="12"/>
      <c r="P224" s="12" t="s">
        <v>130</v>
      </c>
    </row>
    <row r="225" spans="1:16" ht="45.75" hidden="1" customHeight="1" x14ac:dyDescent="0.35">
      <c r="A225" s="12">
        <v>7229</v>
      </c>
      <c r="B225" s="12" t="s">
        <v>93</v>
      </c>
      <c r="C225" s="12" t="s">
        <v>98</v>
      </c>
      <c r="D225" s="12" t="s">
        <v>99</v>
      </c>
      <c r="E225" s="12" t="s">
        <v>126</v>
      </c>
      <c r="F225" s="12" t="s">
        <v>66</v>
      </c>
      <c r="G225" s="12" t="s">
        <v>79</v>
      </c>
      <c r="H225" s="12">
        <v>2408102</v>
      </c>
      <c r="I225" s="13">
        <v>45912.917916666702</v>
      </c>
      <c r="J225" s="12" t="s">
        <v>127</v>
      </c>
      <c r="K225" s="12" t="s">
        <v>135</v>
      </c>
      <c r="L225" s="14"/>
      <c r="M225" s="14">
        <f t="shared" si="3"/>
        <v>0</v>
      </c>
      <c r="N225" s="7" t="s">
        <v>357</v>
      </c>
      <c r="O225" s="12"/>
      <c r="P225" s="12" t="s">
        <v>130</v>
      </c>
    </row>
    <row r="226" spans="1:16" ht="34.5" hidden="1" customHeight="1" x14ac:dyDescent="0.35">
      <c r="A226" s="12">
        <v>7230</v>
      </c>
      <c r="B226" s="12" t="s">
        <v>93</v>
      </c>
      <c r="C226" s="12" t="s">
        <v>98</v>
      </c>
      <c r="D226" s="12" t="s">
        <v>99</v>
      </c>
      <c r="E226" s="12" t="s">
        <v>131</v>
      </c>
      <c r="F226" s="12" t="s">
        <v>66</v>
      </c>
      <c r="G226" s="12" t="s">
        <v>79</v>
      </c>
      <c r="H226" s="12">
        <v>2408102</v>
      </c>
      <c r="I226" s="13">
        <v>45912.917916666702</v>
      </c>
      <c r="J226" s="12" t="s">
        <v>127</v>
      </c>
      <c r="K226" s="12" t="s">
        <v>135</v>
      </c>
      <c r="L226" s="14"/>
      <c r="M226" s="14">
        <f t="shared" si="3"/>
        <v>0</v>
      </c>
      <c r="N226" s="7" t="s">
        <v>358</v>
      </c>
      <c r="O226" s="12"/>
      <c r="P226" s="12" t="s">
        <v>130</v>
      </c>
    </row>
    <row r="227" spans="1:16" ht="23.25" hidden="1" customHeight="1" x14ac:dyDescent="0.35">
      <c r="A227" s="12">
        <v>7948</v>
      </c>
      <c r="B227" s="12" t="s">
        <v>93</v>
      </c>
      <c r="C227" s="12" t="s">
        <v>94</v>
      </c>
      <c r="D227" s="12" t="s">
        <v>95</v>
      </c>
      <c r="E227" s="12" t="s">
        <v>126</v>
      </c>
      <c r="F227" s="12" t="s">
        <v>66</v>
      </c>
      <c r="G227" s="12" t="s">
        <v>80</v>
      </c>
      <c r="H227" s="12">
        <v>1721000</v>
      </c>
      <c r="I227" s="13">
        <v>45912.7438078704</v>
      </c>
      <c r="J227" s="12" t="s">
        <v>127</v>
      </c>
      <c r="K227" s="12" t="s">
        <v>142</v>
      </c>
      <c r="L227" s="14">
        <v>0.33300000000000002</v>
      </c>
      <c r="M227" s="14">
        <f t="shared" si="3"/>
        <v>0.33300000000000002</v>
      </c>
      <c r="N227" s="7" t="s">
        <v>359</v>
      </c>
      <c r="O227" s="12"/>
      <c r="P227" s="12"/>
    </row>
    <row r="228" spans="1:16" ht="34.5" hidden="1" customHeight="1" x14ac:dyDescent="0.35">
      <c r="A228" s="12">
        <v>7965</v>
      </c>
      <c r="B228" s="12" t="s">
        <v>93</v>
      </c>
      <c r="C228" s="12" t="s">
        <v>94</v>
      </c>
      <c r="D228" s="12" t="s">
        <v>95</v>
      </c>
      <c r="E228" s="12" t="s">
        <v>131</v>
      </c>
      <c r="F228" s="12" t="s">
        <v>66</v>
      </c>
      <c r="G228" s="12" t="s">
        <v>80</v>
      </c>
      <c r="H228" s="12">
        <v>1721000</v>
      </c>
      <c r="I228" s="13">
        <v>45912.7438078704</v>
      </c>
      <c r="J228" s="12" t="s">
        <v>127</v>
      </c>
      <c r="K228" s="12" t="s">
        <v>135</v>
      </c>
      <c r="L228" s="14"/>
      <c r="M228" s="14">
        <f t="shared" si="3"/>
        <v>0</v>
      </c>
      <c r="N228" s="7" t="s">
        <v>360</v>
      </c>
      <c r="O228" s="12"/>
      <c r="P228" s="12" t="s">
        <v>130</v>
      </c>
    </row>
    <row r="229" spans="1:16" ht="45.75" hidden="1" customHeight="1" x14ac:dyDescent="0.35">
      <c r="A229" s="12">
        <v>7981</v>
      </c>
      <c r="B229" s="12" t="s">
        <v>93</v>
      </c>
      <c r="C229" s="12" t="s">
        <v>94</v>
      </c>
      <c r="D229" s="12" t="s">
        <v>95</v>
      </c>
      <c r="E229" s="12" t="s">
        <v>134</v>
      </c>
      <c r="F229" s="12" t="s">
        <v>66</v>
      </c>
      <c r="G229" s="12" t="s">
        <v>80</v>
      </c>
      <c r="H229" s="12">
        <v>1721000</v>
      </c>
      <c r="I229" s="13">
        <v>45912.7438078704</v>
      </c>
      <c r="J229" s="12" t="s">
        <v>127</v>
      </c>
      <c r="K229" s="12" t="s">
        <v>142</v>
      </c>
      <c r="L229" s="14">
        <v>0.33300000000000002</v>
      </c>
      <c r="M229" s="14">
        <f t="shared" si="3"/>
        <v>0.33300000000000002</v>
      </c>
      <c r="N229" s="7" t="s">
        <v>361</v>
      </c>
      <c r="O229" s="12"/>
      <c r="P229" s="12" t="s">
        <v>130</v>
      </c>
    </row>
    <row r="230" spans="1:16" ht="45.75" hidden="1" customHeight="1" x14ac:dyDescent="0.35">
      <c r="A230" s="12">
        <v>7983</v>
      </c>
      <c r="B230" s="12" t="s">
        <v>93</v>
      </c>
      <c r="C230" s="12" t="s">
        <v>94</v>
      </c>
      <c r="D230" s="12" t="s">
        <v>95</v>
      </c>
      <c r="E230" s="12" t="s">
        <v>137</v>
      </c>
      <c r="F230" s="12" t="s">
        <v>66</v>
      </c>
      <c r="G230" s="12" t="s">
        <v>80</v>
      </c>
      <c r="H230" s="12">
        <v>1721000</v>
      </c>
      <c r="I230" s="13">
        <v>45912.7438078704</v>
      </c>
      <c r="J230" s="12" t="s">
        <v>127</v>
      </c>
      <c r="K230" s="12" t="s">
        <v>135</v>
      </c>
      <c r="L230" s="14"/>
      <c r="M230" s="14">
        <f t="shared" si="3"/>
        <v>0</v>
      </c>
      <c r="N230" s="7" t="s">
        <v>362</v>
      </c>
      <c r="O230" s="12"/>
      <c r="P230" s="12" t="s">
        <v>130</v>
      </c>
    </row>
    <row r="231" spans="1:16" ht="90.75" hidden="1" customHeight="1" x14ac:dyDescent="0.35">
      <c r="A231" s="12">
        <v>7977</v>
      </c>
      <c r="B231" s="12" t="s">
        <v>93</v>
      </c>
      <c r="C231" s="12" t="s">
        <v>96</v>
      </c>
      <c r="D231" s="12" t="s">
        <v>97</v>
      </c>
      <c r="E231" s="12" t="s">
        <v>126</v>
      </c>
      <c r="F231" s="12" t="s">
        <v>66</v>
      </c>
      <c r="G231" s="12" t="s">
        <v>80</v>
      </c>
      <c r="H231" s="12">
        <v>1721000</v>
      </c>
      <c r="I231" s="13">
        <v>45912.7438078704</v>
      </c>
      <c r="J231" s="12" t="s">
        <v>127</v>
      </c>
      <c r="K231" s="12" t="s">
        <v>142</v>
      </c>
      <c r="L231" s="14">
        <v>0.33300000000000002</v>
      </c>
      <c r="M231" s="14">
        <f t="shared" si="3"/>
        <v>0.33300000000000002</v>
      </c>
      <c r="N231" s="7" t="s">
        <v>363</v>
      </c>
      <c r="O231" s="12"/>
      <c r="P231" s="12" t="s">
        <v>130</v>
      </c>
    </row>
    <row r="232" spans="1:16" ht="90.75" hidden="1" customHeight="1" x14ac:dyDescent="0.35">
      <c r="A232" s="12">
        <v>8021</v>
      </c>
      <c r="B232" s="12" t="s">
        <v>93</v>
      </c>
      <c r="C232" s="12" t="s">
        <v>96</v>
      </c>
      <c r="D232" s="12" t="s">
        <v>97</v>
      </c>
      <c r="E232" s="12" t="s">
        <v>131</v>
      </c>
      <c r="F232" s="12" t="s">
        <v>66</v>
      </c>
      <c r="G232" s="12" t="s">
        <v>80</v>
      </c>
      <c r="H232" s="12">
        <v>1721000</v>
      </c>
      <c r="I232" s="13">
        <v>45912.7438078704</v>
      </c>
      <c r="J232" s="12" t="s">
        <v>127</v>
      </c>
      <c r="K232" s="12" t="s">
        <v>142</v>
      </c>
      <c r="L232" s="14">
        <v>0.33300000000000002</v>
      </c>
      <c r="M232" s="14">
        <f t="shared" si="3"/>
        <v>0.33300000000000002</v>
      </c>
      <c r="N232" s="7" t="s">
        <v>364</v>
      </c>
      <c r="O232" s="12"/>
      <c r="P232" s="12" t="s">
        <v>130</v>
      </c>
    </row>
    <row r="233" spans="1:16" ht="45.75" hidden="1" customHeight="1" x14ac:dyDescent="0.35">
      <c r="A233" s="12">
        <v>8003</v>
      </c>
      <c r="B233" s="12" t="s">
        <v>93</v>
      </c>
      <c r="C233" s="12" t="s">
        <v>96</v>
      </c>
      <c r="D233" s="12" t="s">
        <v>97</v>
      </c>
      <c r="E233" s="12" t="s">
        <v>134</v>
      </c>
      <c r="F233" s="12" t="s">
        <v>66</v>
      </c>
      <c r="G233" s="12" t="s">
        <v>80</v>
      </c>
      <c r="H233" s="12">
        <v>1721000</v>
      </c>
      <c r="I233" s="13">
        <v>45912.7438078704</v>
      </c>
      <c r="J233" s="12" t="s">
        <v>127</v>
      </c>
      <c r="K233" s="12" t="s">
        <v>135</v>
      </c>
      <c r="L233" s="14"/>
      <c r="M233" s="14">
        <f t="shared" si="3"/>
        <v>0</v>
      </c>
      <c r="N233" s="7" t="s">
        <v>365</v>
      </c>
      <c r="O233" s="12"/>
      <c r="P233" s="12" t="s">
        <v>130</v>
      </c>
    </row>
    <row r="234" spans="1:16" ht="68.25" hidden="1" customHeight="1" x14ac:dyDescent="0.35">
      <c r="A234" s="12">
        <v>8004</v>
      </c>
      <c r="B234" s="12" t="s">
        <v>93</v>
      </c>
      <c r="C234" s="12" t="s">
        <v>98</v>
      </c>
      <c r="D234" s="12" t="s">
        <v>99</v>
      </c>
      <c r="E234" s="12" t="s">
        <v>126</v>
      </c>
      <c r="F234" s="12" t="s">
        <v>66</v>
      </c>
      <c r="G234" s="12" t="s">
        <v>80</v>
      </c>
      <c r="H234" s="12">
        <v>1721000</v>
      </c>
      <c r="I234" s="13">
        <v>45912.7438078704</v>
      </c>
      <c r="J234" s="12" t="s">
        <v>127</v>
      </c>
      <c r="K234" s="12" t="s">
        <v>132</v>
      </c>
      <c r="L234" s="14">
        <v>0.66600000000000004</v>
      </c>
      <c r="M234" s="14">
        <f t="shared" si="3"/>
        <v>0.66600000000000004</v>
      </c>
      <c r="N234" s="7" t="s">
        <v>366</v>
      </c>
      <c r="O234" s="12"/>
      <c r="P234" s="12" t="s">
        <v>130</v>
      </c>
    </row>
    <row r="235" spans="1:16" ht="15" hidden="1" customHeight="1" x14ac:dyDescent="0.35">
      <c r="A235" s="12">
        <v>8024</v>
      </c>
      <c r="B235" s="12" t="s">
        <v>93</v>
      </c>
      <c r="C235" s="12" t="s">
        <v>98</v>
      </c>
      <c r="D235" s="12" t="s">
        <v>99</v>
      </c>
      <c r="E235" s="12" t="s">
        <v>131</v>
      </c>
      <c r="F235" s="12" t="s">
        <v>66</v>
      </c>
      <c r="G235" s="12" t="s">
        <v>80</v>
      </c>
      <c r="H235" s="12">
        <v>1721000</v>
      </c>
      <c r="I235" s="13">
        <v>45912.7438078704</v>
      </c>
      <c r="J235" s="12" t="s">
        <v>127</v>
      </c>
      <c r="K235" s="12" t="s">
        <v>135</v>
      </c>
      <c r="L235" s="14"/>
      <c r="M235" s="14">
        <f t="shared" si="3"/>
        <v>0</v>
      </c>
      <c r="N235" s="7" t="s">
        <v>367</v>
      </c>
      <c r="O235" s="12"/>
      <c r="P235" s="12" t="s">
        <v>130</v>
      </c>
    </row>
    <row r="236" spans="1:16" ht="213.75" hidden="1" customHeight="1" x14ac:dyDescent="0.35">
      <c r="A236" s="12">
        <v>1896</v>
      </c>
      <c r="B236" s="12" t="s">
        <v>93</v>
      </c>
      <c r="C236" s="12" t="s">
        <v>94</v>
      </c>
      <c r="D236" s="12" t="s">
        <v>95</v>
      </c>
      <c r="E236" s="12" t="s">
        <v>126</v>
      </c>
      <c r="F236" s="12" t="s">
        <v>39</v>
      </c>
      <c r="G236" s="12" t="s">
        <v>52</v>
      </c>
      <c r="H236" s="12">
        <v>41</v>
      </c>
      <c r="I236" s="13">
        <v>45917.899907407402</v>
      </c>
      <c r="J236" s="12" t="s">
        <v>127</v>
      </c>
      <c r="K236" s="12" t="s">
        <v>132</v>
      </c>
      <c r="L236" s="14">
        <v>0.66600000000000004</v>
      </c>
      <c r="M236" s="14">
        <f t="shared" si="3"/>
        <v>0.66600000000000004</v>
      </c>
      <c r="N236" s="7" t="s">
        <v>368</v>
      </c>
      <c r="O236" s="12"/>
      <c r="P236" s="12" t="s">
        <v>130</v>
      </c>
    </row>
    <row r="237" spans="1:16" ht="102" hidden="1" customHeight="1" x14ac:dyDescent="0.35">
      <c r="A237" s="12">
        <v>8742</v>
      </c>
      <c r="B237" s="12" t="s">
        <v>93</v>
      </c>
      <c r="C237" s="12" t="s">
        <v>94</v>
      </c>
      <c r="D237" s="12" t="s">
        <v>95</v>
      </c>
      <c r="E237" s="12" t="s">
        <v>131</v>
      </c>
      <c r="F237" s="12" t="s">
        <v>39</v>
      </c>
      <c r="G237" s="12" t="s">
        <v>52</v>
      </c>
      <c r="H237" s="12">
        <v>41</v>
      </c>
      <c r="I237" s="13">
        <v>45917.899907407402</v>
      </c>
      <c r="J237" s="12" t="s">
        <v>127</v>
      </c>
      <c r="K237" s="12" t="s">
        <v>142</v>
      </c>
      <c r="L237" s="14">
        <v>0.33300000000000002</v>
      </c>
      <c r="M237" s="14">
        <f t="shared" si="3"/>
        <v>0.33300000000000002</v>
      </c>
      <c r="N237" s="7" t="s">
        <v>369</v>
      </c>
      <c r="O237" s="12"/>
      <c r="P237" s="12" t="s">
        <v>130</v>
      </c>
    </row>
    <row r="238" spans="1:16" ht="124.5" hidden="1" customHeight="1" x14ac:dyDescent="0.35">
      <c r="A238" s="12">
        <v>8842</v>
      </c>
      <c r="B238" s="12" t="s">
        <v>93</v>
      </c>
      <c r="C238" s="12" t="s">
        <v>94</v>
      </c>
      <c r="D238" s="12" t="s">
        <v>95</v>
      </c>
      <c r="E238" s="12" t="s">
        <v>134</v>
      </c>
      <c r="F238" s="12" t="s">
        <v>39</v>
      </c>
      <c r="G238" s="12" t="s">
        <v>52</v>
      </c>
      <c r="H238" s="12">
        <v>41</v>
      </c>
      <c r="I238" s="13">
        <v>45917.899907407402</v>
      </c>
      <c r="J238" s="12" t="s">
        <v>127</v>
      </c>
      <c r="K238" s="12" t="s">
        <v>142</v>
      </c>
      <c r="L238" s="14">
        <v>0.33300000000000002</v>
      </c>
      <c r="M238" s="14">
        <f t="shared" si="3"/>
        <v>0.33300000000000002</v>
      </c>
      <c r="N238" s="7" t="s">
        <v>370</v>
      </c>
      <c r="O238" s="12"/>
      <c r="P238" s="12" t="s">
        <v>130</v>
      </c>
    </row>
    <row r="239" spans="1:16" ht="135.75" hidden="1" customHeight="1" x14ac:dyDescent="0.35">
      <c r="A239" s="12">
        <v>8822</v>
      </c>
      <c r="B239" s="12" t="s">
        <v>93</v>
      </c>
      <c r="C239" s="12" t="s">
        <v>94</v>
      </c>
      <c r="D239" s="12" t="s">
        <v>95</v>
      </c>
      <c r="E239" s="12" t="s">
        <v>137</v>
      </c>
      <c r="F239" s="12" t="s">
        <v>39</v>
      </c>
      <c r="G239" s="12" t="s">
        <v>52</v>
      </c>
      <c r="H239" s="12">
        <v>41</v>
      </c>
      <c r="I239" s="13">
        <v>45917.899907407402</v>
      </c>
      <c r="J239" s="12" t="s">
        <v>127</v>
      </c>
      <c r="K239" s="12" t="s">
        <v>142</v>
      </c>
      <c r="L239" s="14">
        <v>0.33300000000000002</v>
      </c>
      <c r="M239" s="14">
        <f t="shared" si="3"/>
        <v>0.33300000000000002</v>
      </c>
      <c r="N239" s="7" t="s">
        <v>371</v>
      </c>
      <c r="O239" s="12"/>
      <c r="P239" s="12" t="s">
        <v>130</v>
      </c>
    </row>
    <row r="240" spans="1:16" ht="124.5" hidden="1" customHeight="1" x14ac:dyDescent="0.35">
      <c r="A240" s="12">
        <v>8861</v>
      </c>
      <c r="B240" s="12" t="s">
        <v>93</v>
      </c>
      <c r="C240" s="12" t="s">
        <v>96</v>
      </c>
      <c r="D240" s="12" t="s">
        <v>97</v>
      </c>
      <c r="E240" s="12" t="s">
        <v>126</v>
      </c>
      <c r="F240" s="12" t="s">
        <v>39</v>
      </c>
      <c r="G240" s="12" t="s">
        <v>52</v>
      </c>
      <c r="H240" s="12">
        <v>41</v>
      </c>
      <c r="I240" s="13">
        <v>45917.899907407402</v>
      </c>
      <c r="J240" s="12" t="s">
        <v>127</v>
      </c>
      <c r="K240" s="12" t="s">
        <v>132</v>
      </c>
      <c r="L240" s="14">
        <v>0.66600000000000004</v>
      </c>
      <c r="M240" s="14">
        <f t="shared" si="3"/>
        <v>0.66600000000000004</v>
      </c>
      <c r="N240" s="7" t="s">
        <v>372</v>
      </c>
      <c r="O240" s="12"/>
      <c r="P240" s="12" t="s">
        <v>130</v>
      </c>
    </row>
    <row r="241" spans="1:16" ht="90.75" hidden="1" customHeight="1" x14ac:dyDescent="0.35">
      <c r="A241" s="12">
        <v>8823</v>
      </c>
      <c r="B241" s="12" t="s">
        <v>93</v>
      </c>
      <c r="C241" s="12" t="s">
        <v>96</v>
      </c>
      <c r="D241" s="12" t="s">
        <v>97</v>
      </c>
      <c r="E241" s="12" t="s">
        <v>131</v>
      </c>
      <c r="F241" s="12" t="s">
        <v>39</v>
      </c>
      <c r="G241" s="12" t="s">
        <v>52</v>
      </c>
      <c r="H241" s="12">
        <v>41</v>
      </c>
      <c r="I241" s="13">
        <v>45917.899907407402</v>
      </c>
      <c r="J241" s="12" t="s">
        <v>127</v>
      </c>
      <c r="K241" s="12" t="s">
        <v>132</v>
      </c>
      <c r="L241" s="14">
        <v>0.66600000000000004</v>
      </c>
      <c r="M241" s="14">
        <f t="shared" si="3"/>
        <v>0.66600000000000004</v>
      </c>
      <c r="N241" s="7" t="s">
        <v>373</v>
      </c>
      <c r="O241" s="12"/>
      <c r="P241" s="12" t="s">
        <v>130</v>
      </c>
    </row>
    <row r="242" spans="1:16" ht="90.75" hidden="1" customHeight="1" x14ac:dyDescent="0.35">
      <c r="A242" s="12">
        <v>8824</v>
      </c>
      <c r="B242" s="12" t="s">
        <v>93</v>
      </c>
      <c r="C242" s="12" t="s">
        <v>96</v>
      </c>
      <c r="D242" s="12" t="s">
        <v>97</v>
      </c>
      <c r="E242" s="12" t="s">
        <v>134</v>
      </c>
      <c r="F242" s="12" t="s">
        <v>39</v>
      </c>
      <c r="G242" s="12" t="s">
        <v>52</v>
      </c>
      <c r="H242" s="12">
        <v>41</v>
      </c>
      <c r="I242" s="13">
        <v>45917.899907407402</v>
      </c>
      <c r="J242" s="12" t="s">
        <v>127</v>
      </c>
      <c r="K242" s="12" t="s">
        <v>135</v>
      </c>
      <c r="L242" s="14"/>
      <c r="M242" s="14">
        <f t="shared" si="3"/>
        <v>0</v>
      </c>
      <c r="N242" s="7" t="s">
        <v>374</v>
      </c>
      <c r="O242" s="12"/>
      <c r="P242" s="12" t="s">
        <v>130</v>
      </c>
    </row>
    <row r="243" spans="1:16" ht="68.25" hidden="1" customHeight="1" x14ac:dyDescent="0.35">
      <c r="A243" s="12">
        <v>8843</v>
      </c>
      <c r="B243" s="12" t="s">
        <v>93</v>
      </c>
      <c r="C243" s="12" t="s">
        <v>98</v>
      </c>
      <c r="D243" s="12" t="s">
        <v>99</v>
      </c>
      <c r="E243" s="12" t="s">
        <v>126</v>
      </c>
      <c r="F243" s="12" t="s">
        <v>39</v>
      </c>
      <c r="G243" s="12" t="s">
        <v>52</v>
      </c>
      <c r="H243" s="12">
        <v>41</v>
      </c>
      <c r="I243" s="13">
        <v>45917.899907407402</v>
      </c>
      <c r="J243" s="12" t="s">
        <v>127</v>
      </c>
      <c r="K243" s="12" t="s">
        <v>142</v>
      </c>
      <c r="L243" s="14">
        <v>0.33300000000000002</v>
      </c>
      <c r="M243" s="14">
        <f t="shared" si="3"/>
        <v>0.33300000000000002</v>
      </c>
      <c r="N243" s="7" t="s">
        <v>375</v>
      </c>
      <c r="O243" s="12"/>
      <c r="P243" s="12" t="s">
        <v>130</v>
      </c>
    </row>
    <row r="244" spans="1:16" ht="34.5" hidden="1" customHeight="1" x14ac:dyDescent="0.35">
      <c r="A244" s="12">
        <v>8901</v>
      </c>
      <c r="B244" s="12" t="s">
        <v>93</v>
      </c>
      <c r="C244" s="12" t="s">
        <v>98</v>
      </c>
      <c r="D244" s="12" t="s">
        <v>99</v>
      </c>
      <c r="E244" s="12" t="s">
        <v>131</v>
      </c>
      <c r="F244" s="12" t="s">
        <v>39</v>
      </c>
      <c r="G244" s="12" t="s">
        <v>52</v>
      </c>
      <c r="H244" s="12">
        <v>41</v>
      </c>
      <c r="I244" s="13">
        <v>45917.899907407402</v>
      </c>
      <c r="J244" s="12" t="s">
        <v>127</v>
      </c>
      <c r="K244" s="12" t="s">
        <v>135</v>
      </c>
      <c r="L244" s="14"/>
      <c r="M244" s="14">
        <f t="shared" si="3"/>
        <v>0</v>
      </c>
      <c r="N244" s="7" t="s">
        <v>376</v>
      </c>
      <c r="O244" s="12"/>
      <c r="P244" s="12" t="s">
        <v>130</v>
      </c>
    </row>
    <row r="245" spans="1:16" ht="57" hidden="1" customHeight="1" x14ac:dyDescent="0.35">
      <c r="A245" s="12">
        <v>3261</v>
      </c>
      <c r="B245" s="12" t="s">
        <v>93</v>
      </c>
      <c r="C245" s="12" t="s">
        <v>94</v>
      </c>
      <c r="D245" s="12" t="s">
        <v>95</v>
      </c>
      <c r="E245" s="12" t="s">
        <v>126</v>
      </c>
      <c r="F245" s="12" t="s">
        <v>39</v>
      </c>
      <c r="G245" s="12" t="s">
        <v>53</v>
      </c>
      <c r="H245" s="12">
        <v>25</v>
      </c>
      <c r="I245" s="13">
        <v>45909.450138888897</v>
      </c>
      <c r="J245" s="12" t="s">
        <v>127</v>
      </c>
      <c r="K245" s="12" t="s">
        <v>142</v>
      </c>
      <c r="L245" s="14">
        <v>0.33300000000000002</v>
      </c>
      <c r="M245" s="14">
        <f t="shared" si="3"/>
        <v>0.33300000000000002</v>
      </c>
      <c r="N245" s="7" t="s">
        <v>377</v>
      </c>
      <c r="O245" s="12"/>
      <c r="P245" s="12" t="s">
        <v>130</v>
      </c>
    </row>
    <row r="246" spans="1:16" ht="15" hidden="1" customHeight="1" x14ac:dyDescent="0.35">
      <c r="A246" s="12">
        <v>8761</v>
      </c>
      <c r="B246" s="12" t="s">
        <v>93</v>
      </c>
      <c r="C246" s="12" t="s">
        <v>94</v>
      </c>
      <c r="D246" s="12" t="s">
        <v>95</v>
      </c>
      <c r="E246" s="12" t="s">
        <v>131</v>
      </c>
      <c r="F246" s="12" t="s">
        <v>39</v>
      </c>
      <c r="G246" s="12" t="s">
        <v>53</v>
      </c>
      <c r="H246" s="12">
        <v>25</v>
      </c>
      <c r="I246" s="13">
        <v>45909.450138888897</v>
      </c>
      <c r="J246" s="12" t="s">
        <v>127</v>
      </c>
      <c r="K246" s="12" t="s">
        <v>135</v>
      </c>
      <c r="L246" s="14"/>
      <c r="M246" s="14">
        <f t="shared" si="3"/>
        <v>0</v>
      </c>
      <c r="N246" s="7" t="s">
        <v>378</v>
      </c>
      <c r="O246" s="12"/>
      <c r="P246" s="12" t="s">
        <v>130</v>
      </c>
    </row>
    <row r="247" spans="1:16" ht="15" hidden="1" customHeight="1" x14ac:dyDescent="0.35">
      <c r="A247" s="12">
        <v>8762</v>
      </c>
      <c r="B247" s="12" t="s">
        <v>93</v>
      </c>
      <c r="C247" s="12" t="s">
        <v>94</v>
      </c>
      <c r="D247" s="12" t="s">
        <v>95</v>
      </c>
      <c r="E247" s="12" t="s">
        <v>134</v>
      </c>
      <c r="F247" s="12" t="s">
        <v>39</v>
      </c>
      <c r="G247" s="12" t="s">
        <v>53</v>
      </c>
      <c r="H247" s="12">
        <v>25</v>
      </c>
      <c r="I247" s="13">
        <v>45909.450138888897</v>
      </c>
      <c r="J247" s="12" t="s">
        <v>127</v>
      </c>
      <c r="K247" s="12" t="s">
        <v>135</v>
      </c>
      <c r="L247" s="14"/>
      <c r="M247" s="14">
        <f t="shared" si="3"/>
        <v>0</v>
      </c>
      <c r="N247" s="7" t="s">
        <v>378</v>
      </c>
      <c r="O247" s="12"/>
      <c r="P247" s="12" t="s">
        <v>130</v>
      </c>
    </row>
    <row r="248" spans="1:16" ht="34.5" hidden="1" customHeight="1" x14ac:dyDescent="0.35">
      <c r="A248" s="12">
        <v>8763</v>
      </c>
      <c r="B248" s="12" t="s">
        <v>93</v>
      </c>
      <c r="C248" s="12" t="s">
        <v>94</v>
      </c>
      <c r="D248" s="12" t="s">
        <v>95</v>
      </c>
      <c r="E248" s="12" t="s">
        <v>137</v>
      </c>
      <c r="F248" s="12" t="s">
        <v>39</v>
      </c>
      <c r="G248" s="12" t="s">
        <v>53</v>
      </c>
      <c r="H248" s="12">
        <v>25</v>
      </c>
      <c r="I248" s="13">
        <v>45909.450138888897</v>
      </c>
      <c r="J248" s="12" t="s">
        <v>127</v>
      </c>
      <c r="K248" s="12" t="s">
        <v>135</v>
      </c>
      <c r="L248" s="14"/>
      <c r="M248" s="14">
        <f t="shared" si="3"/>
        <v>0</v>
      </c>
      <c r="N248" s="7" t="s">
        <v>379</v>
      </c>
      <c r="O248" s="12"/>
      <c r="P248" s="12" t="s">
        <v>130</v>
      </c>
    </row>
    <row r="249" spans="1:16" ht="23.25" hidden="1" customHeight="1" x14ac:dyDescent="0.35">
      <c r="A249" s="12">
        <v>9022</v>
      </c>
      <c r="B249" s="12" t="s">
        <v>93</v>
      </c>
      <c r="C249" s="12" t="s">
        <v>96</v>
      </c>
      <c r="D249" s="12" t="s">
        <v>97</v>
      </c>
      <c r="E249" s="12" t="s">
        <v>126</v>
      </c>
      <c r="F249" s="12" t="s">
        <v>39</v>
      </c>
      <c r="G249" s="12" t="s">
        <v>53</v>
      </c>
      <c r="H249" s="12">
        <v>25</v>
      </c>
      <c r="I249" s="13">
        <v>45909.450138888897</v>
      </c>
      <c r="J249" s="12" t="s">
        <v>127</v>
      </c>
      <c r="K249" s="12" t="s">
        <v>135</v>
      </c>
      <c r="L249" s="14"/>
      <c r="M249" s="14">
        <f t="shared" si="3"/>
        <v>0</v>
      </c>
      <c r="N249" s="7" t="s">
        <v>380</v>
      </c>
      <c r="O249" s="12"/>
      <c r="P249" s="12" t="s">
        <v>130</v>
      </c>
    </row>
    <row r="250" spans="1:16" ht="23.25" hidden="1" customHeight="1" x14ac:dyDescent="0.35">
      <c r="A250" s="12">
        <v>9023</v>
      </c>
      <c r="B250" s="12" t="s">
        <v>93</v>
      </c>
      <c r="C250" s="12" t="s">
        <v>96</v>
      </c>
      <c r="D250" s="12" t="s">
        <v>97</v>
      </c>
      <c r="E250" s="12" t="s">
        <v>131</v>
      </c>
      <c r="F250" s="12" t="s">
        <v>39</v>
      </c>
      <c r="G250" s="12" t="s">
        <v>53</v>
      </c>
      <c r="H250" s="12">
        <v>25</v>
      </c>
      <c r="I250" s="13">
        <v>45909.450138888897</v>
      </c>
      <c r="J250" s="12" t="s">
        <v>127</v>
      </c>
      <c r="K250" s="12" t="s">
        <v>135</v>
      </c>
      <c r="L250" s="14"/>
      <c r="M250" s="14">
        <f t="shared" si="3"/>
        <v>0</v>
      </c>
      <c r="N250" s="7" t="s">
        <v>380</v>
      </c>
      <c r="O250" s="12"/>
      <c r="P250" s="12" t="s">
        <v>130</v>
      </c>
    </row>
    <row r="251" spans="1:16" ht="23.25" hidden="1" customHeight="1" x14ac:dyDescent="0.35">
      <c r="A251" s="12">
        <v>9024</v>
      </c>
      <c r="B251" s="12" t="s">
        <v>93</v>
      </c>
      <c r="C251" s="12" t="s">
        <v>96</v>
      </c>
      <c r="D251" s="12" t="s">
        <v>97</v>
      </c>
      <c r="E251" s="12" t="s">
        <v>134</v>
      </c>
      <c r="F251" s="12" t="s">
        <v>39</v>
      </c>
      <c r="G251" s="12" t="s">
        <v>53</v>
      </c>
      <c r="H251" s="12">
        <v>25</v>
      </c>
      <c r="I251" s="13">
        <v>45909.450138888897</v>
      </c>
      <c r="J251" s="12" t="s">
        <v>127</v>
      </c>
      <c r="K251" s="12" t="s">
        <v>135</v>
      </c>
      <c r="L251" s="14"/>
      <c r="M251" s="14">
        <f t="shared" si="3"/>
        <v>0</v>
      </c>
      <c r="N251" s="7" t="s">
        <v>380</v>
      </c>
      <c r="O251" s="12"/>
      <c r="P251" s="12" t="s">
        <v>130</v>
      </c>
    </row>
    <row r="252" spans="1:16" ht="23.25" hidden="1" customHeight="1" x14ac:dyDescent="0.35">
      <c r="A252" s="12">
        <v>9025</v>
      </c>
      <c r="B252" s="12" t="s">
        <v>93</v>
      </c>
      <c r="C252" s="12" t="s">
        <v>98</v>
      </c>
      <c r="D252" s="12" t="s">
        <v>99</v>
      </c>
      <c r="E252" s="12" t="s">
        <v>126</v>
      </c>
      <c r="F252" s="12" t="s">
        <v>39</v>
      </c>
      <c r="G252" s="12" t="s">
        <v>53</v>
      </c>
      <c r="H252" s="12">
        <v>25</v>
      </c>
      <c r="I252" s="13">
        <v>45909.450138888897</v>
      </c>
      <c r="J252" s="12" t="s">
        <v>127</v>
      </c>
      <c r="K252" s="12" t="s">
        <v>135</v>
      </c>
      <c r="L252" s="14"/>
      <c r="M252" s="14">
        <f t="shared" si="3"/>
        <v>0</v>
      </c>
      <c r="N252" s="7" t="s">
        <v>380</v>
      </c>
      <c r="O252" s="12"/>
      <c r="P252" s="12" t="s">
        <v>130</v>
      </c>
    </row>
    <row r="253" spans="1:16" ht="23.25" hidden="1" customHeight="1" x14ac:dyDescent="0.35">
      <c r="A253" s="12">
        <v>9026</v>
      </c>
      <c r="B253" s="12" t="s">
        <v>93</v>
      </c>
      <c r="C253" s="12" t="s">
        <v>98</v>
      </c>
      <c r="D253" s="12" t="s">
        <v>99</v>
      </c>
      <c r="E253" s="12" t="s">
        <v>131</v>
      </c>
      <c r="F253" s="12" t="s">
        <v>39</v>
      </c>
      <c r="G253" s="12" t="s">
        <v>53</v>
      </c>
      <c r="H253" s="12">
        <v>25</v>
      </c>
      <c r="I253" s="13">
        <v>45909.450138888897</v>
      </c>
      <c r="J253" s="12" t="s">
        <v>127</v>
      </c>
      <c r="K253" s="12" t="s">
        <v>135</v>
      </c>
      <c r="L253" s="14"/>
      <c r="M253" s="14">
        <f t="shared" si="3"/>
        <v>0</v>
      </c>
      <c r="N253" s="7" t="s">
        <v>380</v>
      </c>
      <c r="O253" s="12"/>
      <c r="P253" s="12" t="s">
        <v>130</v>
      </c>
    </row>
    <row r="254" spans="1:16" ht="213.75" hidden="1" customHeight="1" x14ac:dyDescent="0.35">
      <c r="A254" s="12">
        <v>2302</v>
      </c>
      <c r="B254" s="12" t="s">
        <v>93</v>
      </c>
      <c r="C254" s="12" t="s">
        <v>94</v>
      </c>
      <c r="D254" s="12" t="s">
        <v>95</v>
      </c>
      <c r="E254" s="12" t="s">
        <v>126</v>
      </c>
      <c r="F254" s="12" t="s">
        <v>39</v>
      </c>
      <c r="G254" s="12" t="s">
        <v>54</v>
      </c>
      <c r="H254" s="12">
        <v>15</v>
      </c>
      <c r="I254" s="13">
        <v>45908.521342592598</v>
      </c>
      <c r="J254" s="12" t="s">
        <v>127</v>
      </c>
      <c r="K254" s="12" t="s">
        <v>128</v>
      </c>
      <c r="L254" s="14">
        <v>1</v>
      </c>
      <c r="M254" s="14">
        <f t="shared" si="3"/>
        <v>1</v>
      </c>
      <c r="N254" s="7" t="s">
        <v>381</v>
      </c>
      <c r="O254" s="12"/>
      <c r="P254" s="12" t="s">
        <v>130</v>
      </c>
    </row>
    <row r="255" spans="1:16" ht="135.75" hidden="1" customHeight="1" x14ac:dyDescent="0.35">
      <c r="A255" s="12">
        <v>2705</v>
      </c>
      <c r="B255" s="12" t="s">
        <v>93</v>
      </c>
      <c r="C255" s="12" t="s">
        <v>94</v>
      </c>
      <c r="D255" s="12" t="s">
        <v>95</v>
      </c>
      <c r="E255" s="12" t="s">
        <v>131</v>
      </c>
      <c r="F255" s="12" t="s">
        <v>39</v>
      </c>
      <c r="G255" s="12" t="s">
        <v>54</v>
      </c>
      <c r="H255" s="12">
        <v>15</v>
      </c>
      <c r="I255" s="13">
        <v>45908.521342592598</v>
      </c>
      <c r="J255" s="12" t="s">
        <v>127</v>
      </c>
      <c r="K255" s="12" t="s">
        <v>132</v>
      </c>
      <c r="L255" s="14">
        <v>0.66600000000000004</v>
      </c>
      <c r="M255" s="14">
        <f t="shared" si="3"/>
        <v>0.66600000000000004</v>
      </c>
      <c r="N255" s="7" t="s">
        <v>382</v>
      </c>
      <c r="O255" s="12"/>
      <c r="P255" s="12" t="s">
        <v>130</v>
      </c>
    </row>
    <row r="256" spans="1:16" ht="213.75" hidden="1" customHeight="1" x14ac:dyDescent="0.35">
      <c r="A256" s="12">
        <v>2722</v>
      </c>
      <c r="B256" s="12" t="s">
        <v>93</v>
      </c>
      <c r="C256" s="12" t="s">
        <v>94</v>
      </c>
      <c r="D256" s="12" t="s">
        <v>95</v>
      </c>
      <c r="E256" s="12" t="s">
        <v>134</v>
      </c>
      <c r="F256" s="12" t="s">
        <v>39</v>
      </c>
      <c r="G256" s="12" t="s">
        <v>54</v>
      </c>
      <c r="H256" s="12">
        <v>15</v>
      </c>
      <c r="I256" s="13">
        <v>45908.521342592598</v>
      </c>
      <c r="J256" s="12" t="s">
        <v>127</v>
      </c>
      <c r="K256" s="12" t="s">
        <v>128</v>
      </c>
      <c r="L256" s="14">
        <v>1</v>
      </c>
      <c r="M256" s="14">
        <f t="shared" si="3"/>
        <v>1</v>
      </c>
      <c r="N256" s="7" t="s">
        <v>383</v>
      </c>
      <c r="O256" s="12"/>
      <c r="P256" s="12" t="s">
        <v>130</v>
      </c>
    </row>
    <row r="257" spans="1:16" ht="168.75" hidden="1" customHeight="1" x14ac:dyDescent="0.35">
      <c r="A257" s="12">
        <v>2761</v>
      </c>
      <c r="B257" s="12" t="s">
        <v>93</v>
      </c>
      <c r="C257" s="12" t="s">
        <v>94</v>
      </c>
      <c r="D257" s="12" t="s">
        <v>95</v>
      </c>
      <c r="E257" s="12" t="s">
        <v>137</v>
      </c>
      <c r="F257" s="12" t="s">
        <v>39</v>
      </c>
      <c r="G257" s="12" t="s">
        <v>54</v>
      </c>
      <c r="H257" s="12">
        <v>15</v>
      </c>
      <c r="I257" s="13">
        <v>45908.521342592598</v>
      </c>
      <c r="J257" s="12" t="s">
        <v>127</v>
      </c>
      <c r="K257" s="12" t="s">
        <v>142</v>
      </c>
      <c r="L257" s="14">
        <v>0.33300000000000002</v>
      </c>
      <c r="M257" s="14">
        <f t="shared" si="3"/>
        <v>0.33300000000000002</v>
      </c>
      <c r="N257" s="7" t="s">
        <v>384</v>
      </c>
      <c r="O257" s="12"/>
      <c r="P257" s="12" t="s">
        <v>130</v>
      </c>
    </row>
    <row r="258" spans="1:16" ht="202.5" hidden="1" customHeight="1" x14ac:dyDescent="0.35">
      <c r="A258" s="12">
        <v>3022</v>
      </c>
      <c r="B258" s="12" t="s">
        <v>93</v>
      </c>
      <c r="C258" s="12" t="s">
        <v>96</v>
      </c>
      <c r="D258" s="12" t="s">
        <v>97</v>
      </c>
      <c r="E258" s="12" t="s">
        <v>126</v>
      </c>
      <c r="F258" s="12" t="s">
        <v>39</v>
      </c>
      <c r="G258" s="12" t="s">
        <v>54</v>
      </c>
      <c r="H258" s="12">
        <v>15</v>
      </c>
      <c r="I258" s="13">
        <v>45908.521342592598</v>
      </c>
      <c r="J258" s="12" t="s">
        <v>127</v>
      </c>
      <c r="K258" s="12" t="s">
        <v>132</v>
      </c>
      <c r="L258" s="14">
        <v>0.66600000000000004</v>
      </c>
      <c r="M258" s="14">
        <f t="shared" ref="M258:M321" si="4">IF(K258="Sem progresso",0,IF(OR(K258="Não avaliado",K258="Não se aplica",K258=""),"",L258))</f>
        <v>0.66600000000000004</v>
      </c>
      <c r="N258" s="7" t="s">
        <v>385</v>
      </c>
      <c r="O258" s="12"/>
      <c r="P258" s="12" t="s">
        <v>130</v>
      </c>
    </row>
    <row r="259" spans="1:16" ht="168.75" hidden="1" customHeight="1" x14ac:dyDescent="0.35">
      <c r="A259" s="12">
        <v>3281</v>
      </c>
      <c r="B259" s="12" t="s">
        <v>93</v>
      </c>
      <c r="C259" s="12" t="s">
        <v>96</v>
      </c>
      <c r="D259" s="12" t="s">
        <v>97</v>
      </c>
      <c r="E259" s="12" t="s">
        <v>131</v>
      </c>
      <c r="F259" s="12" t="s">
        <v>39</v>
      </c>
      <c r="G259" s="12" t="s">
        <v>54</v>
      </c>
      <c r="H259" s="12">
        <v>15</v>
      </c>
      <c r="I259" s="13">
        <v>45908.521342592598</v>
      </c>
      <c r="J259" s="12" t="s">
        <v>127</v>
      </c>
      <c r="K259" s="12" t="s">
        <v>128</v>
      </c>
      <c r="L259" s="14">
        <v>1</v>
      </c>
      <c r="M259" s="14">
        <f t="shared" si="4"/>
        <v>1</v>
      </c>
      <c r="N259" s="7" t="s">
        <v>386</v>
      </c>
      <c r="O259" s="12"/>
      <c r="P259" s="12" t="s">
        <v>130</v>
      </c>
    </row>
    <row r="260" spans="1:16" ht="124.5" hidden="1" customHeight="1" x14ac:dyDescent="0.35">
      <c r="A260" s="12">
        <v>3269</v>
      </c>
      <c r="B260" s="12" t="s">
        <v>93</v>
      </c>
      <c r="C260" s="12" t="s">
        <v>96</v>
      </c>
      <c r="D260" s="12" t="s">
        <v>97</v>
      </c>
      <c r="E260" s="12" t="s">
        <v>134</v>
      </c>
      <c r="F260" s="12" t="s">
        <v>39</v>
      </c>
      <c r="G260" s="12" t="s">
        <v>54</v>
      </c>
      <c r="H260" s="12">
        <v>15</v>
      </c>
      <c r="I260" s="13">
        <v>45908.521342592598</v>
      </c>
      <c r="J260" s="12" t="s">
        <v>127</v>
      </c>
      <c r="K260" s="12" t="s">
        <v>132</v>
      </c>
      <c r="L260" s="14">
        <v>0.66600000000000004</v>
      </c>
      <c r="M260" s="14">
        <f t="shared" si="4"/>
        <v>0.66600000000000004</v>
      </c>
      <c r="N260" s="7" t="s">
        <v>387</v>
      </c>
      <c r="O260" s="12"/>
      <c r="P260" s="12" t="s">
        <v>130</v>
      </c>
    </row>
    <row r="261" spans="1:16" ht="236.25" hidden="1" customHeight="1" x14ac:dyDescent="0.35">
      <c r="A261" s="12">
        <v>3362</v>
      </c>
      <c r="B261" s="12" t="s">
        <v>93</v>
      </c>
      <c r="C261" s="12" t="s">
        <v>98</v>
      </c>
      <c r="D261" s="12" t="s">
        <v>99</v>
      </c>
      <c r="E261" s="12" t="s">
        <v>126</v>
      </c>
      <c r="F261" s="12" t="s">
        <v>39</v>
      </c>
      <c r="G261" s="12" t="s">
        <v>54</v>
      </c>
      <c r="H261" s="12">
        <v>15</v>
      </c>
      <c r="I261" s="13">
        <v>45908.521342592598</v>
      </c>
      <c r="J261" s="12" t="s">
        <v>127</v>
      </c>
      <c r="K261" s="12" t="s">
        <v>128</v>
      </c>
      <c r="L261" s="14">
        <v>1</v>
      </c>
      <c r="M261" s="14">
        <f t="shared" si="4"/>
        <v>1</v>
      </c>
      <c r="N261" s="7" t="s">
        <v>388</v>
      </c>
      <c r="O261" s="12"/>
      <c r="P261" s="12" t="s">
        <v>130</v>
      </c>
    </row>
    <row r="262" spans="1:16" ht="202.5" hidden="1" customHeight="1" x14ac:dyDescent="0.35">
      <c r="A262" s="12">
        <v>3381</v>
      </c>
      <c r="B262" s="12" t="s">
        <v>93</v>
      </c>
      <c r="C262" s="12" t="s">
        <v>98</v>
      </c>
      <c r="D262" s="12" t="s">
        <v>99</v>
      </c>
      <c r="E262" s="12" t="s">
        <v>131</v>
      </c>
      <c r="F262" s="12" t="s">
        <v>39</v>
      </c>
      <c r="G262" s="12" t="s">
        <v>54</v>
      </c>
      <c r="H262" s="12">
        <v>15</v>
      </c>
      <c r="I262" s="13">
        <v>45908.521342592598</v>
      </c>
      <c r="J262" s="12" t="s">
        <v>127</v>
      </c>
      <c r="K262" s="12" t="s">
        <v>132</v>
      </c>
      <c r="L262" s="14">
        <v>0.66600000000000004</v>
      </c>
      <c r="M262" s="14">
        <f t="shared" si="4"/>
        <v>0.66600000000000004</v>
      </c>
      <c r="N262" s="7" t="s">
        <v>389</v>
      </c>
      <c r="O262" s="12"/>
      <c r="P262" s="12" t="s">
        <v>130</v>
      </c>
    </row>
    <row r="263" spans="1:16" ht="168.75" hidden="1" customHeight="1" x14ac:dyDescent="0.35">
      <c r="A263" s="12">
        <v>5062</v>
      </c>
      <c r="B263" s="12" t="s">
        <v>93</v>
      </c>
      <c r="C263" s="12" t="s">
        <v>94</v>
      </c>
      <c r="D263" s="12" t="s">
        <v>95</v>
      </c>
      <c r="E263" s="12" t="s">
        <v>126</v>
      </c>
      <c r="F263" s="12" t="s">
        <v>39</v>
      </c>
      <c r="G263" s="12" t="s">
        <v>55</v>
      </c>
      <c r="H263" s="12">
        <v>26</v>
      </c>
      <c r="I263" s="13">
        <v>45911.618599537003</v>
      </c>
      <c r="J263" s="12" t="s">
        <v>127</v>
      </c>
      <c r="K263" s="12" t="s">
        <v>128</v>
      </c>
      <c r="L263" s="14">
        <v>1</v>
      </c>
      <c r="M263" s="14">
        <f t="shared" si="4"/>
        <v>1</v>
      </c>
      <c r="N263" s="7" t="s">
        <v>390</v>
      </c>
      <c r="O263" s="12"/>
      <c r="P263" s="12" t="s">
        <v>130</v>
      </c>
    </row>
    <row r="264" spans="1:16" ht="213.75" hidden="1" customHeight="1" x14ac:dyDescent="0.35">
      <c r="A264" s="12">
        <v>5582</v>
      </c>
      <c r="B264" s="12" t="s">
        <v>93</v>
      </c>
      <c r="C264" s="12" t="s">
        <v>94</v>
      </c>
      <c r="D264" s="12" t="s">
        <v>95</v>
      </c>
      <c r="E264" s="12" t="s">
        <v>131</v>
      </c>
      <c r="F264" s="12" t="s">
        <v>39</v>
      </c>
      <c r="G264" s="12" t="s">
        <v>55</v>
      </c>
      <c r="H264" s="12">
        <v>26</v>
      </c>
      <c r="I264" s="13">
        <v>45911.618599537003</v>
      </c>
      <c r="J264" s="12" t="s">
        <v>127</v>
      </c>
      <c r="K264" s="12" t="s">
        <v>135</v>
      </c>
      <c r="L264" s="14"/>
      <c r="M264" s="14">
        <f t="shared" si="4"/>
        <v>0</v>
      </c>
      <c r="N264" s="7" t="s">
        <v>391</v>
      </c>
      <c r="O264" s="12"/>
      <c r="P264" s="12" t="s">
        <v>130</v>
      </c>
    </row>
    <row r="265" spans="1:16" ht="225" hidden="1" customHeight="1" x14ac:dyDescent="0.35">
      <c r="A265" s="12">
        <v>5563</v>
      </c>
      <c r="B265" s="12" t="s">
        <v>93</v>
      </c>
      <c r="C265" s="12" t="s">
        <v>94</v>
      </c>
      <c r="D265" s="12" t="s">
        <v>95</v>
      </c>
      <c r="E265" s="12" t="s">
        <v>134</v>
      </c>
      <c r="F265" s="12" t="s">
        <v>39</v>
      </c>
      <c r="G265" s="12" t="s">
        <v>55</v>
      </c>
      <c r="H265" s="12">
        <v>26</v>
      </c>
      <c r="I265" s="13">
        <v>45911.618599537003</v>
      </c>
      <c r="J265" s="12" t="s">
        <v>127</v>
      </c>
      <c r="K265" s="12" t="s">
        <v>132</v>
      </c>
      <c r="L265" s="14">
        <v>0.66600000000000004</v>
      </c>
      <c r="M265" s="14">
        <f t="shared" si="4"/>
        <v>0.66600000000000004</v>
      </c>
      <c r="N265" s="7" t="s">
        <v>392</v>
      </c>
      <c r="O265" s="12"/>
      <c r="P265" s="12" t="s">
        <v>130</v>
      </c>
    </row>
    <row r="266" spans="1:16" ht="180" hidden="1" customHeight="1" x14ac:dyDescent="0.35">
      <c r="A266" s="12">
        <v>5947</v>
      </c>
      <c r="B266" s="12" t="s">
        <v>93</v>
      </c>
      <c r="C266" s="12" t="s">
        <v>94</v>
      </c>
      <c r="D266" s="12" t="s">
        <v>95</v>
      </c>
      <c r="E266" s="12" t="s">
        <v>137</v>
      </c>
      <c r="F266" s="12" t="s">
        <v>39</v>
      </c>
      <c r="G266" s="12" t="s">
        <v>55</v>
      </c>
      <c r="H266" s="12">
        <v>26</v>
      </c>
      <c r="I266" s="13">
        <v>45911.618599537003</v>
      </c>
      <c r="J266" s="12" t="s">
        <v>127</v>
      </c>
      <c r="K266" s="12" t="s">
        <v>135</v>
      </c>
      <c r="L266" s="14"/>
      <c r="M266" s="14">
        <f t="shared" si="4"/>
        <v>0</v>
      </c>
      <c r="N266" s="7" t="s">
        <v>393</v>
      </c>
      <c r="O266" s="12"/>
      <c r="P266" s="12" t="s">
        <v>130</v>
      </c>
    </row>
    <row r="267" spans="1:16" ht="202.5" hidden="1" customHeight="1" x14ac:dyDescent="0.35">
      <c r="A267" s="12">
        <v>2781</v>
      </c>
      <c r="B267" s="12" t="s">
        <v>93</v>
      </c>
      <c r="C267" s="12" t="s">
        <v>96</v>
      </c>
      <c r="D267" s="12" t="s">
        <v>97</v>
      </c>
      <c r="E267" s="12" t="s">
        <v>126</v>
      </c>
      <c r="F267" s="12" t="s">
        <v>39</v>
      </c>
      <c r="G267" s="12" t="s">
        <v>55</v>
      </c>
      <c r="H267" s="12">
        <v>26</v>
      </c>
      <c r="I267" s="13">
        <v>45911.618599537003</v>
      </c>
      <c r="J267" s="12" t="s">
        <v>127</v>
      </c>
      <c r="K267" s="12" t="s">
        <v>132</v>
      </c>
      <c r="L267" s="14">
        <v>0.66600000000000004</v>
      </c>
      <c r="M267" s="14">
        <f t="shared" si="4"/>
        <v>0.66600000000000004</v>
      </c>
      <c r="N267" s="7" t="s">
        <v>394</v>
      </c>
      <c r="O267" s="12"/>
      <c r="P267" s="12"/>
    </row>
    <row r="268" spans="1:16" ht="225" hidden="1" customHeight="1" x14ac:dyDescent="0.35">
      <c r="A268" s="12">
        <v>2782</v>
      </c>
      <c r="B268" s="12" t="s">
        <v>93</v>
      </c>
      <c r="C268" s="12" t="s">
        <v>96</v>
      </c>
      <c r="D268" s="12" t="s">
        <v>97</v>
      </c>
      <c r="E268" s="12" t="s">
        <v>131</v>
      </c>
      <c r="F268" s="12" t="s">
        <v>39</v>
      </c>
      <c r="G268" s="12" t="s">
        <v>55</v>
      </c>
      <c r="H268" s="12">
        <v>26</v>
      </c>
      <c r="I268" s="13">
        <v>45911.618599537003</v>
      </c>
      <c r="J268" s="12" t="s">
        <v>127</v>
      </c>
      <c r="K268" s="12" t="s">
        <v>128</v>
      </c>
      <c r="L268" s="14">
        <v>1</v>
      </c>
      <c r="M268" s="14">
        <f t="shared" si="4"/>
        <v>1</v>
      </c>
      <c r="N268" s="7" t="s">
        <v>395</v>
      </c>
      <c r="O268" s="12"/>
      <c r="P268" s="12" t="s">
        <v>130</v>
      </c>
    </row>
    <row r="269" spans="1:16" ht="225" hidden="1" customHeight="1" x14ac:dyDescent="0.35">
      <c r="A269" s="12">
        <v>6423</v>
      </c>
      <c r="B269" s="12" t="s">
        <v>93</v>
      </c>
      <c r="C269" s="12" t="s">
        <v>96</v>
      </c>
      <c r="D269" s="12" t="s">
        <v>97</v>
      </c>
      <c r="E269" s="12" t="s">
        <v>134</v>
      </c>
      <c r="F269" s="12" t="s">
        <v>39</v>
      </c>
      <c r="G269" s="12" t="s">
        <v>55</v>
      </c>
      <c r="H269" s="12">
        <v>26</v>
      </c>
      <c r="I269" s="13">
        <v>45911.618599537003</v>
      </c>
      <c r="J269" s="12" t="s">
        <v>127</v>
      </c>
      <c r="K269" s="12" t="s">
        <v>135</v>
      </c>
      <c r="L269" s="14"/>
      <c r="M269" s="14">
        <f t="shared" si="4"/>
        <v>0</v>
      </c>
      <c r="N269" s="7" t="s">
        <v>396</v>
      </c>
      <c r="O269" s="12"/>
      <c r="P269" s="12" t="s">
        <v>130</v>
      </c>
    </row>
    <row r="270" spans="1:16" ht="180" hidden="1" customHeight="1" x14ac:dyDescent="0.35">
      <c r="A270" s="12">
        <v>6506</v>
      </c>
      <c r="B270" s="12" t="s">
        <v>93</v>
      </c>
      <c r="C270" s="12" t="s">
        <v>98</v>
      </c>
      <c r="D270" s="12" t="s">
        <v>99</v>
      </c>
      <c r="E270" s="12" t="s">
        <v>126</v>
      </c>
      <c r="F270" s="12" t="s">
        <v>39</v>
      </c>
      <c r="G270" s="12" t="s">
        <v>55</v>
      </c>
      <c r="H270" s="12">
        <v>26</v>
      </c>
      <c r="I270" s="13">
        <v>45911.618599537003</v>
      </c>
      <c r="J270" s="12" t="s">
        <v>127</v>
      </c>
      <c r="K270" s="12" t="s">
        <v>132</v>
      </c>
      <c r="L270" s="14">
        <v>0.66600000000000004</v>
      </c>
      <c r="M270" s="14">
        <f t="shared" si="4"/>
        <v>0.66600000000000004</v>
      </c>
      <c r="N270" s="7" t="s">
        <v>397</v>
      </c>
      <c r="O270" s="12"/>
      <c r="P270" s="12" t="s">
        <v>130</v>
      </c>
    </row>
    <row r="271" spans="1:16" ht="79.5" hidden="1" customHeight="1" x14ac:dyDescent="0.35">
      <c r="A271" s="12">
        <v>6693</v>
      </c>
      <c r="B271" s="12" t="s">
        <v>93</v>
      </c>
      <c r="C271" s="12" t="s">
        <v>98</v>
      </c>
      <c r="D271" s="12" t="s">
        <v>99</v>
      </c>
      <c r="E271" s="12" t="s">
        <v>131</v>
      </c>
      <c r="F271" s="12" t="s">
        <v>39</v>
      </c>
      <c r="G271" s="12" t="s">
        <v>55</v>
      </c>
      <c r="H271" s="12">
        <v>26</v>
      </c>
      <c r="I271" s="13">
        <v>45911.618599537003</v>
      </c>
      <c r="J271" s="12" t="s">
        <v>127</v>
      </c>
      <c r="K271" s="12" t="s">
        <v>135</v>
      </c>
      <c r="L271" s="14"/>
      <c r="M271" s="14">
        <f t="shared" si="4"/>
        <v>0</v>
      </c>
      <c r="N271" s="7" t="s">
        <v>398</v>
      </c>
      <c r="O271" s="12"/>
      <c r="P271" s="12" t="s">
        <v>130</v>
      </c>
    </row>
    <row r="272" spans="1:16" ht="68.25" hidden="1" customHeight="1" x14ac:dyDescent="0.35">
      <c r="A272" s="12">
        <v>7214</v>
      </c>
      <c r="B272" s="12" t="s">
        <v>93</v>
      </c>
      <c r="C272" s="12" t="s">
        <v>94</v>
      </c>
      <c r="D272" s="12" t="s">
        <v>95</v>
      </c>
      <c r="E272" s="12" t="s">
        <v>126</v>
      </c>
      <c r="F272" s="12" t="s">
        <v>39</v>
      </c>
      <c r="G272" s="12" t="s">
        <v>56</v>
      </c>
      <c r="H272" s="12">
        <v>22</v>
      </c>
      <c r="I272" s="13">
        <v>45915.634861111103</v>
      </c>
      <c r="J272" s="12" t="s">
        <v>127</v>
      </c>
      <c r="K272" s="12" t="s">
        <v>132</v>
      </c>
      <c r="L272" s="14">
        <v>0.66600000000000004</v>
      </c>
      <c r="M272" s="14">
        <f t="shared" si="4"/>
        <v>0.66600000000000004</v>
      </c>
      <c r="N272" s="7" t="s">
        <v>399</v>
      </c>
      <c r="O272" s="12"/>
      <c r="P272" s="12"/>
    </row>
    <row r="273" spans="1:16" ht="168.75" hidden="1" customHeight="1" x14ac:dyDescent="0.35">
      <c r="A273" s="12">
        <v>7215</v>
      </c>
      <c r="B273" s="12" t="s">
        <v>93</v>
      </c>
      <c r="C273" s="12" t="s">
        <v>94</v>
      </c>
      <c r="D273" s="12" t="s">
        <v>95</v>
      </c>
      <c r="E273" s="12" t="s">
        <v>131</v>
      </c>
      <c r="F273" s="12" t="s">
        <v>39</v>
      </c>
      <c r="G273" s="12" t="s">
        <v>56</v>
      </c>
      <c r="H273" s="12">
        <v>22</v>
      </c>
      <c r="I273" s="13">
        <v>45915.634861111103</v>
      </c>
      <c r="J273" s="12" t="s">
        <v>127</v>
      </c>
      <c r="K273" s="12" t="s">
        <v>135</v>
      </c>
      <c r="L273" s="14"/>
      <c r="M273" s="14">
        <f t="shared" si="4"/>
        <v>0</v>
      </c>
      <c r="N273" s="7" t="s">
        <v>400</v>
      </c>
      <c r="O273" s="12"/>
      <c r="P273" s="12" t="s">
        <v>130</v>
      </c>
    </row>
    <row r="274" spans="1:16" ht="135.75" hidden="1" customHeight="1" x14ac:dyDescent="0.35">
      <c r="A274" s="12">
        <v>7192</v>
      </c>
      <c r="B274" s="12" t="s">
        <v>93</v>
      </c>
      <c r="C274" s="12" t="s">
        <v>94</v>
      </c>
      <c r="D274" s="12" t="s">
        <v>95</v>
      </c>
      <c r="E274" s="12" t="s">
        <v>134</v>
      </c>
      <c r="F274" s="12" t="s">
        <v>39</v>
      </c>
      <c r="G274" s="12" t="s">
        <v>56</v>
      </c>
      <c r="H274" s="12">
        <v>22</v>
      </c>
      <c r="I274" s="13">
        <v>45915.634861111103</v>
      </c>
      <c r="J274" s="12" t="s">
        <v>127</v>
      </c>
      <c r="K274" s="12" t="s">
        <v>142</v>
      </c>
      <c r="L274" s="14">
        <v>0.33300000000000002</v>
      </c>
      <c r="M274" s="14">
        <f t="shared" si="4"/>
        <v>0.33300000000000002</v>
      </c>
      <c r="N274" s="7" t="s">
        <v>401</v>
      </c>
      <c r="O274" s="12"/>
      <c r="P274" s="12" t="s">
        <v>130</v>
      </c>
    </row>
    <row r="275" spans="1:16" ht="180" hidden="1" customHeight="1" x14ac:dyDescent="0.35">
      <c r="A275" s="12">
        <v>7193</v>
      </c>
      <c r="B275" s="12" t="s">
        <v>93</v>
      </c>
      <c r="C275" s="12" t="s">
        <v>94</v>
      </c>
      <c r="D275" s="12" t="s">
        <v>95</v>
      </c>
      <c r="E275" s="12" t="s">
        <v>137</v>
      </c>
      <c r="F275" s="12" t="s">
        <v>39</v>
      </c>
      <c r="G275" s="12" t="s">
        <v>56</v>
      </c>
      <c r="H275" s="12">
        <v>22</v>
      </c>
      <c r="I275" s="13">
        <v>45915.634861111103</v>
      </c>
      <c r="J275" s="12" t="s">
        <v>127</v>
      </c>
      <c r="K275" s="12" t="s">
        <v>142</v>
      </c>
      <c r="L275" s="14">
        <v>0.33300000000000002</v>
      </c>
      <c r="M275" s="14">
        <f t="shared" si="4"/>
        <v>0.33300000000000002</v>
      </c>
      <c r="N275" s="7" t="s">
        <v>402</v>
      </c>
      <c r="O275" s="12"/>
      <c r="P275" s="12" t="s">
        <v>130</v>
      </c>
    </row>
    <row r="276" spans="1:16" ht="157.5" hidden="1" customHeight="1" x14ac:dyDescent="0.35">
      <c r="A276" s="12">
        <v>7194</v>
      </c>
      <c r="B276" s="12" t="s">
        <v>93</v>
      </c>
      <c r="C276" s="12" t="s">
        <v>96</v>
      </c>
      <c r="D276" s="12" t="s">
        <v>97</v>
      </c>
      <c r="E276" s="12" t="s">
        <v>126</v>
      </c>
      <c r="F276" s="12" t="s">
        <v>39</v>
      </c>
      <c r="G276" s="12" t="s">
        <v>56</v>
      </c>
      <c r="H276" s="12">
        <v>22</v>
      </c>
      <c r="I276" s="13">
        <v>45915.634861111103</v>
      </c>
      <c r="J276" s="12" t="s">
        <v>127</v>
      </c>
      <c r="K276" s="12" t="s">
        <v>135</v>
      </c>
      <c r="L276" s="14"/>
      <c r="M276" s="14">
        <f t="shared" si="4"/>
        <v>0</v>
      </c>
      <c r="N276" s="7" t="s">
        <v>403</v>
      </c>
      <c r="O276" s="12"/>
      <c r="P276" s="12" t="s">
        <v>130</v>
      </c>
    </row>
    <row r="277" spans="1:16" ht="124.5" hidden="1" customHeight="1" x14ac:dyDescent="0.35">
      <c r="A277" s="12">
        <v>7196</v>
      </c>
      <c r="B277" s="12" t="s">
        <v>93</v>
      </c>
      <c r="C277" s="12" t="s">
        <v>96</v>
      </c>
      <c r="D277" s="12" t="s">
        <v>97</v>
      </c>
      <c r="E277" s="12" t="s">
        <v>131</v>
      </c>
      <c r="F277" s="12" t="s">
        <v>39</v>
      </c>
      <c r="G277" s="12" t="s">
        <v>56</v>
      </c>
      <c r="H277" s="12">
        <v>22</v>
      </c>
      <c r="I277" s="13">
        <v>45915.634861111103</v>
      </c>
      <c r="J277" s="12" t="s">
        <v>127</v>
      </c>
      <c r="K277" s="12" t="s">
        <v>132</v>
      </c>
      <c r="L277" s="14">
        <v>0.66600000000000004</v>
      </c>
      <c r="M277" s="14">
        <f t="shared" si="4"/>
        <v>0.66600000000000004</v>
      </c>
      <c r="N277" s="7" t="s">
        <v>404</v>
      </c>
      <c r="O277" s="12"/>
      <c r="P277" s="12"/>
    </row>
    <row r="278" spans="1:16" ht="168.75" hidden="1" customHeight="1" x14ac:dyDescent="0.35">
      <c r="A278" s="12">
        <v>7197</v>
      </c>
      <c r="B278" s="12" t="s">
        <v>93</v>
      </c>
      <c r="C278" s="12" t="s">
        <v>96</v>
      </c>
      <c r="D278" s="12" t="s">
        <v>97</v>
      </c>
      <c r="E278" s="12" t="s">
        <v>134</v>
      </c>
      <c r="F278" s="12" t="s">
        <v>39</v>
      </c>
      <c r="G278" s="12" t="s">
        <v>56</v>
      </c>
      <c r="H278" s="12">
        <v>22</v>
      </c>
      <c r="I278" s="13">
        <v>45915.634861111103</v>
      </c>
      <c r="J278" s="12" t="s">
        <v>127</v>
      </c>
      <c r="K278" s="12" t="s">
        <v>132</v>
      </c>
      <c r="L278" s="14">
        <v>0.66600000000000004</v>
      </c>
      <c r="M278" s="14">
        <f t="shared" si="4"/>
        <v>0.66600000000000004</v>
      </c>
      <c r="N278" s="7" t="s">
        <v>405</v>
      </c>
      <c r="O278" s="12"/>
      <c r="P278" s="12" t="s">
        <v>130</v>
      </c>
    </row>
    <row r="279" spans="1:16" ht="124.5" hidden="1" customHeight="1" x14ac:dyDescent="0.35">
      <c r="A279" s="12">
        <v>7220</v>
      </c>
      <c r="B279" s="12" t="s">
        <v>93</v>
      </c>
      <c r="C279" s="12" t="s">
        <v>98</v>
      </c>
      <c r="D279" s="12" t="s">
        <v>99</v>
      </c>
      <c r="E279" s="12" t="s">
        <v>126</v>
      </c>
      <c r="F279" s="12" t="s">
        <v>39</v>
      </c>
      <c r="G279" s="12" t="s">
        <v>56</v>
      </c>
      <c r="H279" s="12">
        <v>22</v>
      </c>
      <c r="I279" s="13">
        <v>45915.634861111103</v>
      </c>
      <c r="J279" s="12" t="s">
        <v>127</v>
      </c>
      <c r="K279" s="12" t="s">
        <v>135</v>
      </c>
      <c r="L279" s="14"/>
      <c r="M279" s="14">
        <f t="shared" si="4"/>
        <v>0</v>
      </c>
      <c r="N279" s="7" t="s">
        <v>406</v>
      </c>
      <c r="O279" s="12"/>
      <c r="P279" s="12" t="s">
        <v>130</v>
      </c>
    </row>
    <row r="280" spans="1:16" ht="79.5" hidden="1" customHeight="1" x14ac:dyDescent="0.35">
      <c r="A280" s="12">
        <v>7221</v>
      </c>
      <c r="B280" s="12" t="s">
        <v>93</v>
      </c>
      <c r="C280" s="12" t="s">
        <v>98</v>
      </c>
      <c r="D280" s="12" t="s">
        <v>99</v>
      </c>
      <c r="E280" s="12" t="s">
        <v>131</v>
      </c>
      <c r="F280" s="12" t="s">
        <v>39</v>
      </c>
      <c r="G280" s="12" t="s">
        <v>56</v>
      </c>
      <c r="H280" s="12">
        <v>22</v>
      </c>
      <c r="I280" s="13">
        <v>45915.634861111103</v>
      </c>
      <c r="J280" s="12" t="s">
        <v>127</v>
      </c>
      <c r="K280" s="12" t="s">
        <v>142</v>
      </c>
      <c r="L280" s="14">
        <v>0.33300000000000002</v>
      </c>
      <c r="M280" s="14">
        <f t="shared" si="4"/>
        <v>0.33300000000000002</v>
      </c>
      <c r="N280" s="7" t="s">
        <v>407</v>
      </c>
      <c r="O280" s="12"/>
      <c r="P280" s="12" t="s">
        <v>130</v>
      </c>
    </row>
    <row r="281" spans="1:16" ht="202.5" hidden="1" customHeight="1" x14ac:dyDescent="0.35">
      <c r="A281" s="12">
        <v>8546</v>
      </c>
      <c r="B281" s="12" t="s">
        <v>93</v>
      </c>
      <c r="C281" s="12" t="s">
        <v>94</v>
      </c>
      <c r="D281" s="12" t="s">
        <v>95</v>
      </c>
      <c r="E281" s="12" t="s">
        <v>126</v>
      </c>
      <c r="F281" s="12" t="s">
        <v>66</v>
      </c>
      <c r="G281" s="12" t="s">
        <v>81</v>
      </c>
      <c r="H281" s="12">
        <v>4314902</v>
      </c>
      <c r="I281" s="13">
        <v>45918.781226851897</v>
      </c>
      <c r="J281" s="12" t="s">
        <v>127</v>
      </c>
      <c r="K281" s="12" t="s">
        <v>142</v>
      </c>
      <c r="L281" s="14">
        <v>0.33300000000000002</v>
      </c>
      <c r="M281" s="14">
        <f t="shared" si="4"/>
        <v>0.33300000000000002</v>
      </c>
      <c r="N281" s="7" t="s">
        <v>408</v>
      </c>
      <c r="O281" s="12"/>
      <c r="P281" s="12" t="s">
        <v>130</v>
      </c>
    </row>
    <row r="282" spans="1:16" ht="202.5" hidden="1" customHeight="1" x14ac:dyDescent="0.35">
      <c r="A282" s="12">
        <v>8565</v>
      </c>
      <c r="B282" s="12" t="s">
        <v>93</v>
      </c>
      <c r="C282" s="12" t="s">
        <v>94</v>
      </c>
      <c r="D282" s="12" t="s">
        <v>95</v>
      </c>
      <c r="E282" s="12" t="s">
        <v>131</v>
      </c>
      <c r="F282" s="12" t="s">
        <v>66</v>
      </c>
      <c r="G282" s="12" t="s">
        <v>81</v>
      </c>
      <c r="H282" s="12">
        <v>4314902</v>
      </c>
      <c r="I282" s="13">
        <v>45918.781226851897</v>
      </c>
      <c r="J282" s="12" t="s">
        <v>127</v>
      </c>
      <c r="K282" s="12" t="s">
        <v>135</v>
      </c>
      <c r="L282" s="14"/>
      <c r="M282" s="14">
        <f t="shared" si="4"/>
        <v>0</v>
      </c>
      <c r="N282" s="7" t="s">
        <v>409</v>
      </c>
      <c r="O282" s="12"/>
      <c r="P282" s="12" t="s">
        <v>130</v>
      </c>
    </row>
    <row r="283" spans="1:16" ht="147" hidden="1" customHeight="1" x14ac:dyDescent="0.35">
      <c r="A283" s="12">
        <v>8743</v>
      </c>
      <c r="B283" s="12" t="s">
        <v>93</v>
      </c>
      <c r="C283" s="12" t="s">
        <v>94</v>
      </c>
      <c r="D283" s="12" t="s">
        <v>95</v>
      </c>
      <c r="E283" s="12" t="s">
        <v>134</v>
      </c>
      <c r="F283" s="12" t="s">
        <v>66</v>
      </c>
      <c r="G283" s="12" t="s">
        <v>81</v>
      </c>
      <c r="H283" s="12">
        <v>4314902</v>
      </c>
      <c r="I283" s="13">
        <v>45918.781226851897</v>
      </c>
      <c r="J283" s="12" t="s">
        <v>127</v>
      </c>
      <c r="K283" s="12" t="s">
        <v>142</v>
      </c>
      <c r="L283" s="14">
        <v>0.33300000000000002</v>
      </c>
      <c r="M283" s="14">
        <f t="shared" si="4"/>
        <v>0.33300000000000002</v>
      </c>
      <c r="N283" s="7" t="s">
        <v>410</v>
      </c>
      <c r="O283" s="12"/>
      <c r="P283" s="12" t="s">
        <v>130</v>
      </c>
    </row>
    <row r="284" spans="1:16" ht="180" hidden="1" customHeight="1" x14ac:dyDescent="0.35">
      <c r="A284" s="12">
        <v>8728</v>
      </c>
      <c r="B284" s="12" t="s">
        <v>93</v>
      </c>
      <c r="C284" s="12" t="s">
        <v>94</v>
      </c>
      <c r="D284" s="12" t="s">
        <v>95</v>
      </c>
      <c r="E284" s="12" t="s">
        <v>137</v>
      </c>
      <c r="F284" s="12" t="s">
        <v>66</v>
      </c>
      <c r="G284" s="12" t="s">
        <v>81</v>
      </c>
      <c r="H284" s="12">
        <v>4314902</v>
      </c>
      <c r="I284" s="13">
        <v>45918.781226851897</v>
      </c>
      <c r="J284" s="12" t="s">
        <v>127</v>
      </c>
      <c r="K284" s="12" t="s">
        <v>142</v>
      </c>
      <c r="L284" s="14">
        <v>0.33300000000000002</v>
      </c>
      <c r="M284" s="14">
        <f t="shared" si="4"/>
        <v>0.33300000000000002</v>
      </c>
      <c r="N284" s="7" t="s">
        <v>411</v>
      </c>
      <c r="O284" s="12"/>
      <c r="P284" s="12" t="s">
        <v>130</v>
      </c>
    </row>
    <row r="285" spans="1:16" ht="135.75" hidden="1" customHeight="1" x14ac:dyDescent="0.35">
      <c r="A285" s="12">
        <v>8730</v>
      </c>
      <c r="B285" s="12" t="s">
        <v>93</v>
      </c>
      <c r="C285" s="12" t="s">
        <v>96</v>
      </c>
      <c r="D285" s="12" t="s">
        <v>97</v>
      </c>
      <c r="E285" s="12" t="s">
        <v>126</v>
      </c>
      <c r="F285" s="12" t="s">
        <v>66</v>
      </c>
      <c r="G285" s="12" t="s">
        <v>81</v>
      </c>
      <c r="H285" s="12">
        <v>4314902</v>
      </c>
      <c r="I285" s="13">
        <v>45918.781226851897</v>
      </c>
      <c r="J285" s="12" t="s">
        <v>127</v>
      </c>
      <c r="K285" s="12" t="s">
        <v>132</v>
      </c>
      <c r="L285" s="14">
        <v>0.66600000000000004</v>
      </c>
      <c r="M285" s="14">
        <f t="shared" si="4"/>
        <v>0.66600000000000004</v>
      </c>
      <c r="N285" s="7" t="s">
        <v>412</v>
      </c>
      <c r="O285" s="12"/>
      <c r="P285" s="12" t="s">
        <v>130</v>
      </c>
    </row>
    <row r="286" spans="1:16" ht="168.75" hidden="1" customHeight="1" x14ac:dyDescent="0.35">
      <c r="A286" s="12">
        <v>8764</v>
      </c>
      <c r="B286" s="12" t="s">
        <v>93</v>
      </c>
      <c r="C286" s="12" t="s">
        <v>96</v>
      </c>
      <c r="D286" s="12" t="s">
        <v>97</v>
      </c>
      <c r="E286" s="12" t="s">
        <v>131</v>
      </c>
      <c r="F286" s="12" t="s">
        <v>66</v>
      </c>
      <c r="G286" s="12" t="s">
        <v>81</v>
      </c>
      <c r="H286" s="12">
        <v>4314902</v>
      </c>
      <c r="I286" s="13">
        <v>45918.781226851897</v>
      </c>
      <c r="J286" s="12" t="s">
        <v>127</v>
      </c>
      <c r="K286" s="12" t="s">
        <v>132</v>
      </c>
      <c r="L286" s="14">
        <v>0.66600000000000004</v>
      </c>
      <c r="M286" s="14">
        <f t="shared" si="4"/>
        <v>0.66600000000000004</v>
      </c>
      <c r="N286" s="7" t="s">
        <v>413</v>
      </c>
      <c r="O286" s="12"/>
      <c r="P286" s="12" t="s">
        <v>130</v>
      </c>
    </row>
    <row r="287" spans="1:16" ht="213.75" hidden="1" customHeight="1" x14ac:dyDescent="0.35">
      <c r="A287" s="12">
        <v>8868</v>
      </c>
      <c r="B287" s="12" t="s">
        <v>93</v>
      </c>
      <c r="C287" s="12" t="s">
        <v>96</v>
      </c>
      <c r="D287" s="12" t="s">
        <v>97</v>
      </c>
      <c r="E287" s="12" t="s">
        <v>134</v>
      </c>
      <c r="F287" s="12" t="s">
        <v>66</v>
      </c>
      <c r="G287" s="12" t="s">
        <v>81</v>
      </c>
      <c r="H287" s="12">
        <v>4314902</v>
      </c>
      <c r="I287" s="13">
        <v>45918.781226851897</v>
      </c>
      <c r="J287" s="12" t="s">
        <v>127</v>
      </c>
      <c r="K287" s="12" t="s">
        <v>142</v>
      </c>
      <c r="L287" s="14">
        <v>0.33300000000000002</v>
      </c>
      <c r="M287" s="14">
        <f t="shared" si="4"/>
        <v>0.33300000000000002</v>
      </c>
      <c r="N287" s="7" t="s">
        <v>414</v>
      </c>
      <c r="O287" s="12"/>
      <c r="P287" s="12" t="s">
        <v>130</v>
      </c>
    </row>
    <row r="288" spans="1:16" ht="202.5" hidden="1" customHeight="1" x14ac:dyDescent="0.35">
      <c r="A288" s="12">
        <v>8941</v>
      </c>
      <c r="B288" s="12" t="s">
        <v>93</v>
      </c>
      <c r="C288" s="12" t="s">
        <v>98</v>
      </c>
      <c r="D288" s="12" t="s">
        <v>99</v>
      </c>
      <c r="E288" s="12" t="s">
        <v>126</v>
      </c>
      <c r="F288" s="12" t="s">
        <v>66</v>
      </c>
      <c r="G288" s="12" t="s">
        <v>81</v>
      </c>
      <c r="H288" s="12">
        <v>4314902</v>
      </c>
      <c r="I288" s="13">
        <v>45918.781226851897</v>
      </c>
      <c r="J288" s="12" t="s">
        <v>127</v>
      </c>
      <c r="K288" s="12" t="s">
        <v>132</v>
      </c>
      <c r="L288" s="14">
        <v>0.66600000000000004</v>
      </c>
      <c r="M288" s="14">
        <f t="shared" si="4"/>
        <v>0.66600000000000004</v>
      </c>
      <c r="N288" s="7" t="s">
        <v>415</v>
      </c>
      <c r="O288" s="12"/>
      <c r="P288" s="12" t="s">
        <v>130</v>
      </c>
    </row>
    <row r="289" spans="1:16" ht="202.5" hidden="1" customHeight="1" x14ac:dyDescent="0.35">
      <c r="A289" s="12">
        <v>8942</v>
      </c>
      <c r="B289" s="12" t="s">
        <v>93</v>
      </c>
      <c r="C289" s="12" t="s">
        <v>98</v>
      </c>
      <c r="D289" s="12" t="s">
        <v>99</v>
      </c>
      <c r="E289" s="12" t="s">
        <v>131</v>
      </c>
      <c r="F289" s="12" t="s">
        <v>66</v>
      </c>
      <c r="G289" s="12" t="s">
        <v>81</v>
      </c>
      <c r="H289" s="12">
        <v>4314902</v>
      </c>
      <c r="I289" s="13">
        <v>45918.781226851897</v>
      </c>
      <c r="J289" s="12" t="s">
        <v>127</v>
      </c>
      <c r="K289" s="12" t="s">
        <v>135</v>
      </c>
      <c r="L289" s="14"/>
      <c r="M289" s="14">
        <f t="shared" si="4"/>
        <v>0</v>
      </c>
      <c r="N289" s="7" t="s">
        <v>416</v>
      </c>
      <c r="O289" s="12"/>
      <c r="P289" s="12" t="s">
        <v>130</v>
      </c>
    </row>
    <row r="290" spans="1:16" ht="34.5" hidden="1" customHeight="1" x14ac:dyDescent="0.35">
      <c r="A290" s="12">
        <v>9243</v>
      </c>
      <c r="B290" s="12" t="s">
        <v>93</v>
      </c>
      <c r="C290" s="12" t="s">
        <v>94</v>
      </c>
      <c r="D290" s="12" t="s">
        <v>95</v>
      </c>
      <c r="E290" s="12" t="s">
        <v>126</v>
      </c>
      <c r="F290" s="12" t="s">
        <v>66</v>
      </c>
      <c r="G290" s="12" t="s">
        <v>82</v>
      </c>
      <c r="H290" s="12">
        <v>1100205</v>
      </c>
      <c r="I290" s="13">
        <v>45931.037384259304</v>
      </c>
      <c r="J290" s="12" t="s">
        <v>127</v>
      </c>
      <c r="K290" s="12" t="s">
        <v>135</v>
      </c>
      <c r="L290" s="14"/>
      <c r="M290" s="14">
        <f t="shared" si="4"/>
        <v>0</v>
      </c>
      <c r="N290" s="7" t="s">
        <v>417</v>
      </c>
      <c r="O290" s="12"/>
      <c r="P290" s="12" t="s">
        <v>130</v>
      </c>
    </row>
    <row r="291" spans="1:16" ht="23.25" hidden="1" customHeight="1" x14ac:dyDescent="0.35">
      <c r="A291" s="12">
        <v>9245</v>
      </c>
      <c r="B291" s="12" t="s">
        <v>93</v>
      </c>
      <c r="C291" s="12" t="s">
        <v>94</v>
      </c>
      <c r="D291" s="12" t="s">
        <v>95</v>
      </c>
      <c r="E291" s="12" t="s">
        <v>131</v>
      </c>
      <c r="F291" s="12" t="s">
        <v>66</v>
      </c>
      <c r="G291" s="12" t="s">
        <v>82</v>
      </c>
      <c r="H291" s="12">
        <v>1100205</v>
      </c>
      <c r="I291" s="13">
        <v>45931.037384259304</v>
      </c>
      <c r="J291" s="12" t="s">
        <v>127</v>
      </c>
      <c r="K291" s="12" t="s">
        <v>135</v>
      </c>
      <c r="L291" s="14"/>
      <c r="M291" s="14">
        <f t="shared" si="4"/>
        <v>0</v>
      </c>
      <c r="N291" s="7" t="s">
        <v>418</v>
      </c>
      <c r="O291" s="12"/>
      <c r="P291" s="12" t="s">
        <v>130</v>
      </c>
    </row>
    <row r="292" spans="1:16" ht="23.25" hidden="1" customHeight="1" x14ac:dyDescent="0.35">
      <c r="A292" s="12">
        <v>9282</v>
      </c>
      <c r="B292" s="12" t="s">
        <v>93</v>
      </c>
      <c r="C292" s="12" t="s">
        <v>94</v>
      </c>
      <c r="D292" s="12" t="s">
        <v>95</v>
      </c>
      <c r="E292" s="12" t="s">
        <v>134</v>
      </c>
      <c r="F292" s="12" t="s">
        <v>66</v>
      </c>
      <c r="G292" s="12" t="s">
        <v>82</v>
      </c>
      <c r="H292" s="12">
        <v>1100205</v>
      </c>
      <c r="I292" s="13">
        <v>45931.037384259304</v>
      </c>
      <c r="J292" s="12" t="s">
        <v>127</v>
      </c>
      <c r="K292" s="12" t="s">
        <v>135</v>
      </c>
      <c r="L292" s="14"/>
      <c r="M292" s="14">
        <f t="shared" si="4"/>
        <v>0</v>
      </c>
      <c r="N292" s="7" t="s">
        <v>419</v>
      </c>
      <c r="O292" s="12"/>
      <c r="P292" s="12" t="s">
        <v>130</v>
      </c>
    </row>
    <row r="293" spans="1:16" ht="15" hidden="1" customHeight="1" x14ac:dyDescent="0.35">
      <c r="A293" s="12">
        <v>9283</v>
      </c>
      <c r="B293" s="12" t="s">
        <v>93</v>
      </c>
      <c r="C293" s="12" t="s">
        <v>94</v>
      </c>
      <c r="D293" s="12" t="s">
        <v>95</v>
      </c>
      <c r="E293" s="12" t="s">
        <v>137</v>
      </c>
      <c r="F293" s="12" t="s">
        <v>66</v>
      </c>
      <c r="G293" s="12" t="s">
        <v>82</v>
      </c>
      <c r="H293" s="12">
        <v>1100205</v>
      </c>
      <c r="I293" s="13">
        <v>45931.037384259304</v>
      </c>
      <c r="J293" s="12" t="s">
        <v>127</v>
      </c>
      <c r="K293" s="12" t="s">
        <v>135</v>
      </c>
      <c r="L293" s="14"/>
      <c r="M293" s="14">
        <f t="shared" si="4"/>
        <v>0</v>
      </c>
      <c r="N293" s="7" t="s">
        <v>420</v>
      </c>
      <c r="O293" s="12"/>
      <c r="P293" s="12" t="s">
        <v>130</v>
      </c>
    </row>
    <row r="294" spans="1:16" ht="57" hidden="1" customHeight="1" x14ac:dyDescent="0.35">
      <c r="A294" s="12">
        <v>9244</v>
      </c>
      <c r="B294" s="12" t="s">
        <v>93</v>
      </c>
      <c r="C294" s="12" t="s">
        <v>96</v>
      </c>
      <c r="D294" s="12" t="s">
        <v>97</v>
      </c>
      <c r="E294" s="12" t="s">
        <v>126</v>
      </c>
      <c r="F294" s="12" t="s">
        <v>66</v>
      </c>
      <c r="G294" s="12" t="s">
        <v>82</v>
      </c>
      <c r="H294" s="12">
        <v>1100205</v>
      </c>
      <c r="I294" s="13">
        <v>45931.037384259304</v>
      </c>
      <c r="J294" s="12" t="s">
        <v>127</v>
      </c>
      <c r="K294" s="12" t="s">
        <v>135</v>
      </c>
      <c r="L294" s="14"/>
      <c r="M294" s="14">
        <f t="shared" si="4"/>
        <v>0</v>
      </c>
      <c r="N294" s="7" t="s">
        <v>421</v>
      </c>
      <c r="O294" s="12"/>
      <c r="P294" s="12" t="s">
        <v>130</v>
      </c>
    </row>
    <row r="295" spans="1:16" ht="23.25" hidden="1" customHeight="1" x14ac:dyDescent="0.35">
      <c r="A295" s="12">
        <v>9284</v>
      </c>
      <c r="B295" s="12" t="s">
        <v>93</v>
      </c>
      <c r="C295" s="12" t="s">
        <v>96</v>
      </c>
      <c r="D295" s="12" t="s">
        <v>97</v>
      </c>
      <c r="E295" s="12" t="s">
        <v>131</v>
      </c>
      <c r="F295" s="12" t="s">
        <v>66</v>
      </c>
      <c r="G295" s="12" t="s">
        <v>82</v>
      </c>
      <c r="H295" s="12">
        <v>1100205</v>
      </c>
      <c r="I295" s="13">
        <v>45931.037384259304</v>
      </c>
      <c r="J295" s="12" t="s">
        <v>127</v>
      </c>
      <c r="K295" s="12" t="s">
        <v>135</v>
      </c>
      <c r="L295" s="14"/>
      <c r="M295" s="14">
        <f t="shared" si="4"/>
        <v>0</v>
      </c>
      <c r="N295" s="7" t="s">
        <v>301</v>
      </c>
      <c r="O295" s="12"/>
      <c r="P295" s="12" t="s">
        <v>130</v>
      </c>
    </row>
    <row r="296" spans="1:16" ht="23.25" hidden="1" customHeight="1" x14ac:dyDescent="0.35">
      <c r="A296" s="12">
        <v>9246</v>
      </c>
      <c r="B296" s="12" t="s">
        <v>93</v>
      </c>
      <c r="C296" s="12" t="s">
        <v>96</v>
      </c>
      <c r="D296" s="12" t="s">
        <v>97</v>
      </c>
      <c r="E296" s="12" t="s">
        <v>134</v>
      </c>
      <c r="F296" s="12" t="s">
        <v>66</v>
      </c>
      <c r="G296" s="12" t="s">
        <v>82</v>
      </c>
      <c r="H296" s="12">
        <v>1100205</v>
      </c>
      <c r="I296" s="13">
        <v>45931.037384259304</v>
      </c>
      <c r="J296" s="12" t="s">
        <v>127</v>
      </c>
      <c r="K296" s="12" t="s">
        <v>135</v>
      </c>
      <c r="L296" s="14"/>
      <c r="M296" s="14">
        <f t="shared" si="4"/>
        <v>0</v>
      </c>
      <c r="N296" s="7" t="s">
        <v>422</v>
      </c>
      <c r="O296" s="12"/>
      <c r="P296" s="12" t="s">
        <v>130</v>
      </c>
    </row>
    <row r="297" spans="1:16" ht="23.25" hidden="1" customHeight="1" x14ac:dyDescent="0.35">
      <c r="A297" s="12">
        <v>9247</v>
      </c>
      <c r="B297" s="12" t="s">
        <v>93</v>
      </c>
      <c r="C297" s="12" t="s">
        <v>98</v>
      </c>
      <c r="D297" s="12" t="s">
        <v>99</v>
      </c>
      <c r="E297" s="12" t="s">
        <v>126</v>
      </c>
      <c r="F297" s="12" t="s">
        <v>66</v>
      </c>
      <c r="G297" s="12" t="s">
        <v>82</v>
      </c>
      <c r="H297" s="12">
        <v>1100205</v>
      </c>
      <c r="I297" s="13">
        <v>45931.037384259304</v>
      </c>
      <c r="J297" s="12" t="s">
        <v>127</v>
      </c>
      <c r="K297" s="12" t="s">
        <v>135</v>
      </c>
      <c r="L297" s="14"/>
      <c r="M297" s="14">
        <f t="shared" si="4"/>
        <v>0</v>
      </c>
      <c r="N297" s="7" t="s">
        <v>303</v>
      </c>
      <c r="O297" s="12"/>
      <c r="P297" s="12" t="s">
        <v>130</v>
      </c>
    </row>
    <row r="298" spans="1:16" ht="23.25" hidden="1" customHeight="1" x14ac:dyDescent="0.35">
      <c r="A298" s="12">
        <v>9285</v>
      </c>
      <c r="B298" s="12" t="s">
        <v>93</v>
      </c>
      <c r="C298" s="12" t="s">
        <v>98</v>
      </c>
      <c r="D298" s="12" t="s">
        <v>99</v>
      </c>
      <c r="E298" s="12" t="s">
        <v>131</v>
      </c>
      <c r="F298" s="12" t="s">
        <v>66</v>
      </c>
      <c r="G298" s="12" t="s">
        <v>82</v>
      </c>
      <c r="H298" s="12">
        <v>1100205</v>
      </c>
      <c r="I298" s="13">
        <v>45931.037384259304</v>
      </c>
      <c r="J298" s="12" t="s">
        <v>127</v>
      </c>
      <c r="K298" s="12" t="s">
        <v>135</v>
      </c>
      <c r="L298" s="14"/>
      <c r="M298" s="14">
        <f t="shared" si="4"/>
        <v>0</v>
      </c>
      <c r="N298" s="7" t="s">
        <v>423</v>
      </c>
      <c r="O298" s="12"/>
      <c r="P298" s="12" t="s">
        <v>130</v>
      </c>
    </row>
    <row r="299" spans="1:16" ht="213.75" hidden="1" customHeight="1" x14ac:dyDescent="0.35">
      <c r="A299" s="12">
        <v>6921</v>
      </c>
      <c r="B299" s="12" t="s">
        <v>93</v>
      </c>
      <c r="C299" s="12" t="s">
        <v>94</v>
      </c>
      <c r="D299" s="12" t="s">
        <v>95</v>
      </c>
      <c r="E299" s="12" t="s">
        <v>126</v>
      </c>
      <c r="F299" s="12" t="s">
        <v>66</v>
      </c>
      <c r="G299" s="12" t="s">
        <v>83</v>
      </c>
      <c r="H299" s="12">
        <v>2611606</v>
      </c>
      <c r="I299" s="13">
        <v>45912.988356481503</v>
      </c>
      <c r="J299" s="12" t="s">
        <v>127</v>
      </c>
      <c r="K299" s="12" t="s">
        <v>128</v>
      </c>
      <c r="L299" s="14">
        <v>1</v>
      </c>
      <c r="M299" s="14">
        <f t="shared" si="4"/>
        <v>1</v>
      </c>
      <c r="N299" s="7" t="s">
        <v>424</v>
      </c>
      <c r="O299" s="12"/>
      <c r="P299" s="12" t="s">
        <v>130</v>
      </c>
    </row>
    <row r="300" spans="1:16" ht="336.75" hidden="1" customHeight="1" x14ac:dyDescent="0.35">
      <c r="A300" s="12">
        <v>6941</v>
      </c>
      <c r="B300" s="12" t="s">
        <v>93</v>
      </c>
      <c r="C300" s="12" t="s">
        <v>94</v>
      </c>
      <c r="D300" s="12" t="s">
        <v>95</v>
      </c>
      <c r="E300" s="12" t="s">
        <v>131</v>
      </c>
      <c r="F300" s="12" t="s">
        <v>66</v>
      </c>
      <c r="G300" s="12" t="s">
        <v>83</v>
      </c>
      <c r="H300" s="12">
        <v>2611606</v>
      </c>
      <c r="I300" s="13">
        <v>45912.988356481503</v>
      </c>
      <c r="J300" s="12" t="s">
        <v>127</v>
      </c>
      <c r="K300" s="12" t="s">
        <v>128</v>
      </c>
      <c r="L300" s="14">
        <v>1</v>
      </c>
      <c r="M300" s="14">
        <f t="shared" si="4"/>
        <v>1</v>
      </c>
      <c r="N300" s="7" t="s">
        <v>425</v>
      </c>
      <c r="O300" s="12"/>
      <c r="P300" s="12" t="s">
        <v>130</v>
      </c>
    </row>
    <row r="301" spans="1:16" ht="247.5" hidden="1" customHeight="1" x14ac:dyDescent="0.35">
      <c r="A301" s="12">
        <v>6961</v>
      </c>
      <c r="B301" s="12" t="s">
        <v>93</v>
      </c>
      <c r="C301" s="12" t="s">
        <v>94</v>
      </c>
      <c r="D301" s="12" t="s">
        <v>95</v>
      </c>
      <c r="E301" s="12" t="s">
        <v>134</v>
      </c>
      <c r="F301" s="12" t="s">
        <v>66</v>
      </c>
      <c r="G301" s="12" t="s">
        <v>83</v>
      </c>
      <c r="H301" s="12">
        <v>2611606</v>
      </c>
      <c r="I301" s="13">
        <v>45912.988356481503</v>
      </c>
      <c r="J301" s="12" t="s">
        <v>127</v>
      </c>
      <c r="K301" s="12" t="s">
        <v>128</v>
      </c>
      <c r="L301" s="14">
        <v>1</v>
      </c>
      <c r="M301" s="14">
        <f t="shared" si="4"/>
        <v>1</v>
      </c>
      <c r="N301" s="7" t="s">
        <v>426</v>
      </c>
      <c r="O301" s="12"/>
      <c r="P301" s="12" t="s">
        <v>130</v>
      </c>
    </row>
    <row r="302" spans="1:16" ht="258.75" hidden="1" customHeight="1" x14ac:dyDescent="0.35">
      <c r="A302" s="12">
        <v>7001</v>
      </c>
      <c r="B302" s="12" t="s">
        <v>93</v>
      </c>
      <c r="C302" s="12" t="s">
        <v>94</v>
      </c>
      <c r="D302" s="12" t="s">
        <v>95</v>
      </c>
      <c r="E302" s="12" t="s">
        <v>137</v>
      </c>
      <c r="F302" s="12" t="s">
        <v>66</v>
      </c>
      <c r="G302" s="12" t="s">
        <v>83</v>
      </c>
      <c r="H302" s="12">
        <v>2611606</v>
      </c>
      <c r="I302" s="13">
        <v>45912.988356481503</v>
      </c>
      <c r="J302" s="12" t="s">
        <v>127</v>
      </c>
      <c r="K302" s="12" t="s">
        <v>135</v>
      </c>
      <c r="L302" s="14"/>
      <c r="M302" s="14">
        <f t="shared" si="4"/>
        <v>0</v>
      </c>
      <c r="N302" s="7" t="s">
        <v>427</v>
      </c>
      <c r="O302" s="12"/>
      <c r="P302" s="12" t="s">
        <v>130</v>
      </c>
    </row>
    <row r="303" spans="1:16" ht="258.75" hidden="1" customHeight="1" x14ac:dyDescent="0.35">
      <c r="A303" s="12">
        <v>7218</v>
      </c>
      <c r="B303" s="12" t="s">
        <v>93</v>
      </c>
      <c r="C303" s="12" t="s">
        <v>96</v>
      </c>
      <c r="D303" s="12" t="s">
        <v>97</v>
      </c>
      <c r="E303" s="12" t="s">
        <v>126</v>
      </c>
      <c r="F303" s="12" t="s">
        <v>66</v>
      </c>
      <c r="G303" s="12" t="s">
        <v>83</v>
      </c>
      <c r="H303" s="12">
        <v>2611606</v>
      </c>
      <c r="I303" s="13">
        <v>45912.988356481503</v>
      </c>
      <c r="J303" s="12" t="s">
        <v>127</v>
      </c>
      <c r="K303" s="12" t="s">
        <v>132</v>
      </c>
      <c r="L303" s="14">
        <v>0.66600000000000004</v>
      </c>
      <c r="M303" s="14">
        <f t="shared" si="4"/>
        <v>0.66600000000000004</v>
      </c>
      <c r="N303" s="7" t="s">
        <v>428</v>
      </c>
      <c r="O303" s="12"/>
      <c r="P303" s="12" t="s">
        <v>130</v>
      </c>
    </row>
    <row r="304" spans="1:16" ht="236.25" hidden="1" customHeight="1" x14ac:dyDescent="0.35">
      <c r="A304" s="12">
        <v>7244</v>
      </c>
      <c r="B304" s="12" t="s">
        <v>93</v>
      </c>
      <c r="C304" s="12" t="s">
        <v>96</v>
      </c>
      <c r="D304" s="12" t="s">
        <v>97</v>
      </c>
      <c r="E304" s="12" t="s">
        <v>131</v>
      </c>
      <c r="F304" s="12" t="s">
        <v>66</v>
      </c>
      <c r="G304" s="12" t="s">
        <v>83</v>
      </c>
      <c r="H304" s="12">
        <v>2611606</v>
      </c>
      <c r="I304" s="13">
        <v>45912.988356481503</v>
      </c>
      <c r="J304" s="12" t="s">
        <v>127</v>
      </c>
      <c r="K304" s="12" t="s">
        <v>128</v>
      </c>
      <c r="L304" s="14">
        <v>1</v>
      </c>
      <c r="M304" s="14">
        <f t="shared" si="4"/>
        <v>1</v>
      </c>
      <c r="N304" s="7" t="s">
        <v>429</v>
      </c>
      <c r="O304" s="12"/>
      <c r="P304" s="12" t="s">
        <v>130</v>
      </c>
    </row>
    <row r="305" spans="1:16" ht="225" hidden="1" customHeight="1" x14ac:dyDescent="0.35">
      <c r="A305" s="12">
        <v>7260</v>
      </c>
      <c r="B305" s="12" t="s">
        <v>93</v>
      </c>
      <c r="C305" s="12" t="s">
        <v>96</v>
      </c>
      <c r="D305" s="12" t="s">
        <v>97</v>
      </c>
      <c r="E305" s="12" t="s">
        <v>134</v>
      </c>
      <c r="F305" s="12" t="s">
        <v>66</v>
      </c>
      <c r="G305" s="12" t="s">
        <v>83</v>
      </c>
      <c r="H305" s="12">
        <v>2611606</v>
      </c>
      <c r="I305" s="13">
        <v>45912.988356481503</v>
      </c>
      <c r="J305" s="12" t="s">
        <v>127</v>
      </c>
      <c r="K305" s="12" t="s">
        <v>135</v>
      </c>
      <c r="L305" s="14"/>
      <c r="M305" s="14">
        <f t="shared" si="4"/>
        <v>0</v>
      </c>
      <c r="N305" s="7" t="s">
        <v>430</v>
      </c>
      <c r="O305" s="12"/>
      <c r="P305" s="12" t="s">
        <v>130</v>
      </c>
    </row>
    <row r="306" spans="1:16" ht="236.25" hidden="1" customHeight="1" x14ac:dyDescent="0.35">
      <c r="A306" s="12">
        <v>7239</v>
      </c>
      <c r="B306" s="12" t="s">
        <v>93</v>
      </c>
      <c r="C306" s="12" t="s">
        <v>98</v>
      </c>
      <c r="D306" s="12" t="s">
        <v>99</v>
      </c>
      <c r="E306" s="12" t="s">
        <v>126</v>
      </c>
      <c r="F306" s="12" t="s">
        <v>66</v>
      </c>
      <c r="G306" s="12" t="s">
        <v>83</v>
      </c>
      <c r="H306" s="12">
        <v>2611606</v>
      </c>
      <c r="I306" s="13">
        <v>45912.988356481503</v>
      </c>
      <c r="J306" s="12" t="s">
        <v>127</v>
      </c>
      <c r="K306" s="12" t="s">
        <v>135</v>
      </c>
      <c r="L306" s="14"/>
      <c r="M306" s="14">
        <f t="shared" si="4"/>
        <v>0</v>
      </c>
      <c r="N306" s="7" t="s">
        <v>431</v>
      </c>
      <c r="O306" s="12"/>
      <c r="P306" s="12" t="s">
        <v>130</v>
      </c>
    </row>
    <row r="307" spans="1:16" ht="34.5" hidden="1" customHeight="1" x14ac:dyDescent="0.35">
      <c r="A307" s="12">
        <v>8243</v>
      </c>
      <c r="B307" s="12" t="s">
        <v>93</v>
      </c>
      <c r="C307" s="12" t="s">
        <v>98</v>
      </c>
      <c r="D307" s="12" t="s">
        <v>99</v>
      </c>
      <c r="E307" s="12" t="s">
        <v>131</v>
      </c>
      <c r="F307" s="12" t="s">
        <v>66</v>
      </c>
      <c r="G307" s="12" t="s">
        <v>83</v>
      </c>
      <c r="H307" s="12">
        <v>2611606</v>
      </c>
      <c r="I307" s="13">
        <v>45912.988356481503</v>
      </c>
      <c r="J307" s="12" t="s">
        <v>127</v>
      </c>
      <c r="K307" s="12" t="s">
        <v>135</v>
      </c>
      <c r="L307" s="14"/>
      <c r="M307" s="14">
        <f t="shared" si="4"/>
        <v>0</v>
      </c>
      <c r="N307" s="7" t="s">
        <v>432</v>
      </c>
      <c r="O307" s="12"/>
      <c r="P307" s="12" t="s">
        <v>130</v>
      </c>
    </row>
    <row r="308" spans="1:16" ht="15" hidden="1" customHeight="1" x14ac:dyDescent="0.35">
      <c r="A308" s="12">
        <v>6405</v>
      </c>
      <c r="B308" s="12" t="s">
        <v>93</v>
      </c>
      <c r="C308" s="12" t="s">
        <v>94</v>
      </c>
      <c r="D308" s="12" t="s">
        <v>95</v>
      </c>
      <c r="E308" s="12" t="s">
        <v>126</v>
      </c>
      <c r="F308" s="12" t="s">
        <v>66</v>
      </c>
      <c r="G308" s="12" t="s">
        <v>84</v>
      </c>
      <c r="H308" s="12">
        <v>1200401</v>
      </c>
      <c r="I308" s="13">
        <v>45912.770775463003</v>
      </c>
      <c r="J308" s="12" t="s">
        <v>127</v>
      </c>
      <c r="K308" s="12" t="s">
        <v>128</v>
      </c>
      <c r="L308" s="14">
        <v>1</v>
      </c>
      <c r="M308" s="14">
        <f t="shared" si="4"/>
        <v>1</v>
      </c>
      <c r="N308" s="7" t="s">
        <v>433</v>
      </c>
      <c r="O308" s="12"/>
      <c r="P308" s="12" t="s">
        <v>130</v>
      </c>
    </row>
    <row r="309" spans="1:16" ht="79.5" hidden="1" customHeight="1" x14ac:dyDescent="0.35">
      <c r="A309" s="12">
        <v>6424</v>
      </c>
      <c r="B309" s="12" t="s">
        <v>93</v>
      </c>
      <c r="C309" s="12" t="s">
        <v>94</v>
      </c>
      <c r="D309" s="12" t="s">
        <v>95</v>
      </c>
      <c r="E309" s="12" t="s">
        <v>131</v>
      </c>
      <c r="F309" s="12" t="s">
        <v>66</v>
      </c>
      <c r="G309" s="12" t="s">
        <v>84</v>
      </c>
      <c r="H309" s="12">
        <v>1200401</v>
      </c>
      <c r="I309" s="13">
        <v>45912.770775463003</v>
      </c>
      <c r="J309" s="12" t="s">
        <v>127</v>
      </c>
      <c r="K309" s="12" t="s">
        <v>135</v>
      </c>
      <c r="L309" s="14"/>
      <c r="M309" s="14">
        <f t="shared" si="4"/>
        <v>0</v>
      </c>
      <c r="N309" s="7" t="s">
        <v>434</v>
      </c>
      <c r="O309" s="12"/>
      <c r="P309" s="12" t="s">
        <v>130</v>
      </c>
    </row>
    <row r="310" spans="1:16" ht="45.75" hidden="1" customHeight="1" x14ac:dyDescent="0.35">
      <c r="A310" s="12">
        <v>6427</v>
      </c>
      <c r="B310" s="12" t="s">
        <v>93</v>
      </c>
      <c r="C310" s="12" t="s">
        <v>94</v>
      </c>
      <c r="D310" s="12" t="s">
        <v>95</v>
      </c>
      <c r="E310" s="12" t="s">
        <v>134</v>
      </c>
      <c r="F310" s="12" t="s">
        <v>66</v>
      </c>
      <c r="G310" s="12" t="s">
        <v>84</v>
      </c>
      <c r="H310" s="12">
        <v>1200401</v>
      </c>
      <c r="I310" s="13">
        <v>45912.770775463003</v>
      </c>
      <c r="J310" s="12" t="s">
        <v>127</v>
      </c>
      <c r="K310" s="12" t="s">
        <v>132</v>
      </c>
      <c r="L310" s="14">
        <v>0.66600000000000004</v>
      </c>
      <c r="M310" s="14">
        <f t="shared" si="4"/>
        <v>0.66600000000000004</v>
      </c>
      <c r="N310" s="7" t="s">
        <v>435</v>
      </c>
      <c r="O310" s="12"/>
      <c r="P310" s="12" t="s">
        <v>130</v>
      </c>
    </row>
    <row r="311" spans="1:16" ht="124.5" hidden="1" customHeight="1" x14ac:dyDescent="0.35">
      <c r="A311" s="12">
        <v>6428</v>
      </c>
      <c r="B311" s="12" t="s">
        <v>93</v>
      </c>
      <c r="C311" s="12" t="s">
        <v>94</v>
      </c>
      <c r="D311" s="12" t="s">
        <v>95</v>
      </c>
      <c r="E311" s="12" t="s">
        <v>137</v>
      </c>
      <c r="F311" s="12" t="s">
        <v>66</v>
      </c>
      <c r="G311" s="12" t="s">
        <v>84</v>
      </c>
      <c r="H311" s="12">
        <v>1200401</v>
      </c>
      <c r="I311" s="13">
        <v>45912.770775463003</v>
      </c>
      <c r="J311" s="12" t="s">
        <v>127</v>
      </c>
      <c r="K311" s="12" t="s">
        <v>135</v>
      </c>
      <c r="L311" s="14"/>
      <c r="M311" s="14">
        <f t="shared" si="4"/>
        <v>0</v>
      </c>
      <c r="N311" s="7" t="s">
        <v>436</v>
      </c>
      <c r="O311" s="12"/>
      <c r="P311" s="12" t="s">
        <v>130</v>
      </c>
    </row>
    <row r="312" spans="1:16" ht="34.5" hidden="1" customHeight="1" x14ac:dyDescent="0.35">
      <c r="A312" s="12">
        <v>6406</v>
      </c>
      <c r="B312" s="12" t="s">
        <v>93</v>
      </c>
      <c r="C312" s="12" t="s">
        <v>96</v>
      </c>
      <c r="D312" s="12" t="s">
        <v>97</v>
      </c>
      <c r="E312" s="12" t="s">
        <v>126</v>
      </c>
      <c r="F312" s="12" t="s">
        <v>66</v>
      </c>
      <c r="G312" s="12" t="s">
        <v>84</v>
      </c>
      <c r="H312" s="12">
        <v>1200401</v>
      </c>
      <c r="I312" s="13">
        <v>45912.770775463003</v>
      </c>
      <c r="J312" s="12" t="s">
        <v>127</v>
      </c>
      <c r="K312" s="12" t="s">
        <v>132</v>
      </c>
      <c r="L312" s="14">
        <v>0.66600000000000004</v>
      </c>
      <c r="M312" s="14">
        <f t="shared" si="4"/>
        <v>0.66600000000000004</v>
      </c>
      <c r="N312" s="7" t="s">
        <v>437</v>
      </c>
      <c r="O312" s="12"/>
      <c r="P312" s="12" t="s">
        <v>130</v>
      </c>
    </row>
    <row r="313" spans="1:16" ht="57" hidden="1" customHeight="1" x14ac:dyDescent="0.35">
      <c r="A313" s="12">
        <v>6407</v>
      </c>
      <c r="B313" s="12" t="s">
        <v>93</v>
      </c>
      <c r="C313" s="12" t="s">
        <v>96</v>
      </c>
      <c r="D313" s="12" t="s">
        <v>97</v>
      </c>
      <c r="E313" s="12" t="s">
        <v>131</v>
      </c>
      <c r="F313" s="12" t="s">
        <v>66</v>
      </c>
      <c r="G313" s="12" t="s">
        <v>84</v>
      </c>
      <c r="H313" s="12">
        <v>1200401</v>
      </c>
      <c r="I313" s="13">
        <v>45912.770775463003</v>
      </c>
      <c r="J313" s="12" t="s">
        <v>127</v>
      </c>
      <c r="K313" s="12" t="s">
        <v>142</v>
      </c>
      <c r="L313" s="14">
        <v>0.33300000000000002</v>
      </c>
      <c r="M313" s="14">
        <f t="shared" si="4"/>
        <v>0.33300000000000002</v>
      </c>
      <c r="N313" s="7" t="s">
        <v>438</v>
      </c>
      <c r="O313" s="12"/>
      <c r="P313" s="12" t="s">
        <v>130</v>
      </c>
    </row>
    <row r="314" spans="1:16" ht="135.75" hidden="1" customHeight="1" x14ac:dyDescent="0.35">
      <c r="A314" s="12">
        <v>6430</v>
      </c>
      <c r="B314" s="12" t="s">
        <v>93</v>
      </c>
      <c r="C314" s="12" t="s">
        <v>96</v>
      </c>
      <c r="D314" s="12" t="s">
        <v>97</v>
      </c>
      <c r="E314" s="12" t="s">
        <v>134</v>
      </c>
      <c r="F314" s="12" t="s">
        <v>66</v>
      </c>
      <c r="G314" s="12" t="s">
        <v>84</v>
      </c>
      <c r="H314" s="12">
        <v>1200401</v>
      </c>
      <c r="I314" s="13">
        <v>45912.770775463003</v>
      </c>
      <c r="J314" s="12" t="s">
        <v>127</v>
      </c>
      <c r="K314" s="12" t="s">
        <v>142</v>
      </c>
      <c r="L314" s="14">
        <v>0.33300000000000002</v>
      </c>
      <c r="M314" s="14">
        <f t="shared" si="4"/>
        <v>0.33300000000000002</v>
      </c>
      <c r="N314" s="7" t="s">
        <v>439</v>
      </c>
      <c r="O314" s="12"/>
      <c r="P314" s="12" t="s">
        <v>130</v>
      </c>
    </row>
    <row r="315" spans="1:16" ht="191.25" hidden="1" customHeight="1" x14ac:dyDescent="0.35">
      <c r="A315" s="12">
        <v>6431</v>
      </c>
      <c r="B315" s="12" t="s">
        <v>93</v>
      </c>
      <c r="C315" s="12" t="s">
        <v>98</v>
      </c>
      <c r="D315" s="12" t="s">
        <v>99</v>
      </c>
      <c r="E315" s="12" t="s">
        <v>126</v>
      </c>
      <c r="F315" s="12" t="s">
        <v>66</v>
      </c>
      <c r="G315" s="12" t="s">
        <v>84</v>
      </c>
      <c r="H315" s="12">
        <v>1200401</v>
      </c>
      <c r="I315" s="13">
        <v>45912.770775463003</v>
      </c>
      <c r="J315" s="12" t="s">
        <v>127</v>
      </c>
      <c r="K315" s="12" t="s">
        <v>135</v>
      </c>
      <c r="L315" s="14"/>
      <c r="M315" s="14">
        <f t="shared" si="4"/>
        <v>0</v>
      </c>
      <c r="N315" s="7" t="s">
        <v>440</v>
      </c>
      <c r="O315" s="12"/>
      <c r="P315" s="12" t="s">
        <v>130</v>
      </c>
    </row>
    <row r="316" spans="1:16" ht="23.25" hidden="1" customHeight="1" x14ac:dyDescent="0.35">
      <c r="A316" s="12">
        <v>8125</v>
      </c>
      <c r="B316" s="12" t="s">
        <v>93</v>
      </c>
      <c r="C316" s="12" t="s">
        <v>98</v>
      </c>
      <c r="D316" s="12" t="s">
        <v>99</v>
      </c>
      <c r="E316" s="12" t="s">
        <v>131</v>
      </c>
      <c r="F316" s="12" t="s">
        <v>66</v>
      </c>
      <c r="G316" s="12" t="s">
        <v>84</v>
      </c>
      <c r="H316" s="12">
        <v>1200401</v>
      </c>
      <c r="I316" s="13">
        <v>45912.770775463003</v>
      </c>
      <c r="J316" s="12" t="s">
        <v>127</v>
      </c>
      <c r="K316" s="12" t="s">
        <v>135</v>
      </c>
      <c r="L316" s="14"/>
      <c r="M316" s="14">
        <f t="shared" si="4"/>
        <v>0</v>
      </c>
      <c r="N316" s="7" t="s">
        <v>441</v>
      </c>
      <c r="O316" s="12"/>
      <c r="P316" s="12" t="s">
        <v>130</v>
      </c>
    </row>
    <row r="317" spans="1:16" ht="168.75" hidden="1" customHeight="1" x14ac:dyDescent="0.35">
      <c r="A317" s="12">
        <v>5949</v>
      </c>
      <c r="B317" s="12" t="s">
        <v>93</v>
      </c>
      <c r="C317" s="12" t="s">
        <v>94</v>
      </c>
      <c r="D317" s="12" t="s">
        <v>95</v>
      </c>
      <c r="E317" s="12" t="s">
        <v>126</v>
      </c>
      <c r="F317" s="12" t="s">
        <v>39</v>
      </c>
      <c r="G317" s="12" t="s">
        <v>57</v>
      </c>
      <c r="H317" s="12">
        <v>24</v>
      </c>
      <c r="I317" s="13">
        <v>45918.651666666701</v>
      </c>
      <c r="J317" s="12" t="s">
        <v>127</v>
      </c>
      <c r="K317" s="12" t="s">
        <v>142</v>
      </c>
      <c r="L317" s="14">
        <v>0.33300000000000002</v>
      </c>
      <c r="M317" s="14">
        <f t="shared" si="4"/>
        <v>0.33300000000000002</v>
      </c>
      <c r="N317" s="7" t="s">
        <v>442</v>
      </c>
      <c r="O317" s="12"/>
      <c r="P317" s="12" t="s">
        <v>130</v>
      </c>
    </row>
    <row r="318" spans="1:16" ht="57" hidden="1" customHeight="1" x14ac:dyDescent="0.35">
      <c r="A318" s="12">
        <v>7081</v>
      </c>
      <c r="B318" s="12" t="s">
        <v>93</v>
      </c>
      <c r="C318" s="12" t="s">
        <v>94</v>
      </c>
      <c r="D318" s="12" t="s">
        <v>95</v>
      </c>
      <c r="E318" s="12" t="s">
        <v>131</v>
      </c>
      <c r="F318" s="12" t="s">
        <v>39</v>
      </c>
      <c r="G318" s="12" t="s">
        <v>57</v>
      </c>
      <c r="H318" s="12">
        <v>24</v>
      </c>
      <c r="I318" s="13">
        <v>45918.651666666701</v>
      </c>
      <c r="J318" s="12" t="s">
        <v>127</v>
      </c>
      <c r="K318" s="12" t="s">
        <v>135</v>
      </c>
      <c r="L318" s="14"/>
      <c r="M318" s="14">
        <f t="shared" si="4"/>
        <v>0</v>
      </c>
      <c r="N318" s="7" t="s">
        <v>443</v>
      </c>
      <c r="O318" s="12"/>
      <c r="P318" s="12" t="s">
        <v>130</v>
      </c>
    </row>
    <row r="319" spans="1:16" ht="34.5" hidden="1" customHeight="1" x14ac:dyDescent="0.35">
      <c r="A319" s="12">
        <v>7082</v>
      </c>
      <c r="B319" s="12" t="s">
        <v>93</v>
      </c>
      <c r="C319" s="12" t="s">
        <v>94</v>
      </c>
      <c r="D319" s="12" t="s">
        <v>95</v>
      </c>
      <c r="E319" s="12" t="s">
        <v>134</v>
      </c>
      <c r="F319" s="12" t="s">
        <v>39</v>
      </c>
      <c r="G319" s="12" t="s">
        <v>57</v>
      </c>
      <c r="H319" s="12">
        <v>24</v>
      </c>
      <c r="I319" s="13">
        <v>45918.651666666701</v>
      </c>
      <c r="J319" s="12" t="s">
        <v>127</v>
      </c>
      <c r="K319" s="12" t="s">
        <v>135</v>
      </c>
      <c r="L319" s="14"/>
      <c r="M319" s="14">
        <f t="shared" si="4"/>
        <v>0</v>
      </c>
      <c r="N319" s="7" t="s">
        <v>444</v>
      </c>
      <c r="O319" s="12"/>
      <c r="P319" s="12" t="s">
        <v>130</v>
      </c>
    </row>
    <row r="320" spans="1:16" ht="34.5" hidden="1" customHeight="1" x14ac:dyDescent="0.35">
      <c r="A320" s="12">
        <v>7055</v>
      </c>
      <c r="B320" s="12" t="s">
        <v>93</v>
      </c>
      <c r="C320" s="12" t="s">
        <v>94</v>
      </c>
      <c r="D320" s="12" t="s">
        <v>95</v>
      </c>
      <c r="E320" s="12" t="s">
        <v>137</v>
      </c>
      <c r="F320" s="12" t="s">
        <v>39</v>
      </c>
      <c r="G320" s="12" t="s">
        <v>57</v>
      </c>
      <c r="H320" s="12">
        <v>24</v>
      </c>
      <c r="I320" s="13">
        <v>45918.651666666701</v>
      </c>
      <c r="J320" s="12" t="s">
        <v>127</v>
      </c>
      <c r="K320" s="12" t="s">
        <v>135</v>
      </c>
      <c r="L320" s="14"/>
      <c r="M320" s="14">
        <f t="shared" si="4"/>
        <v>0</v>
      </c>
      <c r="N320" s="7" t="s">
        <v>445</v>
      </c>
      <c r="O320" s="12"/>
      <c r="P320" s="12" t="s">
        <v>130</v>
      </c>
    </row>
    <row r="321" spans="1:16" ht="34.5" hidden="1" customHeight="1" x14ac:dyDescent="0.35">
      <c r="A321" s="12">
        <v>5605</v>
      </c>
      <c r="B321" s="12" t="s">
        <v>93</v>
      </c>
      <c r="C321" s="12" t="s">
        <v>96</v>
      </c>
      <c r="D321" s="12" t="s">
        <v>97</v>
      </c>
      <c r="E321" s="12" t="s">
        <v>126</v>
      </c>
      <c r="F321" s="12" t="s">
        <v>39</v>
      </c>
      <c r="G321" s="12" t="s">
        <v>57</v>
      </c>
      <c r="H321" s="12">
        <v>24</v>
      </c>
      <c r="I321" s="13">
        <v>45918.651666666701</v>
      </c>
      <c r="J321" s="12" t="s">
        <v>127</v>
      </c>
      <c r="K321" s="12" t="s">
        <v>142</v>
      </c>
      <c r="L321" s="14">
        <v>0.33300000000000002</v>
      </c>
      <c r="M321" s="14">
        <f t="shared" si="4"/>
        <v>0.33300000000000002</v>
      </c>
      <c r="N321" s="7" t="s">
        <v>446</v>
      </c>
      <c r="O321" s="12"/>
      <c r="P321" s="12" t="s">
        <v>130</v>
      </c>
    </row>
    <row r="322" spans="1:16" ht="45.75" hidden="1" customHeight="1" x14ac:dyDescent="0.35">
      <c r="A322" s="12">
        <v>7056</v>
      </c>
      <c r="B322" s="12" t="s">
        <v>93</v>
      </c>
      <c r="C322" s="12" t="s">
        <v>96</v>
      </c>
      <c r="D322" s="12" t="s">
        <v>97</v>
      </c>
      <c r="E322" s="12" t="s">
        <v>131</v>
      </c>
      <c r="F322" s="12" t="s">
        <v>39</v>
      </c>
      <c r="G322" s="12" t="s">
        <v>57</v>
      </c>
      <c r="H322" s="12">
        <v>24</v>
      </c>
      <c r="I322" s="13">
        <v>45918.651666666701</v>
      </c>
      <c r="J322" s="12" t="s">
        <v>127</v>
      </c>
      <c r="K322" s="12" t="s">
        <v>132</v>
      </c>
      <c r="L322" s="14">
        <v>0.66600000000000004</v>
      </c>
      <c r="M322" s="14">
        <f t="shared" ref="M322:M385" si="5">IF(K322="Sem progresso",0,IF(OR(K322="Não avaliado",K322="Não se aplica",K322=""),"",L322))</f>
        <v>0.66600000000000004</v>
      </c>
      <c r="N322" s="7" t="s">
        <v>447</v>
      </c>
      <c r="O322" s="12"/>
      <c r="P322" s="12" t="s">
        <v>130</v>
      </c>
    </row>
    <row r="323" spans="1:16" ht="45.75" hidden="1" customHeight="1" x14ac:dyDescent="0.35">
      <c r="A323" s="12">
        <v>7088</v>
      </c>
      <c r="B323" s="12" t="s">
        <v>93</v>
      </c>
      <c r="C323" s="12" t="s">
        <v>96</v>
      </c>
      <c r="D323" s="12" t="s">
        <v>97</v>
      </c>
      <c r="E323" s="12" t="s">
        <v>134</v>
      </c>
      <c r="F323" s="12" t="s">
        <v>39</v>
      </c>
      <c r="G323" s="12" t="s">
        <v>57</v>
      </c>
      <c r="H323" s="12">
        <v>24</v>
      </c>
      <c r="I323" s="13">
        <v>45918.651666666701</v>
      </c>
      <c r="J323" s="12" t="s">
        <v>127</v>
      </c>
      <c r="K323" s="12" t="s">
        <v>135</v>
      </c>
      <c r="L323" s="14"/>
      <c r="M323" s="14">
        <f t="shared" si="5"/>
        <v>0</v>
      </c>
      <c r="N323" s="7" t="s">
        <v>448</v>
      </c>
      <c r="O323" s="12"/>
      <c r="P323" s="12" t="s">
        <v>130</v>
      </c>
    </row>
    <row r="324" spans="1:16" ht="57" hidden="1" customHeight="1" x14ac:dyDescent="0.35">
      <c r="A324" s="12">
        <v>5972</v>
      </c>
      <c r="B324" s="12" t="s">
        <v>93</v>
      </c>
      <c r="C324" s="12" t="s">
        <v>98</v>
      </c>
      <c r="D324" s="12" t="s">
        <v>99</v>
      </c>
      <c r="E324" s="12" t="s">
        <v>126</v>
      </c>
      <c r="F324" s="12" t="s">
        <v>39</v>
      </c>
      <c r="G324" s="12" t="s">
        <v>57</v>
      </c>
      <c r="H324" s="12">
        <v>24</v>
      </c>
      <c r="I324" s="13">
        <v>45918.651666666701</v>
      </c>
      <c r="J324" s="12" t="s">
        <v>127</v>
      </c>
      <c r="K324" s="12" t="s">
        <v>142</v>
      </c>
      <c r="L324" s="14">
        <v>0.33300000000000002</v>
      </c>
      <c r="M324" s="14">
        <f t="shared" si="5"/>
        <v>0.33300000000000002</v>
      </c>
      <c r="N324" s="7" t="s">
        <v>449</v>
      </c>
      <c r="O324" s="12"/>
      <c r="P324" s="12" t="s">
        <v>130</v>
      </c>
    </row>
    <row r="325" spans="1:16" ht="15" hidden="1" customHeight="1" x14ac:dyDescent="0.35">
      <c r="A325" s="12">
        <v>5973</v>
      </c>
      <c r="B325" s="12" t="s">
        <v>93</v>
      </c>
      <c r="C325" s="12" t="s">
        <v>98</v>
      </c>
      <c r="D325" s="12" t="s">
        <v>99</v>
      </c>
      <c r="E325" s="12" t="s">
        <v>131</v>
      </c>
      <c r="F325" s="12" t="s">
        <v>39</v>
      </c>
      <c r="G325" s="12" t="s">
        <v>57</v>
      </c>
      <c r="H325" s="12">
        <v>24</v>
      </c>
      <c r="I325" s="13">
        <v>45918.651666666701</v>
      </c>
      <c r="J325" s="12" t="s">
        <v>127</v>
      </c>
      <c r="K325" s="12" t="s">
        <v>135</v>
      </c>
      <c r="L325" s="14"/>
      <c r="M325" s="14">
        <f t="shared" si="5"/>
        <v>0</v>
      </c>
      <c r="N325" s="7" t="s">
        <v>450</v>
      </c>
      <c r="O325" s="12"/>
      <c r="P325" s="12" t="s">
        <v>130</v>
      </c>
    </row>
    <row r="326" spans="1:16" ht="213.75" hidden="1" customHeight="1" x14ac:dyDescent="0.35">
      <c r="A326" s="12">
        <v>1910</v>
      </c>
      <c r="B326" s="12" t="s">
        <v>93</v>
      </c>
      <c r="C326" s="12" t="s">
        <v>94</v>
      </c>
      <c r="D326" s="12" t="s">
        <v>95</v>
      </c>
      <c r="E326" s="12" t="s">
        <v>126</v>
      </c>
      <c r="F326" s="12" t="s">
        <v>39</v>
      </c>
      <c r="G326" s="12" t="s">
        <v>58</v>
      </c>
      <c r="H326" s="12">
        <v>43</v>
      </c>
      <c r="I326" s="13">
        <v>45918.842974537001</v>
      </c>
      <c r="J326" s="12" t="s">
        <v>127</v>
      </c>
      <c r="K326" s="12" t="s">
        <v>128</v>
      </c>
      <c r="L326" s="14">
        <v>1</v>
      </c>
      <c r="M326" s="14">
        <f t="shared" si="5"/>
        <v>1</v>
      </c>
      <c r="N326" s="7" t="s">
        <v>451</v>
      </c>
      <c r="O326" s="12"/>
      <c r="P326" s="12" t="s">
        <v>130</v>
      </c>
    </row>
    <row r="327" spans="1:16" ht="191.25" hidden="1" customHeight="1" x14ac:dyDescent="0.35">
      <c r="A327" s="12">
        <v>7186</v>
      </c>
      <c r="B327" s="12" t="s">
        <v>93</v>
      </c>
      <c r="C327" s="12" t="s">
        <v>94</v>
      </c>
      <c r="D327" s="12" t="s">
        <v>95</v>
      </c>
      <c r="E327" s="12" t="s">
        <v>131</v>
      </c>
      <c r="F327" s="12" t="s">
        <v>39</v>
      </c>
      <c r="G327" s="12" t="s">
        <v>58</v>
      </c>
      <c r="H327" s="12">
        <v>43</v>
      </c>
      <c r="I327" s="13">
        <v>45918.842974537001</v>
      </c>
      <c r="J327" s="12" t="s">
        <v>127</v>
      </c>
      <c r="K327" s="12" t="s">
        <v>142</v>
      </c>
      <c r="L327" s="14">
        <v>0.33300000000000002</v>
      </c>
      <c r="M327" s="14">
        <f t="shared" si="5"/>
        <v>0.33300000000000002</v>
      </c>
      <c r="N327" s="7" t="s">
        <v>452</v>
      </c>
      <c r="O327" s="12"/>
      <c r="P327" s="12" t="s">
        <v>130</v>
      </c>
    </row>
    <row r="328" spans="1:16" ht="213.75" hidden="1" customHeight="1" x14ac:dyDescent="0.35">
      <c r="A328" s="12">
        <v>7222</v>
      </c>
      <c r="B328" s="12" t="s">
        <v>93</v>
      </c>
      <c r="C328" s="12" t="s">
        <v>94</v>
      </c>
      <c r="D328" s="12" t="s">
        <v>95</v>
      </c>
      <c r="E328" s="12" t="s">
        <v>134</v>
      </c>
      <c r="F328" s="12" t="s">
        <v>39</v>
      </c>
      <c r="G328" s="12" t="s">
        <v>58</v>
      </c>
      <c r="H328" s="12">
        <v>43</v>
      </c>
      <c r="I328" s="13">
        <v>45918.842974537001</v>
      </c>
      <c r="J328" s="12" t="s">
        <v>127</v>
      </c>
      <c r="K328" s="12" t="s">
        <v>132</v>
      </c>
      <c r="L328" s="14">
        <v>0.66600000000000004</v>
      </c>
      <c r="M328" s="14">
        <f t="shared" si="5"/>
        <v>0.66600000000000004</v>
      </c>
      <c r="N328" s="7" t="s">
        <v>453</v>
      </c>
      <c r="O328" s="12"/>
      <c r="P328" s="12" t="s">
        <v>130</v>
      </c>
    </row>
    <row r="329" spans="1:16" ht="191.25" hidden="1" customHeight="1" x14ac:dyDescent="0.35">
      <c r="A329" s="12">
        <v>7225</v>
      </c>
      <c r="B329" s="12" t="s">
        <v>93</v>
      </c>
      <c r="C329" s="12" t="s">
        <v>94</v>
      </c>
      <c r="D329" s="12" t="s">
        <v>95</v>
      </c>
      <c r="E329" s="12" t="s">
        <v>137</v>
      </c>
      <c r="F329" s="12" t="s">
        <v>39</v>
      </c>
      <c r="G329" s="12" t="s">
        <v>58</v>
      </c>
      <c r="H329" s="12">
        <v>43</v>
      </c>
      <c r="I329" s="13">
        <v>45918.842974537001</v>
      </c>
      <c r="J329" s="12" t="s">
        <v>127</v>
      </c>
      <c r="K329" s="12" t="s">
        <v>142</v>
      </c>
      <c r="L329" s="14">
        <v>0.33300000000000002</v>
      </c>
      <c r="M329" s="14">
        <f t="shared" si="5"/>
        <v>0.33300000000000002</v>
      </c>
      <c r="N329" s="7" t="s">
        <v>454</v>
      </c>
      <c r="O329" s="12"/>
      <c r="P329" s="12" t="s">
        <v>130</v>
      </c>
    </row>
    <row r="330" spans="1:16" ht="147" hidden="1" customHeight="1" x14ac:dyDescent="0.35">
      <c r="A330" s="12">
        <v>7879</v>
      </c>
      <c r="B330" s="12" t="s">
        <v>93</v>
      </c>
      <c r="C330" s="12" t="s">
        <v>96</v>
      </c>
      <c r="D330" s="12" t="s">
        <v>97</v>
      </c>
      <c r="E330" s="12" t="s">
        <v>126</v>
      </c>
      <c r="F330" s="12" t="s">
        <v>39</v>
      </c>
      <c r="G330" s="12" t="s">
        <v>58</v>
      </c>
      <c r="H330" s="12">
        <v>43</v>
      </c>
      <c r="I330" s="13">
        <v>45918.842974537001</v>
      </c>
      <c r="J330" s="12" t="s">
        <v>127</v>
      </c>
      <c r="K330" s="12" t="s">
        <v>128</v>
      </c>
      <c r="L330" s="14">
        <v>1</v>
      </c>
      <c r="M330" s="14">
        <f t="shared" si="5"/>
        <v>1</v>
      </c>
      <c r="N330" s="7" t="s">
        <v>455</v>
      </c>
      <c r="O330" s="12"/>
      <c r="P330" s="12" t="s">
        <v>130</v>
      </c>
    </row>
    <row r="331" spans="1:16" ht="225" hidden="1" customHeight="1" x14ac:dyDescent="0.35">
      <c r="A331" s="12">
        <v>7893</v>
      </c>
      <c r="B331" s="12" t="s">
        <v>93</v>
      </c>
      <c r="C331" s="12" t="s">
        <v>96</v>
      </c>
      <c r="D331" s="12" t="s">
        <v>97</v>
      </c>
      <c r="E331" s="12" t="s">
        <v>131</v>
      </c>
      <c r="F331" s="12" t="s">
        <v>39</v>
      </c>
      <c r="G331" s="12" t="s">
        <v>58</v>
      </c>
      <c r="H331" s="12">
        <v>43</v>
      </c>
      <c r="I331" s="13">
        <v>45918.842974537001</v>
      </c>
      <c r="J331" s="12" t="s">
        <v>127</v>
      </c>
      <c r="K331" s="12" t="s">
        <v>132</v>
      </c>
      <c r="L331" s="14">
        <v>0.66600000000000004</v>
      </c>
      <c r="M331" s="14">
        <f t="shared" si="5"/>
        <v>0.66600000000000004</v>
      </c>
      <c r="N331" s="7" t="s">
        <v>456</v>
      </c>
      <c r="O331" s="12"/>
      <c r="P331" s="12" t="s">
        <v>130</v>
      </c>
    </row>
    <row r="332" spans="1:16" ht="157.5" hidden="1" customHeight="1" x14ac:dyDescent="0.35">
      <c r="A332" s="12">
        <v>7921</v>
      </c>
      <c r="B332" s="12" t="s">
        <v>93</v>
      </c>
      <c r="C332" s="12" t="s">
        <v>96</v>
      </c>
      <c r="D332" s="12" t="s">
        <v>97</v>
      </c>
      <c r="E332" s="12" t="s">
        <v>134</v>
      </c>
      <c r="F332" s="12" t="s">
        <v>39</v>
      </c>
      <c r="G332" s="12" t="s">
        <v>58</v>
      </c>
      <c r="H332" s="12">
        <v>43</v>
      </c>
      <c r="I332" s="13">
        <v>45918.842974537001</v>
      </c>
      <c r="J332" s="12" t="s">
        <v>127</v>
      </c>
      <c r="K332" s="12" t="s">
        <v>128</v>
      </c>
      <c r="L332" s="14">
        <v>1</v>
      </c>
      <c r="M332" s="14">
        <f t="shared" si="5"/>
        <v>1</v>
      </c>
      <c r="N332" s="7" t="s">
        <v>457</v>
      </c>
      <c r="O332" s="12"/>
      <c r="P332" s="12" t="s">
        <v>130</v>
      </c>
    </row>
    <row r="333" spans="1:16" ht="202.5" hidden="1" customHeight="1" x14ac:dyDescent="0.35">
      <c r="A333" s="12">
        <v>8022</v>
      </c>
      <c r="B333" s="12" t="s">
        <v>93</v>
      </c>
      <c r="C333" s="12" t="s">
        <v>98</v>
      </c>
      <c r="D333" s="12" t="s">
        <v>99</v>
      </c>
      <c r="E333" s="12" t="s">
        <v>126</v>
      </c>
      <c r="F333" s="12" t="s">
        <v>39</v>
      </c>
      <c r="G333" s="12" t="s">
        <v>58</v>
      </c>
      <c r="H333" s="12">
        <v>43</v>
      </c>
      <c r="I333" s="13">
        <v>45918.842974537001</v>
      </c>
      <c r="J333" s="12" t="s">
        <v>127</v>
      </c>
      <c r="K333" s="12" t="s">
        <v>132</v>
      </c>
      <c r="L333" s="14">
        <v>0.66600000000000004</v>
      </c>
      <c r="M333" s="14">
        <f t="shared" si="5"/>
        <v>0.66600000000000004</v>
      </c>
      <c r="N333" s="7" t="s">
        <v>458</v>
      </c>
      <c r="O333" s="12"/>
      <c r="P333" s="12" t="s">
        <v>130</v>
      </c>
    </row>
    <row r="334" spans="1:16" ht="147" hidden="1" customHeight="1" x14ac:dyDescent="0.35">
      <c r="A334" s="12">
        <v>8089</v>
      </c>
      <c r="B334" s="12" t="s">
        <v>93</v>
      </c>
      <c r="C334" s="12" t="s">
        <v>98</v>
      </c>
      <c r="D334" s="12" t="s">
        <v>99</v>
      </c>
      <c r="E334" s="12" t="s">
        <v>131</v>
      </c>
      <c r="F334" s="12" t="s">
        <v>39</v>
      </c>
      <c r="G334" s="12" t="s">
        <v>58</v>
      </c>
      <c r="H334" s="12">
        <v>43</v>
      </c>
      <c r="I334" s="13">
        <v>45918.842974537001</v>
      </c>
      <c r="J334" s="12" t="s">
        <v>127</v>
      </c>
      <c r="K334" s="12" t="s">
        <v>135</v>
      </c>
      <c r="L334" s="14"/>
      <c r="M334" s="14">
        <f t="shared" si="5"/>
        <v>0</v>
      </c>
      <c r="N334" s="7" t="s">
        <v>459</v>
      </c>
      <c r="O334" s="12"/>
      <c r="P334" s="12" t="s">
        <v>130</v>
      </c>
    </row>
    <row r="335" spans="1:16" ht="124.5" hidden="1" customHeight="1" x14ac:dyDescent="0.35">
      <c r="A335" s="12">
        <v>6485</v>
      </c>
      <c r="B335" s="12" t="s">
        <v>93</v>
      </c>
      <c r="C335" s="12" t="s">
        <v>94</v>
      </c>
      <c r="D335" s="12" t="s">
        <v>95</v>
      </c>
      <c r="E335" s="12" t="s">
        <v>126</v>
      </c>
      <c r="F335" s="12" t="s">
        <v>39</v>
      </c>
      <c r="G335" s="12" t="s">
        <v>59</v>
      </c>
      <c r="H335" s="12">
        <v>33</v>
      </c>
      <c r="I335" s="13">
        <v>45912.5325115741</v>
      </c>
      <c r="J335" s="12" t="s">
        <v>127</v>
      </c>
      <c r="K335" s="12" t="s">
        <v>132</v>
      </c>
      <c r="L335" s="14">
        <v>0.66600000000000004</v>
      </c>
      <c r="M335" s="14">
        <f t="shared" si="5"/>
        <v>0.66600000000000004</v>
      </c>
      <c r="N335" s="7" t="s">
        <v>460</v>
      </c>
      <c r="O335" s="12"/>
      <c r="P335" s="12" t="s">
        <v>130</v>
      </c>
    </row>
    <row r="336" spans="1:16" ht="236.25" hidden="1" customHeight="1" x14ac:dyDescent="0.35">
      <c r="A336" s="12">
        <v>1882</v>
      </c>
      <c r="B336" s="12" t="s">
        <v>93</v>
      </c>
      <c r="C336" s="12" t="s">
        <v>94</v>
      </c>
      <c r="D336" s="12" t="s">
        <v>95</v>
      </c>
      <c r="E336" s="12" t="s">
        <v>126</v>
      </c>
      <c r="F336" s="12" t="s">
        <v>66</v>
      </c>
      <c r="G336" s="12" t="s">
        <v>59</v>
      </c>
      <c r="H336" s="12">
        <v>3304557</v>
      </c>
      <c r="I336" s="13">
        <v>45910.8656597222</v>
      </c>
      <c r="J336" s="12" t="s">
        <v>127</v>
      </c>
      <c r="K336" s="12" t="s">
        <v>128</v>
      </c>
      <c r="L336" s="14">
        <v>1</v>
      </c>
      <c r="M336" s="14">
        <f t="shared" si="5"/>
        <v>1</v>
      </c>
      <c r="N336" s="7" t="s">
        <v>461</v>
      </c>
      <c r="O336" s="12"/>
      <c r="P336" s="12" t="s">
        <v>130</v>
      </c>
    </row>
    <row r="337" spans="1:16" ht="225" hidden="1" customHeight="1" x14ac:dyDescent="0.35">
      <c r="A337" s="12">
        <v>1899</v>
      </c>
      <c r="B337" s="12" t="s">
        <v>93</v>
      </c>
      <c r="C337" s="12" t="s">
        <v>94</v>
      </c>
      <c r="D337" s="12" t="s">
        <v>95</v>
      </c>
      <c r="E337" s="12" t="s">
        <v>131</v>
      </c>
      <c r="F337" s="12" t="s">
        <v>66</v>
      </c>
      <c r="G337" s="12" t="s">
        <v>59</v>
      </c>
      <c r="H337" s="12">
        <v>3304557</v>
      </c>
      <c r="I337" s="13">
        <v>45910.8656597222</v>
      </c>
      <c r="J337" s="12" t="s">
        <v>127</v>
      </c>
      <c r="K337" s="12" t="s">
        <v>132</v>
      </c>
      <c r="L337" s="14">
        <v>0.66600000000000004</v>
      </c>
      <c r="M337" s="14">
        <f t="shared" si="5"/>
        <v>0.66600000000000004</v>
      </c>
      <c r="N337" s="7" t="s">
        <v>462</v>
      </c>
      <c r="O337" s="12"/>
      <c r="P337" s="12" t="s">
        <v>130</v>
      </c>
    </row>
    <row r="338" spans="1:16" ht="247.5" hidden="1" customHeight="1" x14ac:dyDescent="0.35">
      <c r="A338" s="12">
        <v>6566</v>
      </c>
      <c r="B338" s="12" t="s">
        <v>93</v>
      </c>
      <c r="C338" s="12" t="s">
        <v>94</v>
      </c>
      <c r="D338" s="12" t="s">
        <v>95</v>
      </c>
      <c r="E338" s="12" t="s">
        <v>131</v>
      </c>
      <c r="F338" s="12" t="s">
        <v>39</v>
      </c>
      <c r="G338" s="12" t="s">
        <v>59</v>
      </c>
      <c r="H338" s="12">
        <v>33</v>
      </c>
      <c r="I338" s="13">
        <v>45912.5325115741</v>
      </c>
      <c r="J338" s="12" t="s">
        <v>127</v>
      </c>
      <c r="K338" s="12" t="s">
        <v>142</v>
      </c>
      <c r="L338" s="14">
        <v>0.33300000000000002</v>
      </c>
      <c r="M338" s="14">
        <f t="shared" si="5"/>
        <v>0.33300000000000002</v>
      </c>
      <c r="N338" s="7" t="s">
        <v>463</v>
      </c>
      <c r="O338" s="12"/>
      <c r="P338" s="12" t="s">
        <v>130</v>
      </c>
    </row>
    <row r="339" spans="1:16" ht="236.25" hidden="1" customHeight="1" x14ac:dyDescent="0.35">
      <c r="A339" s="12">
        <v>1909</v>
      </c>
      <c r="B339" s="12" t="s">
        <v>93</v>
      </c>
      <c r="C339" s="12" t="s">
        <v>94</v>
      </c>
      <c r="D339" s="12" t="s">
        <v>95</v>
      </c>
      <c r="E339" s="12" t="s">
        <v>134</v>
      </c>
      <c r="F339" s="12" t="s">
        <v>66</v>
      </c>
      <c r="G339" s="12" t="s">
        <v>59</v>
      </c>
      <c r="H339" s="12">
        <v>3304557</v>
      </c>
      <c r="I339" s="13">
        <v>45910.8656597222</v>
      </c>
      <c r="J339" s="12" t="s">
        <v>127</v>
      </c>
      <c r="K339" s="12" t="s">
        <v>142</v>
      </c>
      <c r="L339" s="14">
        <v>0.33300000000000002</v>
      </c>
      <c r="M339" s="14">
        <f t="shared" si="5"/>
        <v>0.33300000000000002</v>
      </c>
      <c r="N339" s="7" t="s">
        <v>464</v>
      </c>
      <c r="O339" s="12"/>
      <c r="P339" s="12" t="s">
        <v>130</v>
      </c>
    </row>
    <row r="340" spans="1:16" ht="213.75" hidden="1" customHeight="1" x14ac:dyDescent="0.35">
      <c r="A340" s="12">
        <v>6672</v>
      </c>
      <c r="B340" s="12" t="s">
        <v>93</v>
      </c>
      <c r="C340" s="12" t="s">
        <v>94</v>
      </c>
      <c r="D340" s="12" t="s">
        <v>95</v>
      </c>
      <c r="E340" s="12" t="s">
        <v>134</v>
      </c>
      <c r="F340" s="12" t="s">
        <v>39</v>
      </c>
      <c r="G340" s="12" t="s">
        <v>59</v>
      </c>
      <c r="H340" s="12">
        <v>33</v>
      </c>
      <c r="I340" s="13">
        <v>45912.5325115741</v>
      </c>
      <c r="J340" s="12" t="s">
        <v>127</v>
      </c>
      <c r="K340" s="12" t="s">
        <v>128</v>
      </c>
      <c r="L340" s="14">
        <v>1</v>
      </c>
      <c r="M340" s="14">
        <f t="shared" si="5"/>
        <v>1</v>
      </c>
      <c r="N340" s="7" t="s">
        <v>465</v>
      </c>
      <c r="O340" s="12"/>
      <c r="P340" s="12" t="s">
        <v>130</v>
      </c>
    </row>
    <row r="341" spans="1:16" ht="225" hidden="1" customHeight="1" x14ac:dyDescent="0.35">
      <c r="A341" s="12">
        <v>7569</v>
      </c>
      <c r="B341" s="12" t="s">
        <v>93</v>
      </c>
      <c r="C341" s="12" t="s">
        <v>94</v>
      </c>
      <c r="D341" s="12" t="s">
        <v>95</v>
      </c>
      <c r="E341" s="12" t="s">
        <v>137</v>
      </c>
      <c r="F341" s="12" t="s">
        <v>66</v>
      </c>
      <c r="G341" s="12" t="s">
        <v>59</v>
      </c>
      <c r="H341" s="12">
        <v>3304557</v>
      </c>
      <c r="I341" s="13">
        <v>45910.8656597222</v>
      </c>
      <c r="J341" s="12" t="s">
        <v>127</v>
      </c>
      <c r="K341" s="12" t="s">
        <v>132</v>
      </c>
      <c r="L341" s="14">
        <v>0.66600000000000004</v>
      </c>
      <c r="M341" s="14">
        <f t="shared" si="5"/>
        <v>0.66600000000000004</v>
      </c>
      <c r="N341" s="7" t="s">
        <v>466</v>
      </c>
      <c r="O341" s="12"/>
      <c r="P341" s="12" t="s">
        <v>130</v>
      </c>
    </row>
    <row r="342" spans="1:16" ht="90.75" hidden="1" customHeight="1" x14ac:dyDescent="0.35">
      <c r="A342" s="12">
        <v>6697</v>
      </c>
      <c r="B342" s="12" t="s">
        <v>93</v>
      </c>
      <c r="C342" s="12" t="s">
        <v>94</v>
      </c>
      <c r="D342" s="12" t="s">
        <v>95</v>
      </c>
      <c r="E342" s="12" t="s">
        <v>137</v>
      </c>
      <c r="F342" s="12" t="s">
        <v>39</v>
      </c>
      <c r="G342" s="12" t="s">
        <v>59</v>
      </c>
      <c r="H342" s="12">
        <v>33</v>
      </c>
      <c r="I342" s="13">
        <v>45912.5325115741</v>
      </c>
      <c r="J342" s="12" t="s">
        <v>127</v>
      </c>
      <c r="K342" s="12" t="s">
        <v>142</v>
      </c>
      <c r="L342" s="14">
        <v>0.33300000000000002</v>
      </c>
      <c r="M342" s="14">
        <f t="shared" si="5"/>
        <v>0.33300000000000002</v>
      </c>
      <c r="N342" s="7" t="s">
        <v>467</v>
      </c>
      <c r="O342" s="12"/>
      <c r="P342" s="12" t="s">
        <v>130</v>
      </c>
    </row>
    <row r="343" spans="1:16" ht="191.25" hidden="1" customHeight="1" x14ac:dyDescent="0.35">
      <c r="A343" s="12">
        <v>7365</v>
      </c>
      <c r="B343" s="12" t="s">
        <v>93</v>
      </c>
      <c r="C343" s="12" t="s">
        <v>96</v>
      </c>
      <c r="D343" s="12" t="s">
        <v>97</v>
      </c>
      <c r="E343" s="12" t="s">
        <v>126</v>
      </c>
      <c r="F343" s="12" t="s">
        <v>39</v>
      </c>
      <c r="G343" s="12" t="s">
        <v>59</v>
      </c>
      <c r="H343" s="12">
        <v>33</v>
      </c>
      <c r="I343" s="13">
        <v>45912.5325115741</v>
      </c>
      <c r="J343" s="12" t="s">
        <v>127</v>
      </c>
      <c r="K343" s="12" t="s">
        <v>142</v>
      </c>
      <c r="L343" s="14">
        <v>0.33300000000000002</v>
      </c>
      <c r="M343" s="14">
        <f t="shared" si="5"/>
        <v>0.33300000000000002</v>
      </c>
      <c r="N343" s="7" t="s">
        <v>468</v>
      </c>
      <c r="O343" s="12"/>
      <c r="P343" s="12" t="s">
        <v>130</v>
      </c>
    </row>
    <row r="344" spans="1:16" ht="225" hidden="1" customHeight="1" x14ac:dyDescent="0.35">
      <c r="A344" s="12">
        <v>7722</v>
      </c>
      <c r="B344" s="12" t="s">
        <v>93</v>
      </c>
      <c r="C344" s="12" t="s">
        <v>96</v>
      </c>
      <c r="D344" s="12" t="s">
        <v>97</v>
      </c>
      <c r="E344" s="12" t="s">
        <v>126</v>
      </c>
      <c r="F344" s="12" t="s">
        <v>66</v>
      </c>
      <c r="G344" s="12" t="s">
        <v>59</v>
      </c>
      <c r="H344" s="12">
        <v>3304557</v>
      </c>
      <c r="I344" s="13">
        <v>45910.8656597222</v>
      </c>
      <c r="J344" s="12" t="s">
        <v>127</v>
      </c>
      <c r="K344" s="12" t="s">
        <v>128</v>
      </c>
      <c r="L344" s="14">
        <v>1</v>
      </c>
      <c r="M344" s="14">
        <f t="shared" si="5"/>
        <v>1</v>
      </c>
      <c r="N344" s="7" t="s">
        <v>469</v>
      </c>
      <c r="O344" s="12"/>
      <c r="P344" s="12" t="s">
        <v>130</v>
      </c>
    </row>
    <row r="345" spans="1:16" ht="236.25" hidden="1" customHeight="1" x14ac:dyDescent="0.35">
      <c r="A345" s="12">
        <v>7705</v>
      </c>
      <c r="B345" s="12" t="s">
        <v>93</v>
      </c>
      <c r="C345" s="12" t="s">
        <v>96</v>
      </c>
      <c r="D345" s="12" t="s">
        <v>97</v>
      </c>
      <c r="E345" s="12" t="s">
        <v>131</v>
      </c>
      <c r="F345" s="12" t="s">
        <v>66</v>
      </c>
      <c r="G345" s="12" t="s">
        <v>59</v>
      </c>
      <c r="H345" s="12">
        <v>3304557</v>
      </c>
      <c r="I345" s="13">
        <v>45910.8656597222</v>
      </c>
      <c r="J345" s="12" t="s">
        <v>127</v>
      </c>
      <c r="K345" s="12" t="s">
        <v>128</v>
      </c>
      <c r="L345" s="14">
        <v>1</v>
      </c>
      <c r="M345" s="14">
        <f t="shared" si="5"/>
        <v>1</v>
      </c>
      <c r="N345" s="7" t="s">
        <v>470</v>
      </c>
      <c r="O345" s="12"/>
      <c r="P345" s="12" t="s">
        <v>130</v>
      </c>
    </row>
    <row r="346" spans="1:16" ht="168.75" hidden="1" customHeight="1" x14ac:dyDescent="0.35">
      <c r="A346" s="12">
        <v>7384</v>
      </c>
      <c r="B346" s="12" t="s">
        <v>93</v>
      </c>
      <c r="C346" s="12" t="s">
        <v>96</v>
      </c>
      <c r="D346" s="12" t="s">
        <v>97</v>
      </c>
      <c r="E346" s="12" t="s">
        <v>131</v>
      </c>
      <c r="F346" s="12" t="s">
        <v>39</v>
      </c>
      <c r="G346" s="12" t="s">
        <v>59</v>
      </c>
      <c r="H346" s="12">
        <v>33</v>
      </c>
      <c r="I346" s="13">
        <v>45912.5325115741</v>
      </c>
      <c r="J346" s="12" t="s">
        <v>127</v>
      </c>
      <c r="K346" s="12" t="s">
        <v>132</v>
      </c>
      <c r="L346" s="14">
        <v>0.66600000000000004</v>
      </c>
      <c r="M346" s="14">
        <f t="shared" si="5"/>
        <v>0.66600000000000004</v>
      </c>
      <c r="N346" s="7" t="s">
        <v>471</v>
      </c>
      <c r="O346" s="12"/>
      <c r="P346" s="12" t="s">
        <v>130</v>
      </c>
    </row>
    <row r="347" spans="1:16" ht="225" hidden="1" customHeight="1" x14ac:dyDescent="0.35">
      <c r="A347" s="12">
        <v>7723</v>
      </c>
      <c r="B347" s="12" t="s">
        <v>93</v>
      </c>
      <c r="C347" s="12" t="s">
        <v>96</v>
      </c>
      <c r="D347" s="12" t="s">
        <v>97</v>
      </c>
      <c r="E347" s="12" t="s">
        <v>134</v>
      </c>
      <c r="F347" s="12" t="s">
        <v>66</v>
      </c>
      <c r="G347" s="12" t="s">
        <v>59</v>
      </c>
      <c r="H347" s="12">
        <v>3304557</v>
      </c>
      <c r="I347" s="13">
        <v>45910.8656597222</v>
      </c>
      <c r="J347" s="12" t="s">
        <v>127</v>
      </c>
      <c r="K347" s="12" t="s">
        <v>132</v>
      </c>
      <c r="L347" s="14">
        <v>0.66600000000000004</v>
      </c>
      <c r="M347" s="14">
        <f t="shared" si="5"/>
        <v>0.66600000000000004</v>
      </c>
      <c r="N347" s="7" t="s">
        <v>472</v>
      </c>
      <c r="O347" s="12"/>
      <c r="P347" s="12" t="s">
        <v>130</v>
      </c>
    </row>
    <row r="348" spans="1:16" ht="168.75" hidden="1" customHeight="1" x14ac:dyDescent="0.35">
      <c r="A348" s="12">
        <v>6328</v>
      </c>
      <c r="B348" s="12" t="s">
        <v>93</v>
      </c>
      <c r="C348" s="12" t="s">
        <v>96</v>
      </c>
      <c r="D348" s="12" t="s">
        <v>97</v>
      </c>
      <c r="E348" s="12" t="s">
        <v>134</v>
      </c>
      <c r="F348" s="12" t="s">
        <v>39</v>
      </c>
      <c r="G348" s="12" t="s">
        <v>59</v>
      </c>
      <c r="H348" s="12">
        <v>33</v>
      </c>
      <c r="I348" s="13">
        <v>45912.5325115741</v>
      </c>
      <c r="J348" s="12" t="s">
        <v>127</v>
      </c>
      <c r="K348" s="12" t="s">
        <v>135</v>
      </c>
      <c r="L348" s="14"/>
      <c r="M348" s="14">
        <f t="shared" si="5"/>
        <v>0</v>
      </c>
      <c r="N348" s="7" t="s">
        <v>473</v>
      </c>
      <c r="O348" s="12"/>
      <c r="P348" s="12" t="s">
        <v>130</v>
      </c>
    </row>
    <row r="349" spans="1:16" ht="34.5" hidden="1" customHeight="1" x14ac:dyDescent="0.35">
      <c r="A349" s="12">
        <v>6192</v>
      </c>
      <c r="B349" s="12" t="s">
        <v>93</v>
      </c>
      <c r="C349" s="12" t="s">
        <v>98</v>
      </c>
      <c r="D349" s="12" t="s">
        <v>99</v>
      </c>
      <c r="E349" s="12" t="s">
        <v>126</v>
      </c>
      <c r="F349" s="12" t="s">
        <v>39</v>
      </c>
      <c r="G349" s="12" t="s">
        <v>59</v>
      </c>
      <c r="H349" s="12">
        <v>33</v>
      </c>
      <c r="I349" s="13">
        <v>45912.5325115741</v>
      </c>
      <c r="J349" s="12" t="s">
        <v>127</v>
      </c>
      <c r="K349" s="12" t="s">
        <v>135</v>
      </c>
      <c r="L349" s="14"/>
      <c r="M349" s="14">
        <f t="shared" si="5"/>
        <v>0</v>
      </c>
      <c r="N349" s="7" t="s">
        <v>474</v>
      </c>
      <c r="O349" s="12"/>
      <c r="P349" s="12" t="s">
        <v>130</v>
      </c>
    </row>
    <row r="350" spans="1:16" ht="236.25" hidden="1" customHeight="1" x14ac:dyDescent="0.35">
      <c r="A350" s="12">
        <v>7709</v>
      </c>
      <c r="B350" s="12" t="s">
        <v>93</v>
      </c>
      <c r="C350" s="12" t="s">
        <v>98</v>
      </c>
      <c r="D350" s="12" t="s">
        <v>99</v>
      </c>
      <c r="E350" s="12" t="s">
        <v>126</v>
      </c>
      <c r="F350" s="12" t="s">
        <v>66</v>
      </c>
      <c r="G350" s="12" t="s">
        <v>59</v>
      </c>
      <c r="H350" s="12">
        <v>3304557</v>
      </c>
      <c r="I350" s="13">
        <v>45910.8656597222</v>
      </c>
      <c r="J350" s="12" t="s">
        <v>127</v>
      </c>
      <c r="K350" s="12" t="s">
        <v>128</v>
      </c>
      <c r="L350" s="14">
        <v>1</v>
      </c>
      <c r="M350" s="14">
        <f t="shared" si="5"/>
        <v>1</v>
      </c>
      <c r="N350" s="7" t="s">
        <v>475</v>
      </c>
      <c r="O350" s="12"/>
      <c r="P350" s="12" t="s">
        <v>130</v>
      </c>
    </row>
    <row r="351" spans="1:16" ht="45.75" hidden="1" customHeight="1" x14ac:dyDescent="0.35">
      <c r="A351" s="12">
        <v>6206</v>
      </c>
      <c r="B351" s="12" t="s">
        <v>93</v>
      </c>
      <c r="C351" s="12" t="s">
        <v>98</v>
      </c>
      <c r="D351" s="12" t="s">
        <v>99</v>
      </c>
      <c r="E351" s="12" t="s">
        <v>131</v>
      </c>
      <c r="F351" s="12" t="s">
        <v>39</v>
      </c>
      <c r="G351" s="12" t="s">
        <v>59</v>
      </c>
      <c r="H351" s="12">
        <v>33</v>
      </c>
      <c r="I351" s="13">
        <v>45912.5325115741</v>
      </c>
      <c r="J351" s="12" t="s">
        <v>127</v>
      </c>
      <c r="K351" s="12" t="s">
        <v>135</v>
      </c>
      <c r="L351" s="14"/>
      <c r="M351" s="14">
        <f t="shared" si="5"/>
        <v>0</v>
      </c>
      <c r="N351" s="7" t="s">
        <v>476</v>
      </c>
      <c r="O351" s="12"/>
      <c r="P351" s="12" t="s">
        <v>130</v>
      </c>
    </row>
    <row r="352" spans="1:16" ht="135.75" hidden="1" customHeight="1" x14ac:dyDescent="0.35">
      <c r="A352" s="12">
        <v>7885</v>
      </c>
      <c r="B352" s="12" t="s">
        <v>93</v>
      </c>
      <c r="C352" s="12" t="s">
        <v>98</v>
      </c>
      <c r="D352" s="12" t="s">
        <v>99</v>
      </c>
      <c r="E352" s="12" t="s">
        <v>131</v>
      </c>
      <c r="F352" s="12" t="s">
        <v>66</v>
      </c>
      <c r="G352" s="12" t="s">
        <v>59</v>
      </c>
      <c r="H352" s="12">
        <v>3304557</v>
      </c>
      <c r="I352" s="13">
        <v>45910.8656597222</v>
      </c>
      <c r="J352" s="12" t="s">
        <v>127</v>
      </c>
      <c r="K352" s="12" t="s">
        <v>142</v>
      </c>
      <c r="L352" s="14">
        <v>0.33300000000000002</v>
      </c>
      <c r="M352" s="14">
        <f t="shared" si="5"/>
        <v>0.33300000000000002</v>
      </c>
      <c r="N352" s="7" t="s">
        <v>477</v>
      </c>
      <c r="O352" s="12"/>
      <c r="P352" s="12" t="s">
        <v>130</v>
      </c>
    </row>
    <row r="353" spans="1:16" ht="45.75" hidden="1" customHeight="1" x14ac:dyDescent="0.35">
      <c r="A353" s="12">
        <v>7179</v>
      </c>
      <c r="B353" s="12" t="s">
        <v>93</v>
      </c>
      <c r="C353" s="12" t="s">
        <v>94</v>
      </c>
      <c r="D353" s="12" t="s">
        <v>95</v>
      </c>
      <c r="E353" s="12" t="s">
        <v>126</v>
      </c>
      <c r="F353" s="12" t="s">
        <v>39</v>
      </c>
      <c r="G353" s="12" t="s">
        <v>60</v>
      </c>
      <c r="H353" s="12">
        <v>11</v>
      </c>
      <c r="I353" s="13">
        <v>45931.068078703698</v>
      </c>
      <c r="J353" s="12" t="s">
        <v>127</v>
      </c>
      <c r="K353" s="12" t="s">
        <v>142</v>
      </c>
      <c r="L353" s="14">
        <v>0.33300000000000002</v>
      </c>
      <c r="M353" s="14">
        <f t="shared" si="5"/>
        <v>0.33300000000000002</v>
      </c>
      <c r="N353" s="7" t="s">
        <v>478</v>
      </c>
      <c r="O353" s="12"/>
      <c r="P353" s="12" t="s">
        <v>130</v>
      </c>
    </row>
    <row r="354" spans="1:16" ht="68.25" hidden="1" customHeight="1" x14ac:dyDescent="0.35">
      <c r="A354" s="12">
        <v>9221</v>
      </c>
      <c r="B354" s="12" t="s">
        <v>93</v>
      </c>
      <c r="C354" s="12" t="s">
        <v>94</v>
      </c>
      <c r="D354" s="12" t="s">
        <v>95</v>
      </c>
      <c r="E354" s="12" t="s">
        <v>131</v>
      </c>
      <c r="F354" s="12" t="s">
        <v>39</v>
      </c>
      <c r="G354" s="12" t="s">
        <v>60</v>
      </c>
      <c r="H354" s="12">
        <v>11</v>
      </c>
      <c r="I354" s="13">
        <v>45931.068078703698</v>
      </c>
      <c r="J354" s="12" t="s">
        <v>127</v>
      </c>
      <c r="K354" s="12" t="s">
        <v>135</v>
      </c>
      <c r="L354" s="14"/>
      <c r="M354" s="14">
        <f t="shared" si="5"/>
        <v>0</v>
      </c>
      <c r="N354" s="7" t="s">
        <v>479</v>
      </c>
      <c r="O354" s="12"/>
      <c r="P354" s="12" t="s">
        <v>130</v>
      </c>
    </row>
    <row r="355" spans="1:16" ht="34.5" hidden="1" customHeight="1" x14ac:dyDescent="0.35">
      <c r="A355" s="12">
        <v>9223</v>
      </c>
      <c r="B355" s="12" t="s">
        <v>93</v>
      </c>
      <c r="C355" s="12" t="s">
        <v>94</v>
      </c>
      <c r="D355" s="12" t="s">
        <v>95</v>
      </c>
      <c r="E355" s="12" t="s">
        <v>134</v>
      </c>
      <c r="F355" s="12" t="s">
        <v>39</v>
      </c>
      <c r="G355" s="12" t="s">
        <v>60</v>
      </c>
      <c r="H355" s="12">
        <v>11</v>
      </c>
      <c r="I355" s="13">
        <v>45931.068078703698</v>
      </c>
      <c r="J355" s="12" t="s">
        <v>127</v>
      </c>
      <c r="K355" s="12" t="s">
        <v>135</v>
      </c>
      <c r="L355" s="14"/>
      <c r="M355" s="14">
        <f t="shared" si="5"/>
        <v>0</v>
      </c>
      <c r="N355" s="7" t="s">
        <v>480</v>
      </c>
      <c r="O355" s="12"/>
      <c r="P355" s="12" t="s">
        <v>130</v>
      </c>
    </row>
    <row r="356" spans="1:16" ht="57" hidden="1" customHeight="1" x14ac:dyDescent="0.35">
      <c r="A356" s="12">
        <v>7207</v>
      </c>
      <c r="B356" s="12" t="s">
        <v>93</v>
      </c>
      <c r="C356" s="12" t="s">
        <v>94</v>
      </c>
      <c r="D356" s="12" t="s">
        <v>95</v>
      </c>
      <c r="E356" s="12" t="s">
        <v>137</v>
      </c>
      <c r="F356" s="12" t="s">
        <v>39</v>
      </c>
      <c r="G356" s="12" t="s">
        <v>60</v>
      </c>
      <c r="H356" s="12">
        <v>11</v>
      </c>
      <c r="I356" s="13">
        <v>45931.068078703698</v>
      </c>
      <c r="J356" s="12" t="s">
        <v>127</v>
      </c>
      <c r="K356" s="12" t="s">
        <v>132</v>
      </c>
      <c r="L356" s="14">
        <v>0.66600000000000004</v>
      </c>
      <c r="M356" s="14">
        <f t="shared" si="5"/>
        <v>0.66600000000000004</v>
      </c>
      <c r="N356" s="7" t="s">
        <v>481</v>
      </c>
      <c r="O356" s="12"/>
      <c r="P356" s="12" t="s">
        <v>130</v>
      </c>
    </row>
    <row r="357" spans="1:16" ht="79.5" hidden="1" customHeight="1" x14ac:dyDescent="0.35">
      <c r="A357" s="12">
        <v>9241</v>
      </c>
      <c r="B357" s="12" t="s">
        <v>93</v>
      </c>
      <c r="C357" s="12" t="s">
        <v>96</v>
      </c>
      <c r="D357" s="12" t="s">
        <v>97</v>
      </c>
      <c r="E357" s="12" t="s">
        <v>126</v>
      </c>
      <c r="F357" s="12" t="s">
        <v>39</v>
      </c>
      <c r="G357" s="12" t="s">
        <v>60</v>
      </c>
      <c r="H357" s="12">
        <v>11</v>
      </c>
      <c r="I357" s="13">
        <v>45931.068078703698</v>
      </c>
      <c r="J357" s="12" t="s">
        <v>127</v>
      </c>
      <c r="K357" s="12" t="s">
        <v>132</v>
      </c>
      <c r="L357" s="14">
        <v>0.66600000000000004</v>
      </c>
      <c r="M357" s="14">
        <f t="shared" si="5"/>
        <v>0.66600000000000004</v>
      </c>
      <c r="N357" s="7" t="s">
        <v>482</v>
      </c>
      <c r="O357" s="12"/>
      <c r="P357" s="12" t="s">
        <v>130</v>
      </c>
    </row>
    <row r="358" spans="1:16" ht="68.25" hidden="1" customHeight="1" x14ac:dyDescent="0.35">
      <c r="A358" s="12">
        <v>9224</v>
      </c>
      <c r="B358" s="12" t="s">
        <v>93</v>
      </c>
      <c r="C358" s="12" t="s">
        <v>96</v>
      </c>
      <c r="D358" s="12" t="s">
        <v>97</v>
      </c>
      <c r="E358" s="12" t="s">
        <v>131</v>
      </c>
      <c r="F358" s="12" t="s">
        <v>39</v>
      </c>
      <c r="G358" s="12" t="s">
        <v>60</v>
      </c>
      <c r="H358" s="12">
        <v>11</v>
      </c>
      <c r="I358" s="13">
        <v>45931.068078703698</v>
      </c>
      <c r="J358" s="12" t="s">
        <v>127</v>
      </c>
      <c r="K358" s="12" t="s">
        <v>132</v>
      </c>
      <c r="L358" s="14">
        <v>0.66600000000000004</v>
      </c>
      <c r="M358" s="14">
        <f t="shared" si="5"/>
        <v>0.66600000000000004</v>
      </c>
      <c r="N358" s="7" t="s">
        <v>483</v>
      </c>
      <c r="O358" s="12"/>
      <c r="P358" s="12" t="s">
        <v>130</v>
      </c>
    </row>
    <row r="359" spans="1:16" ht="79.5" hidden="1" customHeight="1" x14ac:dyDescent="0.35">
      <c r="A359" s="12">
        <v>9242</v>
      </c>
      <c r="B359" s="12" t="s">
        <v>93</v>
      </c>
      <c r="C359" s="12" t="s">
        <v>96</v>
      </c>
      <c r="D359" s="12" t="s">
        <v>97</v>
      </c>
      <c r="E359" s="12" t="s">
        <v>134</v>
      </c>
      <c r="F359" s="12" t="s">
        <v>39</v>
      </c>
      <c r="G359" s="12" t="s">
        <v>60</v>
      </c>
      <c r="H359" s="12">
        <v>11</v>
      </c>
      <c r="I359" s="13">
        <v>45931.068078703698</v>
      </c>
      <c r="J359" s="12" t="s">
        <v>127</v>
      </c>
      <c r="K359" s="12" t="s">
        <v>135</v>
      </c>
      <c r="L359" s="14"/>
      <c r="M359" s="14">
        <f t="shared" si="5"/>
        <v>0</v>
      </c>
      <c r="N359" s="7" t="s">
        <v>484</v>
      </c>
      <c r="O359" s="12"/>
      <c r="P359" s="12" t="s">
        <v>130</v>
      </c>
    </row>
    <row r="360" spans="1:16" ht="34.5" hidden="1" customHeight="1" x14ac:dyDescent="0.35">
      <c r="A360" s="12">
        <v>9225</v>
      </c>
      <c r="B360" s="12" t="s">
        <v>93</v>
      </c>
      <c r="C360" s="12" t="s">
        <v>98</v>
      </c>
      <c r="D360" s="12" t="s">
        <v>99</v>
      </c>
      <c r="E360" s="12" t="s">
        <v>126</v>
      </c>
      <c r="F360" s="12" t="s">
        <v>39</v>
      </c>
      <c r="G360" s="12" t="s">
        <v>60</v>
      </c>
      <c r="H360" s="12">
        <v>11</v>
      </c>
      <c r="I360" s="13">
        <v>45931.068078703698</v>
      </c>
      <c r="J360" s="12" t="s">
        <v>127</v>
      </c>
      <c r="K360" s="12" t="s">
        <v>135</v>
      </c>
      <c r="L360" s="14"/>
      <c r="M360" s="14">
        <f t="shared" si="5"/>
        <v>0</v>
      </c>
      <c r="N360" s="7" t="s">
        <v>485</v>
      </c>
      <c r="O360" s="12"/>
      <c r="P360" s="12"/>
    </row>
    <row r="361" spans="1:16" ht="68.25" hidden="1" customHeight="1" x14ac:dyDescent="0.35">
      <c r="A361" s="12">
        <v>9261</v>
      </c>
      <c r="B361" s="12" t="s">
        <v>93</v>
      </c>
      <c r="C361" s="12" t="s">
        <v>98</v>
      </c>
      <c r="D361" s="12" t="s">
        <v>99</v>
      </c>
      <c r="E361" s="12" t="s">
        <v>131</v>
      </c>
      <c r="F361" s="12" t="s">
        <v>39</v>
      </c>
      <c r="G361" s="12" t="s">
        <v>60</v>
      </c>
      <c r="H361" s="12">
        <v>11</v>
      </c>
      <c r="I361" s="13">
        <v>45931.068078703698</v>
      </c>
      <c r="J361" s="12" t="s">
        <v>127</v>
      </c>
      <c r="K361" s="12" t="s">
        <v>132</v>
      </c>
      <c r="L361" s="14">
        <v>0.66600000000000004</v>
      </c>
      <c r="M361" s="14">
        <f t="shared" si="5"/>
        <v>0.66600000000000004</v>
      </c>
      <c r="N361" s="7" t="s">
        <v>486</v>
      </c>
      <c r="O361" s="12"/>
      <c r="P361" s="12" t="s">
        <v>130</v>
      </c>
    </row>
    <row r="362" spans="1:16" ht="45.75" hidden="1" customHeight="1" x14ac:dyDescent="0.35">
      <c r="A362" s="12">
        <v>1900</v>
      </c>
      <c r="B362" s="12" t="s">
        <v>93</v>
      </c>
      <c r="C362" s="12" t="s">
        <v>94</v>
      </c>
      <c r="D362" s="12" t="s">
        <v>95</v>
      </c>
      <c r="E362" s="12" t="s">
        <v>126</v>
      </c>
      <c r="F362" s="12" t="s">
        <v>39</v>
      </c>
      <c r="G362" s="12" t="s">
        <v>61</v>
      </c>
      <c r="H362" s="12">
        <v>14</v>
      </c>
      <c r="I362" s="13">
        <v>45888.597199074102</v>
      </c>
      <c r="J362" s="12" t="s">
        <v>127</v>
      </c>
      <c r="K362" s="12" t="s">
        <v>135</v>
      </c>
      <c r="L362" s="14"/>
      <c r="M362" s="14">
        <f t="shared" si="5"/>
        <v>0</v>
      </c>
      <c r="N362" s="7" t="s">
        <v>487</v>
      </c>
      <c r="O362" s="12"/>
      <c r="P362" s="12" t="s">
        <v>130</v>
      </c>
    </row>
    <row r="363" spans="1:16" ht="23.25" hidden="1" customHeight="1" x14ac:dyDescent="0.35">
      <c r="A363" s="12">
        <v>5121</v>
      </c>
      <c r="B363" s="12" t="s">
        <v>93</v>
      </c>
      <c r="C363" s="12" t="s">
        <v>94</v>
      </c>
      <c r="D363" s="12" t="s">
        <v>95</v>
      </c>
      <c r="E363" s="12" t="s">
        <v>131</v>
      </c>
      <c r="F363" s="12" t="s">
        <v>39</v>
      </c>
      <c r="G363" s="12" t="s">
        <v>61</v>
      </c>
      <c r="H363" s="12">
        <v>14</v>
      </c>
      <c r="I363" s="13">
        <v>45888.597199074102</v>
      </c>
      <c r="J363" s="12" t="s">
        <v>127</v>
      </c>
      <c r="K363" s="12" t="s">
        <v>135</v>
      </c>
      <c r="L363" s="14"/>
      <c r="M363" s="14">
        <f t="shared" si="5"/>
        <v>0</v>
      </c>
      <c r="N363" s="7" t="s">
        <v>488</v>
      </c>
      <c r="O363" s="12"/>
      <c r="P363" s="12" t="s">
        <v>130</v>
      </c>
    </row>
    <row r="364" spans="1:16" ht="23.25" hidden="1" customHeight="1" x14ac:dyDescent="0.35">
      <c r="A364" s="12">
        <v>5202</v>
      </c>
      <c r="B364" s="12" t="s">
        <v>93</v>
      </c>
      <c r="C364" s="12" t="s">
        <v>94</v>
      </c>
      <c r="D364" s="12" t="s">
        <v>95</v>
      </c>
      <c r="E364" s="12" t="s">
        <v>134</v>
      </c>
      <c r="F364" s="12" t="s">
        <v>39</v>
      </c>
      <c r="G364" s="12" t="s">
        <v>61</v>
      </c>
      <c r="H364" s="12">
        <v>14</v>
      </c>
      <c r="I364" s="13">
        <v>45888.597199074102</v>
      </c>
      <c r="J364" s="12" t="s">
        <v>127</v>
      </c>
      <c r="K364" s="12" t="s">
        <v>135</v>
      </c>
      <c r="L364" s="14"/>
      <c r="M364" s="14">
        <f t="shared" si="5"/>
        <v>0</v>
      </c>
      <c r="N364" s="7" t="s">
        <v>489</v>
      </c>
      <c r="O364" s="12"/>
      <c r="P364" s="12" t="s">
        <v>130</v>
      </c>
    </row>
    <row r="365" spans="1:16" ht="23.25" hidden="1" customHeight="1" x14ac:dyDescent="0.35">
      <c r="A365" s="12">
        <v>5303</v>
      </c>
      <c r="B365" s="12" t="s">
        <v>93</v>
      </c>
      <c r="C365" s="12" t="s">
        <v>94</v>
      </c>
      <c r="D365" s="12" t="s">
        <v>95</v>
      </c>
      <c r="E365" s="12" t="s">
        <v>137</v>
      </c>
      <c r="F365" s="12" t="s">
        <v>39</v>
      </c>
      <c r="G365" s="12" t="s">
        <v>61</v>
      </c>
      <c r="H365" s="12">
        <v>14</v>
      </c>
      <c r="I365" s="13">
        <v>45888.597199074102</v>
      </c>
      <c r="J365" s="12" t="s">
        <v>127</v>
      </c>
      <c r="K365" s="12" t="s">
        <v>135</v>
      </c>
      <c r="L365" s="14"/>
      <c r="M365" s="14">
        <f t="shared" si="5"/>
        <v>0</v>
      </c>
      <c r="N365" s="7" t="s">
        <v>490</v>
      </c>
      <c r="O365" s="12"/>
      <c r="P365" s="12" t="s">
        <v>130</v>
      </c>
    </row>
    <row r="366" spans="1:16" ht="57" hidden="1" customHeight="1" x14ac:dyDescent="0.35">
      <c r="A366" s="12">
        <v>5304</v>
      </c>
      <c r="B366" s="12" t="s">
        <v>93</v>
      </c>
      <c r="C366" s="12" t="s">
        <v>96</v>
      </c>
      <c r="D366" s="12" t="s">
        <v>97</v>
      </c>
      <c r="E366" s="12" t="s">
        <v>126</v>
      </c>
      <c r="F366" s="12" t="s">
        <v>39</v>
      </c>
      <c r="G366" s="12" t="s">
        <v>61</v>
      </c>
      <c r="H366" s="12">
        <v>14</v>
      </c>
      <c r="I366" s="13">
        <v>45888.597199074102</v>
      </c>
      <c r="J366" s="12" t="s">
        <v>127</v>
      </c>
      <c r="K366" s="12" t="s">
        <v>142</v>
      </c>
      <c r="L366" s="14">
        <v>0.33300000000000002</v>
      </c>
      <c r="M366" s="14">
        <f t="shared" si="5"/>
        <v>0.33300000000000002</v>
      </c>
      <c r="N366" s="7" t="s">
        <v>491</v>
      </c>
      <c r="O366" s="12"/>
      <c r="P366" s="12" t="s">
        <v>130</v>
      </c>
    </row>
    <row r="367" spans="1:16" ht="57" hidden="1" customHeight="1" x14ac:dyDescent="0.35">
      <c r="A367" s="12">
        <v>5286</v>
      </c>
      <c r="B367" s="12" t="s">
        <v>93</v>
      </c>
      <c r="C367" s="12" t="s">
        <v>96</v>
      </c>
      <c r="D367" s="12" t="s">
        <v>97</v>
      </c>
      <c r="E367" s="12" t="s">
        <v>131</v>
      </c>
      <c r="F367" s="12" t="s">
        <v>39</v>
      </c>
      <c r="G367" s="12" t="s">
        <v>61</v>
      </c>
      <c r="H367" s="12">
        <v>14</v>
      </c>
      <c r="I367" s="13">
        <v>45888.597199074102</v>
      </c>
      <c r="J367" s="12" t="s">
        <v>127</v>
      </c>
      <c r="K367" s="12" t="s">
        <v>142</v>
      </c>
      <c r="L367" s="14">
        <v>0.33300000000000002</v>
      </c>
      <c r="M367" s="14">
        <f t="shared" si="5"/>
        <v>0.33300000000000002</v>
      </c>
      <c r="N367" s="7" t="s">
        <v>492</v>
      </c>
      <c r="O367" s="12"/>
      <c r="P367" s="12" t="s">
        <v>130</v>
      </c>
    </row>
    <row r="368" spans="1:16" ht="68.25" hidden="1" customHeight="1" x14ac:dyDescent="0.35">
      <c r="A368" s="12">
        <v>5307</v>
      </c>
      <c r="B368" s="12" t="s">
        <v>93</v>
      </c>
      <c r="C368" s="12" t="s">
        <v>96</v>
      </c>
      <c r="D368" s="12" t="s">
        <v>97</v>
      </c>
      <c r="E368" s="12" t="s">
        <v>134</v>
      </c>
      <c r="F368" s="12" t="s">
        <v>39</v>
      </c>
      <c r="G368" s="12" t="s">
        <v>61</v>
      </c>
      <c r="H368" s="12">
        <v>14</v>
      </c>
      <c r="I368" s="13">
        <v>45888.597199074102</v>
      </c>
      <c r="J368" s="12" t="s">
        <v>127</v>
      </c>
      <c r="K368" s="12" t="s">
        <v>135</v>
      </c>
      <c r="L368" s="14"/>
      <c r="M368" s="14">
        <f t="shared" si="5"/>
        <v>0</v>
      </c>
      <c r="N368" s="7" t="s">
        <v>493</v>
      </c>
      <c r="O368" s="12"/>
      <c r="P368" s="12" t="s">
        <v>130</v>
      </c>
    </row>
    <row r="369" spans="1:16" ht="34.5" hidden="1" customHeight="1" x14ac:dyDescent="0.35">
      <c r="A369" s="12">
        <v>5308</v>
      </c>
      <c r="B369" s="12" t="s">
        <v>93</v>
      </c>
      <c r="C369" s="12" t="s">
        <v>98</v>
      </c>
      <c r="D369" s="12" t="s">
        <v>99</v>
      </c>
      <c r="E369" s="12" t="s">
        <v>126</v>
      </c>
      <c r="F369" s="12" t="s">
        <v>39</v>
      </c>
      <c r="G369" s="12" t="s">
        <v>61</v>
      </c>
      <c r="H369" s="12">
        <v>14</v>
      </c>
      <c r="I369" s="13">
        <v>45888.597199074102</v>
      </c>
      <c r="J369" s="12" t="s">
        <v>127</v>
      </c>
      <c r="K369" s="12" t="s">
        <v>135</v>
      </c>
      <c r="L369" s="14"/>
      <c r="M369" s="14">
        <f t="shared" si="5"/>
        <v>0</v>
      </c>
      <c r="N369" s="7" t="s">
        <v>494</v>
      </c>
      <c r="O369" s="12"/>
      <c r="P369" s="12" t="s">
        <v>130</v>
      </c>
    </row>
    <row r="370" spans="1:16" ht="23.25" hidden="1" customHeight="1" x14ac:dyDescent="0.35">
      <c r="A370" s="12">
        <v>5309</v>
      </c>
      <c r="B370" s="12" t="s">
        <v>93</v>
      </c>
      <c r="C370" s="12" t="s">
        <v>98</v>
      </c>
      <c r="D370" s="12" t="s">
        <v>99</v>
      </c>
      <c r="E370" s="12" t="s">
        <v>131</v>
      </c>
      <c r="F370" s="12" t="s">
        <v>39</v>
      </c>
      <c r="G370" s="12" t="s">
        <v>61</v>
      </c>
      <c r="H370" s="12">
        <v>14</v>
      </c>
      <c r="I370" s="13">
        <v>45888.597199074102</v>
      </c>
      <c r="J370" s="12" t="s">
        <v>127</v>
      </c>
      <c r="K370" s="12" t="s">
        <v>135</v>
      </c>
      <c r="L370" s="14"/>
      <c r="M370" s="14">
        <f t="shared" si="5"/>
        <v>0</v>
      </c>
      <c r="N370" s="7" t="s">
        <v>495</v>
      </c>
      <c r="O370" s="12"/>
      <c r="P370" s="12" t="s">
        <v>130</v>
      </c>
    </row>
    <row r="371" spans="1:16" ht="157.5" hidden="1" customHeight="1" x14ac:dyDescent="0.35">
      <c r="A371" s="12">
        <v>7584</v>
      </c>
      <c r="B371" s="12" t="s">
        <v>93</v>
      </c>
      <c r="C371" s="12" t="s">
        <v>94</v>
      </c>
      <c r="D371" s="12" t="s">
        <v>95</v>
      </c>
      <c r="E371" s="12" t="s">
        <v>126</v>
      </c>
      <c r="F371" s="12" t="s">
        <v>66</v>
      </c>
      <c r="G371" s="12" t="s">
        <v>85</v>
      </c>
      <c r="H371" s="12">
        <v>2927408</v>
      </c>
      <c r="I371" s="13">
        <v>45919.012951388897</v>
      </c>
      <c r="J371" s="12" t="s">
        <v>127</v>
      </c>
      <c r="K371" s="12" t="s">
        <v>128</v>
      </c>
      <c r="L371" s="14">
        <v>1</v>
      </c>
      <c r="M371" s="14">
        <f t="shared" si="5"/>
        <v>1</v>
      </c>
      <c r="N371" s="7" t="s">
        <v>496</v>
      </c>
      <c r="O371" s="12"/>
      <c r="P371" s="12" t="s">
        <v>130</v>
      </c>
    </row>
    <row r="372" spans="1:16" ht="147" hidden="1" customHeight="1" x14ac:dyDescent="0.35">
      <c r="A372" s="12">
        <v>7585</v>
      </c>
      <c r="B372" s="12" t="s">
        <v>93</v>
      </c>
      <c r="C372" s="12" t="s">
        <v>94</v>
      </c>
      <c r="D372" s="12" t="s">
        <v>95</v>
      </c>
      <c r="E372" s="12" t="s">
        <v>131</v>
      </c>
      <c r="F372" s="12" t="s">
        <v>66</v>
      </c>
      <c r="G372" s="12" t="s">
        <v>85</v>
      </c>
      <c r="H372" s="12">
        <v>2927408</v>
      </c>
      <c r="I372" s="13">
        <v>45919.012951388897</v>
      </c>
      <c r="J372" s="12" t="s">
        <v>127</v>
      </c>
      <c r="K372" s="12" t="s">
        <v>142</v>
      </c>
      <c r="L372" s="14">
        <v>0.33300000000000002</v>
      </c>
      <c r="M372" s="14">
        <f t="shared" si="5"/>
        <v>0.33300000000000002</v>
      </c>
      <c r="N372" s="7" t="s">
        <v>497</v>
      </c>
      <c r="O372" s="12"/>
      <c r="P372" s="12" t="s">
        <v>130</v>
      </c>
    </row>
    <row r="373" spans="1:16" ht="247.5" hidden="1" customHeight="1" x14ac:dyDescent="0.35">
      <c r="A373" s="12">
        <v>7564</v>
      </c>
      <c r="B373" s="12" t="s">
        <v>93</v>
      </c>
      <c r="C373" s="12" t="s">
        <v>94</v>
      </c>
      <c r="D373" s="12" t="s">
        <v>95</v>
      </c>
      <c r="E373" s="12" t="s">
        <v>134</v>
      </c>
      <c r="F373" s="12" t="s">
        <v>66</v>
      </c>
      <c r="G373" s="12" t="s">
        <v>85</v>
      </c>
      <c r="H373" s="12">
        <v>2927408</v>
      </c>
      <c r="I373" s="13">
        <v>45919.012951388897</v>
      </c>
      <c r="J373" s="12" t="s">
        <v>127</v>
      </c>
      <c r="K373" s="12" t="s">
        <v>142</v>
      </c>
      <c r="L373" s="14">
        <v>0.33300000000000002</v>
      </c>
      <c r="M373" s="14">
        <f t="shared" si="5"/>
        <v>0.33300000000000002</v>
      </c>
      <c r="N373" s="7" t="s">
        <v>498</v>
      </c>
      <c r="O373" s="12"/>
      <c r="P373" s="12" t="s">
        <v>130</v>
      </c>
    </row>
    <row r="374" spans="1:16" ht="236.25" hidden="1" customHeight="1" x14ac:dyDescent="0.35">
      <c r="A374" s="12">
        <v>7565</v>
      </c>
      <c r="B374" s="12" t="s">
        <v>93</v>
      </c>
      <c r="C374" s="12" t="s">
        <v>94</v>
      </c>
      <c r="D374" s="12" t="s">
        <v>95</v>
      </c>
      <c r="E374" s="12" t="s">
        <v>137</v>
      </c>
      <c r="F374" s="12" t="s">
        <v>66</v>
      </c>
      <c r="G374" s="12" t="s">
        <v>85</v>
      </c>
      <c r="H374" s="12">
        <v>2927408</v>
      </c>
      <c r="I374" s="13">
        <v>45919.012951388897</v>
      </c>
      <c r="J374" s="12" t="s">
        <v>127</v>
      </c>
      <c r="K374" s="12" t="s">
        <v>142</v>
      </c>
      <c r="L374" s="14">
        <v>0.33300000000000002</v>
      </c>
      <c r="M374" s="14">
        <f t="shared" si="5"/>
        <v>0.33300000000000002</v>
      </c>
      <c r="N374" s="7" t="s">
        <v>499</v>
      </c>
      <c r="O374" s="12"/>
      <c r="P374" s="12" t="s">
        <v>130</v>
      </c>
    </row>
    <row r="375" spans="1:16" ht="202.5" hidden="1" customHeight="1" x14ac:dyDescent="0.35">
      <c r="A375" s="12">
        <v>7567</v>
      </c>
      <c r="B375" s="12" t="s">
        <v>93</v>
      </c>
      <c r="C375" s="12" t="s">
        <v>96</v>
      </c>
      <c r="D375" s="12" t="s">
        <v>97</v>
      </c>
      <c r="E375" s="12" t="s">
        <v>126</v>
      </c>
      <c r="F375" s="12" t="s">
        <v>66</v>
      </c>
      <c r="G375" s="12" t="s">
        <v>85</v>
      </c>
      <c r="H375" s="12">
        <v>2927408</v>
      </c>
      <c r="I375" s="13">
        <v>45919.012951388897</v>
      </c>
      <c r="J375" s="12" t="s">
        <v>127</v>
      </c>
      <c r="K375" s="12" t="s">
        <v>128</v>
      </c>
      <c r="L375" s="14">
        <v>1</v>
      </c>
      <c r="M375" s="14">
        <f t="shared" si="5"/>
        <v>1</v>
      </c>
      <c r="N375" s="7" t="s">
        <v>500</v>
      </c>
      <c r="O375" s="12"/>
      <c r="P375" s="12" t="s">
        <v>130</v>
      </c>
    </row>
    <row r="376" spans="1:16" ht="168.75" hidden="1" customHeight="1" x14ac:dyDescent="0.35">
      <c r="A376" s="12">
        <v>7568</v>
      </c>
      <c r="B376" s="12" t="s">
        <v>93</v>
      </c>
      <c r="C376" s="12" t="s">
        <v>96</v>
      </c>
      <c r="D376" s="12" t="s">
        <v>97</v>
      </c>
      <c r="E376" s="12" t="s">
        <v>131</v>
      </c>
      <c r="F376" s="12" t="s">
        <v>66</v>
      </c>
      <c r="G376" s="12" t="s">
        <v>85</v>
      </c>
      <c r="H376" s="12">
        <v>2927408</v>
      </c>
      <c r="I376" s="13">
        <v>45919.012951388897</v>
      </c>
      <c r="J376" s="12" t="s">
        <v>127</v>
      </c>
      <c r="K376" s="12" t="s">
        <v>132</v>
      </c>
      <c r="L376" s="14">
        <v>0.66600000000000004</v>
      </c>
      <c r="M376" s="14">
        <f t="shared" si="5"/>
        <v>0.66600000000000004</v>
      </c>
      <c r="N376" s="7" t="s">
        <v>501</v>
      </c>
      <c r="O376" s="12"/>
      <c r="P376" s="12" t="s">
        <v>130</v>
      </c>
    </row>
    <row r="377" spans="1:16" ht="147" hidden="1" customHeight="1" x14ac:dyDescent="0.35">
      <c r="A377" s="12">
        <v>7590</v>
      </c>
      <c r="B377" s="12" t="s">
        <v>93</v>
      </c>
      <c r="C377" s="12" t="s">
        <v>96</v>
      </c>
      <c r="D377" s="12" t="s">
        <v>97</v>
      </c>
      <c r="E377" s="12" t="s">
        <v>134</v>
      </c>
      <c r="F377" s="12" t="s">
        <v>66</v>
      </c>
      <c r="G377" s="12" t="s">
        <v>85</v>
      </c>
      <c r="H377" s="12">
        <v>2927408</v>
      </c>
      <c r="I377" s="13">
        <v>45919.012951388897</v>
      </c>
      <c r="J377" s="12" t="s">
        <v>127</v>
      </c>
      <c r="K377" s="12" t="s">
        <v>132</v>
      </c>
      <c r="L377" s="14">
        <v>0.66600000000000004</v>
      </c>
      <c r="M377" s="14">
        <f t="shared" si="5"/>
        <v>0.66600000000000004</v>
      </c>
      <c r="N377" s="7" t="s">
        <v>502</v>
      </c>
      <c r="O377" s="12"/>
      <c r="P377" s="12" t="s">
        <v>130</v>
      </c>
    </row>
    <row r="378" spans="1:16" ht="157.5" hidden="1" customHeight="1" x14ac:dyDescent="0.35">
      <c r="A378" s="12">
        <v>7591</v>
      </c>
      <c r="B378" s="12" t="s">
        <v>93</v>
      </c>
      <c r="C378" s="12" t="s">
        <v>98</v>
      </c>
      <c r="D378" s="12" t="s">
        <v>99</v>
      </c>
      <c r="E378" s="12" t="s">
        <v>126</v>
      </c>
      <c r="F378" s="12" t="s">
        <v>66</v>
      </c>
      <c r="G378" s="12" t="s">
        <v>85</v>
      </c>
      <c r="H378" s="12">
        <v>2927408</v>
      </c>
      <c r="I378" s="13">
        <v>45919.012951388897</v>
      </c>
      <c r="J378" s="12" t="s">
        <v>127</v>
      </c>
      <c r="K378" s="12" t="s">
        <v>132</v>
      </c>
      <c r="L378" s="14">
        <v>0.66600000000000004</v>
      </c>
      <c r="M378" s="14">
        <f t="shared" si="5"/>
        <v>0.66600000000000004</v>
      </c>
      <c r="N378" s="7" t="s">
        <v>503</v>
      </c>
      <c r="O378" s="12"/>
      <c r="P378" s="12" t="s">
        <v>130</v>
      </c>
    </row>
    <row r="379" spans="1:16" ht="213.75" hidden="1" customHeight="1" x14ac:dyDescent="0.35">
      <c r="A379" s="12">
        <v>7592</v>
      </c>
      <c r="B379" s="12" t="s">
        <v>93</v>
      </c>
      <c r="C379" s="12" t="s">
        <v>98</v>
      </c>
      <c r="D379" s="12" t="s">
        <v>99</v>
      </c>
      <c r="E379" s="12" t="s">
        <v>131</v>
      </c>
      <c r="F379" s="12" t="s">
        <v>66</v>
      </c>
      <c r="G379" s="12" t="s">
        <v>85</v>
      </c>
      <c r="H379" s="12">
        <v>2927408</v>
      </c>
      <c r="I379" s="13">
        <v>45919.012951388897</v>
      </c>
      <c r="J379" s="12" t="s">
        <v>127</v>
      </c>
      <c r="K379" s="12" t="s">
        <v>142</v>
      </c>
      <c r="L379" s="14">
        <v>0.33300000000000002</v>
      </c>
      <c r="M379" s="14">
        <f t="shared" si="5"/>
        <v>0.33300000000000002</v>
      </c>
      <c r="N379" s="7" t="s">
        <v>504</v>
      </c>
      <c r="O379" s="12"/>
      <c r="P379" s="12" t="s">
        <v>130</v>
      </c>
    </row>
    <row r="380" spans="1:16" ht="202.5" hidden="1" customHeight="1" x14ac:dyDescent="0.35">
      <c r="A380" s="12">
        <v>1901</v>
      </c>
      <c r="B380" s="12" t="s">
        <v>93</v>
      </c>
      <c r="C380" s="12" t="s">
        <v>94</v>
      </c>
      <c r="D380" s="12" t="s">
        <v>95</v>
      </c>
      <c r="E380" s="12" t="s">
        <v>126</v>
      </c>
      <c r="F380" s="12" t="s">
        <v>39</v>
      </c>
      <c r="G380" s="12" t="s">
        <v>62</v>
      </c>
      <c r="H380" s="12">
        <v>42</v>
      </c>
      <c r="I380" s="13">
        <v>45910.594305555598</v>
      </c>
      <c r="J380" s="12" t="s">
        <v>127</v>
      </c>
      <c r="K380" s="12" t="s">
        <v>128</v>
      </c>
      <c r="L380" s="14">
        <v>1</v>
      </c>
      <c r="M380" s="14">
        <f t="shared" si="5"/>
        <v>1</v>
      </c>
      <c r="N380" s="7" t="s">
        <v>505</v>
      </c>
      <c r="O380" s="12"/>
      <c r="P380" s="12" t="s">
        <v>130</v>
      </c>
    </row>
    <row r="381" spans="1:16" ht="147" hidden="1" customHeight="1" x14ac:dyDescent="0.35">
      <c r="A381" s="12">
        <v>1898</v>
      </c>
      <c r="B381" s="12" t="s">
        <v>93</v>
      </c>
      <c r="C381" s="12" t="s">
        <v>94</v>
      </c>
      <c r="D381" s="12" t="s">
        <v>95</v>
      </c>
      <c r="E381" s="12" t="s">
        <v>131</v>
      </c>
      <c r="F381" s="12" t="s">
        <v>39</v>
      </c>
      <c r="G381" s="12" t="s">
        <v>62</v>
      </c>
      <c r="H381" s="12">
        <v>42</v>
      </c>
      <c r="I381" s="13">
        <v>45910.594305555598</v>
      </c>
      <c r="J381" s="12" t="s">
        <v>127</v>
      </c>
      <c r="K381" s="12" t="s">
        <v>132</v>
      </c>
      <c r="L381" s="14">
        <v>0.66600000000000004</v>
      </c>
      <c r="M381" s="14">
        <f t="shared" si="5"/>
        <v>0.66600000000000004</v>
      </c>
      <c r="N381" s="7" t="s">
        <v>506</v>
      </c>
      <c r="O381" s="12"/>
      <c r="P381" s="12" t="s">
        <v>130</v>
      </c>
    </row>
    <row r="382" spans="1:16" ht="213.75" hidden="1" customHeight="1" x14ac:dyDescent="0.35">
      <c r="A382" s="12">
        <v>7087</v>
      </c>
      <c r="B382" s="12" t="s">
        <v>93</v>
      </c>
      <c r="C382" s="12" t="s">
        <v>94</v>
      </c>
      <c r="D382" s="12" t="s">
        <v>95</v>
      </c>
      <c r="E382" s="12" t="s">
        <v>134</v>
      </c>
      <c r="F382" s="12" t="s">
        <v>39</v>
      </c>
      <c r="G382" s="12" t="s">
        <v>62</v>
      </c>
      <c r="H382" s="12">
        <v>42</v>
      </c>
      <c r="I382" s="13">
        <v>45910.594305555598</v>
      </c>
      <c r="J382" s="12" t="s">
        <v>127</v>
      </c>
      <c r="K382" s="12" t="s">
        <v>142</v>
      </c>
      <c r="L382" s="14">
        <v>0.33300000000000002</v>
      </c>
      <c r="M382" s="14">
        <f t="shared" si="5"/>
        <v>0.33300000000000002</v>
      </c>
      <c r="N382" s="7" t="s">
        <v>507</v>
      </c>
      <c r="O382" s="12"/>
      <c r="P382" s="12" t="s">
        <v>130</v>
      </c>
    </row>
    <row r="383" spans="1:16" ht="79.5" hidden="1" customHeight="1" x14ac:dyDescent="0.35">
      <c r="A383" s="12">
        <v>7102</v>
      </c>
      <c r="B383" s="12" t="s">
        <v>93</v>
      </c>
      <c r="C383" s="12" t="s">
        <v>94</v>
      </c>
      <c r="D383" s="12" t="s">
        <v>95</v>
      </c>
      <c r="E383" s="12" t="s">
        <v>137</v>
      </c>
      <c r="F383" s="12" t="s">
        <v>39</v>
      </c>
      <c r="G383" s="12" t="s">
        <v>62</v>
      </c>
      <c r="H383" s="12">
        <v>42</v>
      </c>
      <c r="I383" s="13">
        <v>45910.594305555598</v>
      </c>
      <c r="J383" s="12" t="s">
        <v>127</v>
      </c>
      <c r="K383" s="12" t="s">
        <v>132</v>
      </c>
      <c r="L383" s="14">
        <v>0.66600000000000004</v>
      </c>
      <c r="M383" s="14">
        <f t="shared" si="5"/>
        <v>0.66600000000000004</v>
      </c>
      <c r="N383" s="7" t="s">
        <v>508</v>
      </c>
      <c r="O383" s="12"/>
      <c r="P383" s="12" t="s">
        <v>130</v>
      </c>
    </row>
    <row r="384" spans="1:16" ht="135.75" hidden="1" customHeight="1" x14ac:dyDescent="0.35">
      <c r="A384" s="12">
        <v>7090</v>
      </c>
      <c r="B384" s="12" t="s">
        <v>93</v>
      </c>
      <c r="C384" s="12" t="s">
        <v>96</v>
      </c>
      <c r="D384" s="12" t="s">
        <v>97</v>
      </c>
      <c r="E384" s="12" t="s">
        <v>126</v>
      </c>
      <c r="F384" s="12" t="s">
        <v>39</v>
      </c>
      <c r="G384" s="12" t="s">
        <v>62</v>
      </c>
      <c r="H384" s="12">
        <v>42</v>
      </c>
      <c r="I384" s="13">
        <v>45910.594305555598</v>
      </c>
      <c r="J384" s="12" t="s">
        <v>127</v>
      </c>
      <c r="K384" s="12" t="s">
        <v>132</v>
      </c>
      <c r="L384" s="14">
        <v>0.66600000000000004</v>
      </c>
      <c r="M384" s="14">
        <f t="shared" si="5"/>
        <v>0.66600000000000004</v>
      </c>
      <c r="N384" s="7" t="s">
        <v>509</v>
      </c>
      <c r="O384" s="12"/>
      <c r="P384" s="12" t="s">
        <v>130</v>
      </c>
    </row>
    <row r="385" spans="1:16" ht="157.5" hidden="1" customHeight="1" x14ac:dyDescent="0.35">
      <c r="A385" s="12">
        <v>7092</v>
      </c>
      <c r="B385" s="12" t="s">
        <v>93</v>
      </c>
      <c r="C385" s="12" t="s">
        <v>96</v>
      </c>
      <c r="D385" s="12" t="s">
        <v>97</v>
      </c>
      <c r="E385" s="12" t="s">
        <v>131</v>
      </c>
      <c r="F385" s="12" t="s">
        <v>39</v>
      </c>
      <c r="G385" s="12" t="s">
        <v>62</v>
      </c>
      <c r="H385" s="12">
        <v>42</v>
      </c>
      <c r="I385" s="13">
        <v>45910.594305555598</v>
      </c>
      <c r="J385" s="12" t="s">
        <v>127</v>
      </c>
      <c r="K385" s="12" t="s">
        <v>132</v>
      </c>
      <c r="L385" s="14">
        <v>0.66600000000000004</v>
      </c>
      <c r="M385" s="14">
        <f t="shared" si="5"/>
        <v>0.66600000000000004</v>
      </c>
      <c r="N385" s="7" t="s">
        <v>510</v>
      </c>
      <c r="O385" s="12"/>
      <c r="P385" s="12" t="s">
        <v>130</v>
      </c>
    </row>
    <row r="386" spans="1:16" ht="34.5" hidden="1" customHeight="1" x14ac:dyDescent="0.35">
      <c r="A386" s="12">
        <v>7103</v>
      </c>
      <c r="B386" s="12" t="s">
        <v>93</v>
      </c>
      <c r="C386" s="12" t="s">
        <v>96</v>
      </c>
      <c r="D386" s="12" t="s">
        <v>97</v>
      </c>
      <c r="E386" s="12" t="s">
        <v>134</v>
      </c>
      <c r="F386" s="12" t="s">
        <v>39</v>
      </c>
      <c r="G386" s="12" t="s">
        <v>62</v>
      </c>
      <c r="H386" s="12">
        <v>42</v>
      </c>
      <c r="I386" s="13">
        <v>45910.594305555598</v>
      </c>
      <c r="J386" s="12" t="s">
        <v>127</v>
      </c>
      <c r="K386" s="12" t="s">
        <v>135</v>
      </c>
      <c r="L386" s="14"/>
      <c r="M386" s="14">
        <f t="shared" ref="M386:M449" si="6">IF(K386="Sem progresso",0,IF(OR(K386="Não avaliado",K386="Não se aplica",K386=""),"",L386))</f>
        <v>0</v>
      </c>
      <c r="N386" s="7" t="s">
        <v>511</v>
      </c>
      <c r="O386" s="12"/>
      <c r="P386" s="12" t="s">
        <v>130</v>
      </c>
    </row>
    <row r="387" spans="1:16" ht="191.25" hidden="1" customHeight="1" x14ac:dyDescent="0.35">
      <c r="A387" s="12">
        <v>7106</v>
      </c>
      <c r="B387" s="12" t="s">
        <v>93</v>
      </c>
      <c r="C387" s="12" t="s">
        <v>98</v>
      </c>
      <c r="D387" s="12" t="s">
        <v>99</v>
      </c>
      <c r="E387" s="12" t="s">
        <v>126</v>
      </c>
      <c r="F387" s="12" t="s">
        <v>39</v>
      </c>
      <c r="G387" s="12" t="s">
        <v>62</v>
      </c>
      <c r="H387" s="12">
        <v>42</v>
      </c>
      <c r="I387" s="13">
        <v>45910.594305555598</v>
      </c>
      <c r="J387" s="12" t="s">
        <v>127</v>
      </c>
      <c r="K387" s="12" t="s">
        <v>132</v>
      </c>
      <c r="L387" s="14">
        <v>0.66600000000000004</v>
      </c>
      <c r="M387" s="14">
        <f t="shared" si="6"/>
        <v>0.66600000000000004</v>
      </c>
      <c r="N387" s="7" t="s">
        <v>512</v>
      </c>
      <c r="O387" s="12"/>
      <c r="P387" s="12" t="s">
        <v>130</v>
      </c>
    </row>
    <row r="388" spans="1:16" ht="34.5" hidden="1" customHeight="1" x14ac:dyDescent="0.35">
      <c r="A388" s="12">
        <v>7094</v>
      </c>
      <c r="B388" s="12" t="s">
        <v>93</v>
      </c>
      <c r="C388" s="12" t="s">
        <v>98</v>
      </c>
      <c r="D388" s="12" t="s">
        <v>99</v>
      </c>
      <c r="E388" s="12" t="s">
        <v>131</v>
      </c>
      <c r="F388" s="12" t="s">
        <v>39</v>
      </c>
      <c r="G388" s="12" t="s">
        <v>62</v>
      </c>
      <c r="H388" s="12">
        <v>42</v>
      </c>
      <c r="I388" s="13">
        <v>45910.594305555598</v>
      </c>
      <c r="J388" s="12" t="s">
        <v>127</v>
      </c>
      <c r="K388" s="12" t="s">
        <v>135</v>
      </c>
      <c r="L388" s="14"/>
      <c r="M388" s="14">
        <f t="shared" si="6"/>
        <v>0</v>
      </c>
      <c r="N388" s="7" t="s">
        <v>513</v>
      </c>
      <c r="O388" s="12"/>
      <c r="P388" s="12" t="s">
        <v>130</v>
      </c>
    </row>
    <row r="389" spans="1:16" ht="23.25" hidden="1" customHeight="1" x14ac:dyDescent="0.35">
      <c r="A389" s="12">
        <v>6197</v>
      </c>
      <c r="B389" s="12" t="s">
        <v>93</v>
      </c>
      <c r="C389" s="12" t="s">
        <v>94</v>
      </c>
      <c r="D389" s="12" t="s">
        <v>95</v>
      </c>
      <c r="E389" s="12" t="s">
        <v>126</v>
      </c>
      <c r="F389" s="12" t="s">
        <v>39</v>
      </c>
      <c r="G389" s="12" t="s">
        <v>63</v>
      </c>
      <c r="H389" s="12">
        <v>28</v>
      </c>
      <c r="I389" s="13">
        <v>45932.569618055597</v>
      </c>
      <c r="J389" s="12" t="s">
        <v>127</v>
      </c>
      <c r="K389" s="12" t="s">
        <v>135</v>
      </c>
      <c r="L389" s="14"/>
      <c r="M389" s="14">
        <f t="shared" si="6"/>
        <v>0</v>
      </c>
      <c r="N389" s="7" t="s">
        <v>514</v>
      </c>
      <c r="O389" s="12"/>
      <c r="P389" s="12" t="s">
        <v>130</v>
      </c>
    </row>
    <row r="390" spans="1:16" ht="23.25" hidden="1" customHeight="1" x14ac:dyDescent="0.35">
      <c r="A390" s="12">
        <v>6219</v>
      </c>
      <c r="B390" s="12" t="s">
        <v>93</v>
      </c>
      <c r="C390" s="12" t="s">
        <v>94</v>
      </c>
      <c r="D390" s="12" t="s">
        <v>95</v>
      </c>
      <c r="E390" s="12" t="s">
        <v>131</v>
      </c>
      <c r="F390" s="12" t="s">
        <v>39</v>
      </c>
      <c r="G390" s="12" t="s">
        <v>63</v>
      </c>
      <c r="H390" s="12">
        <v>28</v>
      </c>
      <c r="I390" s="13">
        <v>45932.569618055597</v>
      </c>
      <c r="J390" s="12" t="s">
        <v>127</v>
      </c>
      <c r="K390" s="12" t="s">
        <v>135</v>
      </c>
      <c r="L390" s="14"/>
      <c r="M390" s="14">
        <f t="shared" si="6"/>
        <v>0</v>
      </c>
      <c r="N390" s="7" t="s">
        <v>515</v>
      </c>
      <c r="O390" s="12"/>
      <c r="P390" s="12" t="s">
        <v>130</v>
      </c>
    </row>
    <row r="391" spans="1:16" ht="113.25" hidden="1" customHeight="1" x14ac:dyDescent="0.35">
      <c r="A391" s="12">
        <v>6220</v>
      </c>
      <c r="B391" s="12" t="s">
        <v>93</v>
      </c>
      <c r="C391" s="12" t="s">
        <v>94</v>
      </c>
      <c r="D391" s="12" t="s">
        <v>95</v>
      </c>
      <c r="E391" s="12" t="s">
        <v>134</v>
      </c>
      <c r="F391" s="12" t="s">
        <v>39</v>
      </c>
      <c r="G391" s="12" t="s">
        <v>63</v>
      </c>
      <c r="H391" s="12">
        <v>28</v>
      </c>
      <c r="I391" s="13">
        <v>45932.569618055597</v>
      </c>
      <c r="J391" s="12" t="s">
        <v>127</v>
      </c>
      <c r="K391" s="12" t="s">
        <v>142</v>
      </c>
      <c r="L391" s="14">
        <v>0.33300000000000002</v>
      </c>
      <c r="M391" s="14">
        <f t="shared" si="6"/>
        <v>0.33300000000000002</v>
      </c>
      <c r="N391" s="7" t="s">
        <v>516</v>
      </c>
      <c r="O391" s="12"/>
      <c r="P391" s="12" t="s">
        <v>130</v>
      </c>
    </row>
    <row r="392" spans="1:16" ht="45.75" hidden="1" customHeight="1" x14ac:dyDescent="0.35">
      <c r="A392" s="12">
        <v>6221</v>
      </c>
      <c r="B392" s="12" t="s">
        <v>93</v>
      </c>
      <c r="C392" s="12" t="s">
        <v>94</v>
      </c>
      <c r="D392" s="12" t="s">
        <v>95</v>
      </c>
      <c r="E392" s="12" t="s">
        <v>137</v>
      </c>
      <c r="F392" s="12" t="s">
        <v>39</v>
      </c>
      <c r="G392" s="12" t="s">
        <v>63</v>
      </c>
      <c r="H392" s="12">
        <v>28</v>
      </c>
      <c r="I392" s="13">
        <v>45932.569618055597</v>
      </c>
      <c r="J392" s="12" t="s">
        <v>127</v>
      </c>
      <c r="K392" s="12" t="s">
        <v>135</v>
      </c>
      <c r="L392" s="14"/>
      <c r="M392" s="14">
        <f t="shared" si="6"/>
        <v>0</v>
      </c>
      <c r="N392" s="7" t="s">
        <v>517</v>
      </c>
      <c r="O392" s="12"/>
      <c r="P392" s="12" t="s">
        <v>130</v>
      </c>
    </row>
    <row r="393" spans="1:16" ht="23.25" hidden="1" customHeight="1" x14ac:dyDescent="0.35">
      <c r="A393" s="12">
        <v>8381</v>
      </c>
      <c r="B393" s="12" t="s">
        <v>93</v>
      </c>
      <c r="C393" s="12" t="s">
        <v>96</v>
      </c>
      <c r="D393" s="12" t="s">
        <v>97</v>
      </c>
      <c r="E393" s="12" t="s">
        <v>126</v>
      </c>
      <c r="F393" s="12" t="s">
        <v>39</v>
      </c>
      <c r="G393" s="12" t="s">
        <v>63</v>
      </c>
      <c r="H393" s="12">
        <v>28</v>
      </c>
      <c r="I393" s="13">
        <v>45932.569618055597</v>
      </c>
      <c r="J393" s="12" t="s">
        <v>127</v>
      </c>
      <c r="K393" s="12" t="s">
        <v>132</v>
      </c>
      <c r="L393" s="14">
        <v>0.66600000000000004</v>
      </c>
      <c r="M393" s="14">
        <f t="shared" si="6"/>
        <v>0.66600000000000004</v>
      </c>
      <c r="N393" s="7" t="s">
        <v>518</v>
      </c>
      <c r="O393" s="12"/>
      <c r="P393" s="12" t="s">
        <v>130</v>
      </c>
    </row>
    <row r="394" spans="1:16" ht="45.75" hidden="1" customHeight="1" x14ac:dyDescent="0.35">
      <c r="A394" s="12">
        <v>8401</v>
      </c>
      <c r="B394" s="12" t="s">
        <v>93</v>
      </c>
      <c r="C394" s="12" t="s">
        <v>96</v>
      </c>
      <c r="D394" s="12" t="s">
        <v>97</v>
      </c>
      <c r="E394" s="12" t="s">
        <v>131</v>
      </c>
      <c r="F394" s="12" t="s">
        <v>39</v>
      </c>
      <c r="G394" s="12" t="s">
        <v>63</v>
      </c>
      <c r="H394" s="12">
        <v>28</v>
      </c>
      <c r="I394" s="13">
        <v>45932.569618055597</v>
      </c>
      <c r="J394" s="12" t="s">
        <v>127</v>
      </c>
      <c r="K394" s="12" t="s">
        <v>142</v>
      </c>
      <c r="L394" s="14">
        <v>0.33300000000000002</v>
      </c>
      <c r="M394" s="14">
        <f t="shared" si="6"/>
        <v>0.33300000000000002</v>
      </c>
      <c r="N394" s="7" t="s">
        <v>519</v>
      </c>
      <c r="O394" s="12"/>
      <c r="P394" s="12" t="s">
        <v>130</v>
      </c>
    </row>
    <row r="395" spans="1:16" ht="23.25" hidden="1" customHeight="1" x14ac:dyDescent="0.35">
      <c r="A395" s="12">
        <v>8402</v>
      </c>
      <c r="B395" s="12" t="s">
        <v>93</v>
      </c>
      <c r="C395" s="12" t="s">
        <v>96</v>
      </c>
      <c r="D395" s="12" t="s">
        <v>97</v>
      </c>
      <c r="E395" s="12" t="s">
        <v>134</v>
      </c>
      <c r="F395" s="12" t="s">
        <v>39</v>
      </c>
      <c r="G395" s="12" t="s">
        <v>63</v>
      </c>
      <c r="H395" s="12">
        <v>28</v>
      </c>
      <c r="I395" s="13">
        <v>45932.569618055597</v>
      </c>
      <c r="J395" s="12" t="s">
        <v>127</v>
      </c>
      <c r="K395" s="12" t="s">
        <v>135</v>
      </c>
      <c r="L395" s="14"/>
      <c r="M395" s="14">
        <f t="shared" si="6"/>
        <v>0</v>
      </c>
      <c r="N395" s="7" t="s">
        <v>520</v>
      </c>
      <c r="O395" s="12"/>
      <c r="P395" s="12" t="s">
        <v>130</v>
      </c>
    </row>
    <row r="396" spans="1:16" ht="23.25" hidden="1" customHeight="1" x14ac:dyDescent="0.35">
      <c r="A396" s="12">
        <v>8403</v>
      </c>
      <c r="B396" s="12" t="s">
        <v>93</v>
      </c>
      <c r="C396" s="12" t="s">
        <v>98</v>
      </c>
      <c r="D396" s="12" t="s">
        <v>99</v>
      </c>
      <c r="E396" s="12" t="s">
        <v>126</v>
      </c>
      <c r="F396" s="12" t="s">
        <v>39</v>
      </c>
      <c r="G396" s="12" t="s">
        <v>63</v>
      </c>
      <c r="H396" s="12">
        <v>28</v>
      </c>
      <c r="I396" s="13">
        <v>45932.569618055597</v>
      </c>
      <c r="J396" s="12" t="s">
        <v>127</v>
      </c>
      <c r="K396" s="12" t="s">
        <v>132</v>
      </c>
      <c r="L396" s="14">
        <v>0.66600000000000004</v>
      </c>
      <c r="M396" s="14">
        <f t="shared" si="6"/>
        <v>0.66600000000000004</v>
      </c>
      <c r="N396" s="7" t="s">
        <v>521</v>
      </c>
      <c r="O396" s="12"/>
      <c r="P396" s="12" t="s">
        <v>130</v>
      </c>
    </row>
    <row r="397" spans="1:16" ht="23.25" hidden="1" customHeight="1" x14ac:dyDescent="0.35">
      <c r="A397" s="12">
        <v>8383</v>
      </c>
      <c r="B397" s="12" t="s">
        <v>93</v>
      </c>
      <c r="C397" s="12" t="s">
        <v>98</v>
      </c>
      <c r="D397" s="12" t="s">
        <v>99</v>
      </c>
      <c r="E397" s="12" t="s">
        <v>131</v>
      </c>
      <c r="F397" s="12" t="s">
        <v>39</v>
      </c>
      <c r="G397" s="12" t="s">
        <v>63</v>
      </c>
      <c r="H397" s="12">
        <v>28</v>
      </c>
      <c r="I397" s="13">
        <v>45932.569618055597</v>
      </c>
      <c r="J397" s="12" t="s">
        <v>127</v>
      </c>
      <c r="K397" s="12" t="s">
        <v>135</v>
      </c>
      <c r="L397" s="14"/>
      <c r="M397" s="14">
        <f t="shared" si="6"/>
        <v>0</v>
      </c>
      <c r="N397" s="7" t="s">
        <v>522</v>
      </c>
      <c r="O397" s="12"/>
      <c r="P397" s="12" t="s">
        <v>130</v>
      </c>
    </row>
    <row r="398" spans="1:16" ht="213.75" hidden="1" customHeight="1" x14ac:dyDescent="0.35">
      <c r="A398" s="12">
        <v>6569</v>
      </c>
      <c r="B398" s="12" t="s">
        <v>93</v>
      </c>
      <c r="C398" s="12" t="s">
        <v>94</v>
      </c>
      <c r="D398" s="12" t="s">
        <v>95</v>
      </c>
      <c r="E398" s="12" t="s">
        <v>126</v>
      </c>
      <c r="F398" s="12" t="s">
        <v>66</v>
      </c>
      <c r="G398" s="12" t="s">
        <v>86</v>
      </c>
      <c r="H398" s="12">
        <v>2111300</v>
      </c>
      <c r="I398" s="13">
        <v>45915.615428240701</v>
      </c>
      <c r="J398" s="12" t="s">
        <v>127</v>
      </c>
      <c r="K398" s="12" t="s">
        <v>132</v>
      </c>
      <c r="L398" s="14">
        <v>0.66600000000000004</v>
      </c>
      <c r="M398" s="14">
        <f t="shared" si="6"/>
        <v>0.66600000000000004</v>
      </c>
      <c r="N398" s="7" t="s">
        <v>523</v>
      </c>
      <c r="O398" s="12"/>
      <c r="P398" s="12" t="s">
        <v>130</v>
      </c>
    </row>
    <row r="399" spans="1:16" ht="147" hidden="1" customHeight="1" x14ac:dyDescent="0.35">
      <c r="A399" s="12">
        <v>6570</v>
      </c>
      <c r="B399" s="12" t="s">
        <v>93</v>
      </c>
      <c r="C399" s="12" t="s">
        <v>94</v>
      </c>
      <c r="D399" s="12" t="s">
        <v>95</v>
      </c>
      <c r="E399" s="12" t="s">
        <v>131</v>
      </c>
      <c r="F399" s="12" t="s">
        <v>66</v>
      </c>
      <c r="G399" s="12" t="s">
        <v>86</v>
      </c>
      <c r="H399" s="12">
        <v>2111300</v>
      </c>
      <c r="I399" s="13">
        <v>45915.615428240701</v>
      </c>
      <c r="J399" s="12" t="s">
        <v>127</v>
      </c>
      <c r="K399" s="12" t="s">
        <v>135</v>
      </c>
      <c r="L399" s="14"/>
      <c r="M399" s="14">
        <f t="shared" si="6"/>
        <v>0</v>
      </c>
      <c r="N399" s="7" t="s">
        <v>524</v>
      </c>
      <c r="O399" s="12"/>
      <c r="P399" s="12" t="s">
        <v>130</v>
      </c>
    </row>
    <row r="400" spans="1:16" ht="135.75" hidden="1" customHeight="1" x14ac:dyDescent="0.35">
      <c r="A400" s="12">
        <v>6571</v>
      </c>
      <c r="B400" s="12" t="s">
        <v>93</v>
      </c>
      <c r="C400" s="12" t="s">
        <v>94</v>
      </c>
      <c r="D400" s="12" t="s">
        <v>95</v>
      </c>
      <c r="E400" s="12" t="s">
        <v>134</v>
      </c>
      <c r="F400" s="12" t="s">
        <v>66</v>
      </c>
      <c r="G400" s="12" t="s">
        <v>86</v>
      </c>
      <c r="H400" s="12">
        <v>2111300</v>
      </c>
      <c r="I400" s="13">
        <v>45915.615428240701</v>
      </c>
      <c r="J400" s="12" t="s">
        <v>127</v>
      </c>
      <c r="K400" s="12" t="s">
        <v>128</v>
      </c>
      <c r="L400" s="14">
        <v>1</v>
      </c>
      <c r="M400" s="14">
        <f t="shared" si="6"/>
        <v>1</v>
      </c>
      <c r="N400" s="7" t="s">
        <v>525</v>
      </c>
      <c r="O400" s="12"/>
      <c r="P400" s="12" t="s">
        <v>130</v>
      </c>
    </row>
    <row r="401" spans="1:16" ht="147" hidden="1" customHeight="1" x14ac:dyDescent="0.35">
      <c r="A401" s="12">
        <v>6572</v>
      </c>
      <c r="B401" s="12" t="s">
        <v>93</v>
      </c>
      <c r="C401" s="12" t="s">
        <v>94</v>
      </c>
      <c r="D401" s="12" t="s">
        <v>95</v>
      </c>
      <c r="E401" s="12" t="s">
        <v>137</v>
      </c>
      <c r="F401" s="12" t="s">
        <v>66</v>
      </c>
      <c r="G401" s="12" t="s">
        <v>86</v>
      </c>
      <c r="H401" s="12">
        <v>2111300</v>
      </c>
      <c r="I401" s="13">
        <v>45915.615428240701</v>
      </c>
      <c r="J401" s="12" t="s">
        <v>127</v>
      </c>
      <c r="K401" s="12" t="s">
        <v>132</v>
      </c>
      <c r="L401" s="14">
        <v>0.66600000000000004</v>
      </c>
      <c r="M401" s="14">
        <f t="shared" si="6"/>
        <v>0.66600000000000004</v>
      </c>
      <c r="N401" s="7" t="s">
        <v>526</v>
      </c>
      <c r="O401" s="12"/>
      <c r="P401" s="12" t="s">
        <v>130</v>
      </c>
    </row>
    <row r="402" spans="1:16" ht="180" hidden="1" customHeight="1" x14ac:dyDescent="0.35">
      <c r="A402" s="12">
        <v>6573</v>
      </c>
      <c r="B402" s="12" t="s">
        <v>93</v>
      </c>
      <c r="C402" s="12" t="s">
        <v>96</v>
      </c>
      <c r="D402" s="12" t="s">
        <v>97</v>
      </c>
      <c r="E402" s="12" t="s">
        <v>126</v>
      </c>
      <c r="F402" s="12" t="s">
        <v>66</v>
      </c>
      <c r="G402" s="12" t="s">
        <v>86</v>
      </c>
      <c r="H402" s="12">
        <v>2111300</v>
      </c>
      <c r="I402" s="13">
        <v>45915.615428240701</v>
      </c>
      <c r="J402" s="12" t="s">
        <v>127</v>
      </c>
      <c r="K402" s="12" t="s">
        <v>128</v>
      </c>
      <c r="L402" s="14">
        <v>1</v>
      </c>
      <c r="M402" s="14">
        <f t="shared" si="6"/>
        <v>1</v>
      </c>
      <c r="N402" s="7" t="s">
        <v>527</v>
      </c>
      <c r="O402" s="12"/>
      <c r="P402" s="12" t="s">
        <v>130</v>
      </c>
    </row>
    <row r="403" spans="1:16" ht="124.5" hidden="1" customHeight="1" x14ac:dyDescent="0.35">
      <c r="A403" s="12">
        <v>6574</v>
      </c>
      <c r="B403" s="12" t="s">
        <v>93</v>
      </c>
      <c r="C403" s="12" t="s">
        <v>96</v>
      </c>
      <c r="D403" s="12" t="s">
        <v>97</v>
      </c>
      <c r="E403" s="12" t="s">
        <v>131</v>
      </c>
      <c r="F403" s="12" t="s">
        <v>66</v>
      </c>
      <c r="G403" s="12" t="s">
        <v>86</v>
      </c>
      <c r="H403" s="12">
        <v>2111300</v>
      </c>
      <c r="I403" s="13">
        <v>45915.615428240701</v>
      </c>
      <c r="J403" s="12" t="s">
        <v>127</v>
      </c>
      <c r="K403" s="12" t="s">
        <v>128</v>
      </c>
      <c r="L403" s="14">
        <v>1</v>
      </c>
      <c r="M403" s="14">
        <f t="shared" si="6"/>
        <v>1</v>
      </c>
      <c r="N403" s="7" t="s">
        <v>528</v>
      </c>
      <c r="O403" s="12"/>
      <c r="P403" s="12" t="s">
        <v>130</v>
      </c>
    </row>
    <row r="404" spans="1:16" ht="147" hidden="1" customHeight="1" x14ac:dyDescent="0.35">
      <c r="A404" s="12">
        <v>6575</v>
      </c>
      <c r="B404" s="12" t="s">
        <v>93</v>
      </c>
      <c r="C404" s="12" t="s">
        <v>96</v>
      </c>
      <c r="D404" s="12" t="s">
        <v>97</v>
      </c>
      <c r="E404" s="12" t="s">
        <v>134</v>
      </c>
      <c r="F404" s="12" t="s">
        <v>66</v>
      </c>
      <c r="G404" s="12" t="s">
        <v>86</v>
      </c>
      <c r="H404" s="12">
        <v>2111300</v>
      </c>
      <c r="I404" s="13">
        <v>45915.615428240701</v>
      </c>
      <c r="J404" s="12" t="s">
        <v>127</v>
      </c>
      <c r="K404" s="12" t="s">
        <v>135</v>
      </c>
      <c r="L404" s="14"/>
      <c r="M404" s="14">
        <f t="shared" si="6"/>
        <v>0</v>
      </c>
      <c r="N404" s="7" t="s">
        <v>529</v>
      </c>
      <c r="O404" s="12"/>
      <c r="P404" s="12" t="s">
        <v>130</v>
      </c>
    </row>
    <row r="405" spans="1:16" ht="135.75" hidden="1" customHeight="1" x14ac:dyDescent="0.35">
      <c r="A405" s="12">
        <v>6643</v>
      </c>
      <c r="B405" s="12" t="s">
        <v>93</v>
      </c>
      <c r="C405" s="12" t="s">
        <v>98</v>
      </c>
      <c r="D405" s="12" t="s">
        <v>99</v>
      </c>
      <c r="E405" s="12" t="s">
        <v>126</v>
      </c>
      <c r="F405" s="12" t="s">
        <v>66</v>
      </c>
      <c r="G405" s="12" t="s">
        <v>86</v>
      </c>
      <c r="H405" s="12">
        <v>2111300</v>
      </c>
      <c r="I405" s="13">
        <v>45915.615428240701</v>
      </c>
      <c r="J405" s="12" t="s">
        <v>127</v>
      </c>
      <c r="K405" s="12" t="s">
        <v>132</v>
      </c>
      <c r="L405" s="14">
        <v>0.66600000000000004</v>
      </c>
      <c r="M405" s="14">
        <f t="shared" si="6"/>
        <v>0.66600000000000004</v>
      </c>
      <c r="N405" s="7" t="s">
        <v>530</v>
      </c>
      <c r="O405" s="12"/>
      <c r="P405" s="12" t="s">
        <v>130</v>
      </c>
    </row>
    <row r="406" spans="1:16" ht="191.25" hidden="1" customHeight="1" x14ac:dyDescent="0.35">
      <c r="A406" s="12">
        <v>6576</v>
      </c>
      <c r="B406" s="12" t="s">
        <v>93</v>
      </c>
      <c r="C406" s="12" t="s">
        <v>98</v>
      </c>
      <c r="D406" s="12" t="s">
        <v>99</v>
      </c>
      <c r="E406" s="12" t="s">
        <v>131</v>
      </c>
      <c r="F406" s="12" t="s">
        <v>66</v>
      </c>
      <c r="G406" s="12" t="s">
        <v>86</v>
      </c>
      <c r="H406" s="12">
        <v>2111300</v>
      </c>
      <c r="I406" s="13">
        <v>45915.615428240701</v>
      </c>
      <c r="J406" s="12" t="s">
        <v>127</v>
      </c>
      <c r="K406" s="12" t="s">
        <v>135</v>
      </c>
      <c r="L406" s="14"/>
      <c r="M406" s="14">
        <f t="shared" si="6"/>
        <v>0</v>
      </c>
      <c r="N406" s="7" t="s">
        <v>531</v>
      </c>
      <c r="O406" s="12"/>
      <c r="P406" s="12" t="s">
        <v>130</v>
      </c>
    </row>
    <row r="407" spans="1:16" ht="68.25" hidden="1" customHeight="1" x14ac:dyDescent="0.35">
      <c r="A407" s="12">
        <v>5921</v>
      </c>
      <c r="B407" s="12" t="s">
        <v>93</v>
      </c>
      <c r="C407" s="12" t="s">
        <v>94</v>
      </c>
      <c r="D407" s="12" t="s">
        <v>95</v>
      </c>
      <c r="E407" s="12" t="s">
        <v>126</v>
      </c>
      <c r="F407" s="12" t="s">
        <v>39</v>
      </c>
      <c r="G407" s="12" t="s">
        <v>64</v>
      </c>
      <c r="H407" s="12">
        <v>35</v>
      </c>
      <c r="I407" s="13">
        <v>45888.797835648198</v>
      </c>
      <c r="J407" s="12" t="s">
        <v>127</v>
      </c>
      <c r="K407" s="12" t="s">
        <v>128</v>
      </c>
      <c r="L407" s="14">
        <v>1</v>
      </c>
      <c r="M407" s="14">
        <f t="shared" si="6"/>
        <v>1</v>
      </c>
      <c r="N407" s="7" t="s">
        <v>532</v>
      </c>
      <c r="O407" s="12"/>
      <c r="P407" s="12" t="s">
        <v>130</v>
      </c>
    </row>
    <row r="408" spans="1:16" ht="57" hidden="1" customHeight="1" x14ac:dyDescent="0.35">
      <c r="A408" s="12">
        <v>4961</v>
      </c>
      <c r="B408" s="12" t="s">
        <v>93</v>
      </c>
      <c r="C408" s="12" t="s">
        <v>94</v>
      </c>
      <c r="D408" s="12" t="s">
        <v>95</v>
      </c>
      <c r="E408" s="12" t="s">
        <v>126</v>
      </c>
      <c r="F408" s="12" t="s">
        <v>66</v>
      </c>
      <c r="G408" s="12" t="s">
        <v>64</v>
      </c>
      <c r="H408" s="12">
        <v>3550308</v>
      </c>
      <c r="I408" s="13">
        <v>45911.615231481497</v>
      </c>
      <c r="J408" s="12" t="s">
        <v>127</v>
      </c>
      <c r="K408" s="12" t="s">
        <v>132</v>
      </c>
      <c r="L408" s="14">
        <v>0.66600000000000004</v>
      </c>
      <c r="M408" s="14">
        <f t="shared" si="6"/>
        <v>0.66600000000000004</v>
      </c>
      <c r="N408" s="7" t="s">
        <v>533</v>
      </c>
      <c r="O408" s="12"/>
      <c r="P408" s="12" t="s">
        <v>130</v>
      </c>
    </row>
    <row r="409" spans="1:16" ht="68.25" hidden="1" customHeight="1" x14ac:dyDescent="0.35">
      <c r="A409" s="12">
        <v>5922</v>
      </c>
      <c r="B409" s="12" t="s">
        <v>93</v>
      </c>
      <c r="C409" s="12" t="s">
        <v>94</v>
      </c>
      <c r="D409" s="12" t="s">
        <v>95</v>
      </c>
      <c r="E409" s="12" t="s">
        <v>131</v>
      </c>
      <c r="F409" s="12" t="s">
        <v>39</v>
      </c>
      <c r="G409" s="12" t="s">
        <v>64</v>
      </c>
      <c r="H409" s="12">
        <v>35</v>
      </c>
      <c r="I409" s="13">
        <v>45888.797835648198</v>
      </c>
      <c r="J409" s="12" t="s">
        <v>127</v>
      </c>
      <c r="K409" s="12" t="s">
        <v>132</v>
      </c>
      <c r="L409" s="14">
        <v>0.66600000000000004</v>
      </c>
      <c r="M409" s="14">
        <f t="shared" si="6"/>
        <v>0.66600000000000004</v>
      </c>
      <c r="N409" s="7" t="s">
        <v>534</v>
      </c>
      <c r="O409" s="12"/>
      <c r="P409" s="12" t="s">
        <v>130</v>
      </c>
    </row>
    <row r="410" spans="1:16" ht="79.5" hidden="1" customHeight="1" x14ac:dyDescent="0.35">
      <c r="A410" s="12">
        <v>4946</v>
      </c>
      <c r="B410" s="12" t="s">
        <v>93</v>
      </c>
      <c r="C410" s="12" t="s">
        <v>94</v>
      </c>
      <c r="D410" s="12" t="s">
        <v>95</v>
      </c>
      <c r="E410" s="12" t="s">
        <v>131</v>
      </c>
      <c r="F410" s="12" t="s">
        <v>66</v>
      </c>
      <c r="G410" s="12" t="s">
        <v>64</v>
      </c>
      <c r="H410" s="12">
        <v>3550308</v>
      </c>
      <c r="I410" s="13">
        <v>45911.615231481497</v>
      </c>
      <c r="J410" s="12" t="s">
        <v>127</v>
      </c>
      <c r="K410" s="12" t="s">
        <v>142</v>
      </c>
      <c r="L410" s="14">
        <v>0.33300000000000002</v>
      </c>
      <c r="M410" s="14">
        <f t="shared" si="6"/>
        <v>0.33300000000000002</v>
      </c>
      <c r="N410" s="7" t="s">
        <v>535</v>
      </c>
      <c r="O410" s="12"/>
      <c r="P410" s="12" t="s">
        <v>130</v>
      </c>
    </row>
    <row r="411" spans="1:16" ht="45.75" hidden="1" customHeight="1" x14ac:dyDescent="0.35">
      <c r="A411" s="12">
        <v>5941</v>
      </c>
      <c r="B411" s="12" t="s">
        <v>93</v>
      </c>
      <c r="C411" s="12" t="s">
        <v>94</v>
      </c>
      <c r="D411" s="12" t="s">
        <v>95</v>
      </c>
      <c r="E411" s="12" t="s">
        <v>134</v>
      </c>
      <c r="F411" s="12" t="s">
        <v>39</v>
      </c>
      <c r="G411" s="12" t="s">
        <v>64</v>
      </c>
      <c r="H411" s="12">
        <v>35</v>
      </c>
      <c r="I411" s="13">
        <v>45888.797835648198</v>
      </c>
      <c r="J411" s="12" t="s">
        <v>127</v>
      </c>
      <c r="K411" s="12" t="s">
        <v>128</v>
      </c>
      <c r="L411" s="14">
        <v>1</v>
      </c>
      <c r="M411" s="14">
        <f t="shared" si="6"/>
        <v>1</v>
      </c>
      <c r="N411" s="7" t="s">
        <v>536</v>
      </c>
      <c r="O411" s="12"/>
      <c r="P411" s="12" t="s">
        <v>130</v>
      </c>
    </row>
    <row r="412" spans="1:16" ht="68.25" hidden="1" customHeight="1" x14ac:dyDescent="0.35">
      <c r="A412" s="12">
        <v>4844</v>
      </c>
      <c r="B412" s="12" t="s">
        <v>93</v>
      </c>
      <c r="C412" s="12" t="s">
        <v>94</v>
      </c>
      <c r="D412" s="12" t="s">
        <v>95</v>
      </c>
      <c r="E412" s="12" t="s">
        <v>134</v>
      </c>
      <c r="F412" s="12" t="s">
        <v>66</v>
      </c>
      <c r="G412" s="12" t="s">
        <v>64</v>
      </c>
      <c r="H412" s="12">
        <v>3550308</v>
      </c>
      <c r="I412" s="13">
        <v>45911.615231481497</v>
      </c>
      <c r="J412" s="12" t="s">
        <v>127</v>
      </c>
      <c r="K412" s="12" t="s">
        <v>132</v>
      </c>
      <c r="L412" s="14">
        <v>0.66600000000000004</v>
      </c>
      <c r="M412" s="14">
        <f t="shared" si="6"/>
        <v>0.66600000000000004</v>
      </c>
      <c r="N412" s="7" t="s">
        <v>537</v>
      </c>
      <c r="O412" s="12"/>
      <c r="P412" s="12"/>
    </row>
    <row r="413" spans="1:16" ht="45.75" hidden="1" customHeight="1" x14ac:dyDescent="0.35">
      <c r="A413" s="12">
        <v>5923</v>
      </c>
      <c r="B413" s="12" t="s">
        <v>93</v>
      </c>
      <c r="C413" s="12" t="s">
        <v>94</v>
      </c>
      <c r="D413" s="12" t="s">
        <v>95</v>
      </c>
      <c r="E413" s="12" t="s">
        <v>137</v>
      </c>
      <c r="F413" s="12" t="s">
        <v>39</v>
      </c>
      <c r="G413" s="12" t="s">
        <v>64</v>
      </c>
      <c r="H413" s="12">
        <v>35</v>
      </c>
      <c r="I413" s="13">
        <v>45888.797835648198</v>
      </c>
      <c r="J413" s="12" t="s">
        <v>127</v>
      </c>
      <c r="K413" s="12" t="s">
        <v>132</v>
      </c>
      <c r="L413" s="14">
        <v>0.66600000000000004</v>
      </c>
      <c r="M413" s="14">
        <f t="shared" si="6"/>
        <v>0.66600000000000004</v>
      </c>
      <c r="N413" s="7" t="s">
        <v>538</v>
      </c>
      <c r="O413" s="12"/>
      <c r="P413" s="12" t="s">
        <v>130</v>
      </c>
    </row>
    <row r="414" spans="1:16" ht="124.5" hidden="1" customHeight="1" x14ac:dyDescent="0.35">
      <c r="A414" s="12">
        <v>4951</v>
      </c>
      <c r="B414" s="12" t="s">
        <v>93</v>
      </c>
      <c r="C414" s="12" t="s">
        <v>94</v>
      </c>
      <c r="D414" s="12" t="s">
        <v>95</v>
      </c>
      <c r="E414" s="12" t="s">
        <v>137</v>
      </c>
      <c r="F414" s="12" t="s">
        <v>66</v>
      </c>
      <c r="G414" s="12" t="s">
        <v>64</v>
      </c>
      <c r="H414" s="12">
        <v>3550308</v>
      </c>
      <c r="I414" s="13">
        <v>45911.615231481497</v>
      </c>
      <c r="J414" s="12" t="s">
        <v>127</v>
      </c>
      <c r="K414" s="12" t="s">
        <v>142</v>
      </c>
      <c r="L414" s="14">
        <v>0.33300000000000002</v>
      </c>
      <c r="M414" s="14">
        <f t="shared" si="6"/>
        <v>0.33300000000000002</v>
      </c>
      <c r="N414" s="7" t="s">
        <v>539</v>
      </c>
      <c r="O414" s="12"/>
      <c r="P414" s="12" t="s">
        <v>130</v>
      </c>
    </row>
    <row r="415" spans="1:16" ht="45.75" customHeight="1" x14ac:dyDescent="0.35">
      <c r="A415" s="12">
        <v>5924</v>
      </c>
      <c r="B415" s="12" t="s">
        <v>93</v>
      </c>
      <c r="C415" s="12" t="s">
        <v>96</v>
      </c>
      <c r="D415" s="12" t="s">
        <v>97</v>
      </c>
      <c r="E415" s="12" t="s">
        <v>126</v>
      </c>
      <c r="F415" s="12" t="s">
        <v>39</v>
      </c>
      <c r="G415" s="12" t="s">
        <v>64</v>
      </c>
      <c r="H415" s="12">
        <v>35</v>
      </c>
      <c r="I415" s="13">
        <v>45888.797835648198</v>
      </c>
      <c r="J415" s="12" t="s">
        <v>127</v>
      </c>
      <c r="K415" s="12" t="s">
        <v>128</v>
      </c>
      <c r="L415" s="14">
        <v>1</v>
      </c>
      <c r="M415" s="14">
        <f t="shared" si="6"/>
        <v>1</v>
      </c>
      <c r="N415" s="7" t="s">
        <v>540</v>
      </c>
      <c r="O415" s="12"/>
      <c r="P415" s="12" t="s">
        <v>130</v>
      </c>
    </row>
    <row r="416" spans="1:16" ht="102" hidden="1" customHeight="1" x14ac:dyDescent="0.35">
      <c r="A416" s="12">
        <v>6408</v>
      </c>
      <c r="B416" s="12" t="s">
        <v>93</v>
      </c>
      <c r="C416" s="12" t="s">
        <v>96</v>
      </c>
      <c r="D416" s="12" t="s">
        <v>97</v>
      </c>
      <c r="E416" s="12" t="s">
        <v>126</v>
      </c>
      <c r="F416" s="12" t="s">
        <v>66</v>
      </c>
      <c r="G416" s="12" t="s">
        <v>64</v>
      </c>
      <c r="H416" s="12">
        <v>3550308</v>
      </c>
      <c r="I416" s="13">
        <v>45911.615231481497</v>
      </c>
      <c r="J416" s="12" t="s">
        <v>127</v>
      </c>
      <c r="K416" s="12" t="s">
        <v>132</v>
      </c>
      <c r="L416" s="14">
        <v>0.66600000000000004</v>
      </c>
      <c r="M416" s="14">
        <f t="shared" si="6"/>
        <v>0.66600000000000004</v>
      </c>
      <c r="N416" s="7" t="s">
        <v>541</v>
      </c>
      <c r="O416" s="12"/>
      <c r="P416" s="12" t="s">
        <v>130</v>
      </c>
    </row>
    <row r="417" spans="1:16" ht="34.5" customHeight="1" x14ac:dyDescent="0.35">
      <c r="A417" s="12">
        <v>5925</v>
      </c>
      <c r="B417" s="12" t="s">
        <v>93</v>
      </c>
      <c r="C417" s="12" t="s">
        <v>96</v>
      </c>
      <c r="D417" s="12" t="s">
        <v>97</v>
      </c>
      <c r="E417" s="12" t="s">
        <v>131</v>
      </c>
      <c r="F417" s="12" t="s">
        <v>39</v>
      </c>
      <c r="G417" s="12" t="s">
        <v>64</v>
      </c>
      <c r="H417" s="12">
        <v>35</v>
      </c>
      <c r="I417" s="13">
        <v>45888.797835648198</v>
      </c>
      <c r="J417" s="12" t="s">
        <v>127</v>
      </c>
      <c r="K417" s="12" t="s">
        <v>128</v>
      </c>
      <c r="L417" s="14">
        <v>1</v>
      </c>
      <c r="M417" s="14">
        <f t="shared" si="6"/>
        <v>1</v>
      </c>
      <c r="N417" s="7" t="s">
        <v>542</v>
      </c>
      <c r="O417" s="12"/>
      <c r="P417" s="12" t="s">
        <v>130</v>
      </c>
    </row>
    <row r="418" spans="1:16" ht="79.5" hidden="1" customHeight="1" x14ac:dyDescent="0.35">
      <c r="A418" s="12">
        <v>7501</v>
      </c>
      <c r="B418" s="12" t="s">
        <v>93</v>
      </c>
      <c r="C418" s="12" t="s">
        <v>96</v>
      </c>
      <c r="D418" s="12" t="s">
        <v>97</v>
      </c>
      <c r="E418" s="12" t="s">
        <v>131</v>
      </c>
      <c r="F418" s="12" t="s">
        <v>66</v>
      </c>
      <c r="G418" s="12" t="s">
        <v>64</v>
      </c>
      <c r="H418" s="12">
        <v>3550308</v>
      </c>
      <c r="I418" s="13">
        <v>45911.615231481497</v>
      </c>
      <c r="J418" s="12" t="s">
        <v>127</v>
      </c>
      <c r="K418" s="12" t="s">
        <v>132</v>
      </c>
      <c r="L418" s="14">
        <v>0.66600000000000004</v>
      </c>
      <c r="M418" s="14">
        <f t="shared" si="6"/>
        <v>0.66600000000000004</v>
      </c>
      <c r="N418" s="7" t="s">
        <v>543</v>
      </c>
      <c r="O418" s="12"/>
      <c r="P418" s="12" t="s">
        <v>130</v>
      </c>
    </row>
    <row r="419" spans="1:16" ht="68.25" customHeight="1" x14ac:dyDescent="0.35">
      <c r="A419" s="12">
        <v>5944</v>
      </c>
      <c r="B419" s="12" t="s">
        <v>93</v>
      </c>
      <c r="C419" s="12" t="s">
        <v>96</v>
      </c>
      <c r="D419" s="12" t="s">
        <v>97</v>
      </c>
      <c r="E419" s="12" t="s">
        <v>134</v>
      </c>
      <c r="F419" s="12" t="s">
        <v>39</v>
      </c>
      <c r="G419" s="12" t="s">
        <v>64</v>
      </c>
      <c r="H419" s="12">
        <v>35</v>
      </c>
      <c r="I419" s="13">
        <v>45888.797835648198</v>
      </c>
      <c r="J419" s="12" t="s">
        <v>127</v>
      </c>
      <c r="K419" s="12" t="s">
        <v>132</v>
      </c>
      <c r="L419" s="14">
        <v>0.66600000000000004</v>
      </c>
      <c r="M419" s="14">
        <f t="shared" si="6"/>
        <v>0.66600000000000004</v>
      </c>
      <c r="N419" s="7" t="s">
        <v>544</v>
      </c>
      <c r="O419" s="12"/>
      <c r="P419" s="12" t="s">
        <v>130</v>
      </c>
    </row>
    <row r="420" spans="1:16" ht="68.25" hidden="1" customHeight="1" x14ac:dyDescent="0.35">
      <c r="A420" s="12">
        <v>7503</v>
      </c>
      <c r="B420" s="12" t="s">
        <v>93</v>
      </c>
      <c r="C420" s="12" t="s">
        <v>96</v>
      </c>
      <c r="D420" s="12" t="s">
        <v>97</v>
      </c>
      <c r="E420" s="12" t="s">
        <v>134</v>
      </c>
      <c r="F420" s="12" t="s">
        <v>66</v>
      </c>
      <c r="G420" s="12" t="s">
        <v>64</v>
      </c>
      <c r="H420" s="12">
        <v>3550308</v>
      </c>
      <c r="I420" s="13">
        <v>45911.615231481497</v>
      </c>
      <c r="J420" s="12" t="s">
        <v>127</v>
      </c>
      <c r="K420" s="12" t="s">
        <v>545</v>
      </c>
      <c r="L420" s="14"/>
      <c r="M420" s="14" t="str">
        <f t="shared" si="6"/>
        <v/>
      </c>
      <c r="N420" s="7" t="s">
        <v>546</v>
      </c>
      <c r="O420" s="12"/>
      <c r="P420" s="12" t="s">
        <v>130</v>
      </c>
    </row>
    <row r="421" spans="1:16" ht="57" hidden="1" customHeight="1" x14ac:dyDescent="0.35">
      <c r="A421" s="12">
        <v>5926</v>
      </c>
      <c r="B421" s="12" t="s">
        <v>93</v>
      </c>
      <c r="C421" s="12" t="s">
        <v>98</v>
      </c>
      <c r="D421" s="12" t="s">
        <v>99</v>
      </c>
      <c r="E421" s="12" t="s">
        <v>126</v>
      </c>
      <c r="F421" s="12" t="s">
        <v>39</v>
      </c>
      <c r="G421" s="12" t="s">
        <v>64</v>
      </c>
      <c r="H421" s="12">
        <v>35</v>
      </c>
      <c r="I421" s="13">
        <v>45888.797835648198</v>
      </c>
      <c r="J421" s="12" t="s">
        <v>127</v>
      </c>
      <c r="K421" s="12" t="s">
        <v>132</v>
      </c>
      <c r="L421" s="14">
        <v>0.66600000000000004</v>
      </c>
      <c r="M421" s="14">
        <f t="shared" si="6"/>
        <v>0.66600000000000004</v>
      </c>
      <c r="N421" s="7" t="s">
        <v>547</v>
      </c>
      <c r="O421" s="12"/>
      <c r="P421" s="12" t="s">
        <v>130</v>
      </c>
    </row>
    <row r="422" spans="1:16" ht="68.25" hidden="1" customHeight="1" x14ac:dyDescent="0.35">
      <c r="A422" s="12">
        <v>7421</v>
      </c>
      <c r="B422" s="12" t="s">
        <v>93</v>
      </c>
      <c r="C422" s="12" t="s">
        <v>98</v>
      </c>
      <c r="D422" s="12" t="s">
        <v>99</v>
      </c>
      <c r="E422" s="12" t="s">
        <v>126</v>
      </c>
      <c r="F422" s="12" t="s">
        <v>66</v>
      </c>
      <c r="G422" s="12" t="s">
        <v>64</v>
      </c>
      <c r="H422" s="12">
        <v>3550308</v>
      </c>
      <c r="I422" s="13">
        <v>45911.615231481497</v>
      </c>
      <c r="J422" s="12" t="s">
        <v>127</v>
      </c>
      <c r="K422" s="12" t="s">
        <v>545</v>
      </c>
      <c r="L422" s="14"/>
      <c r="M422" s="14" t="str">
        <f t="shared" si="6"/>
        <v/>
      </c>
      <c r="N422" s="7" t="s">
        <v>546</v>
      </c>
      <c r="O422" s="12"/>
      <c r="P422" s="12" t="s">
        <v>130</v>
      </c>
    </row>
    <row r="423" spans="1:16" ht="68.25" hidden="1" customHeight="1" x14ac:dyDescent="0.35">
      <c r="A423" s="12">
        <v>7422</v>
      </c>
      <c r="B423" s="12" t="s">
        <v>93</v>
      </c>
      <c r="C423" s="12" t="s">
        <v>98</v>
      </c>
      <c r="D423" s="12" t="s">
        <v>99</v>
      </c>
      <c r="E423" s="12" t="s">
        <v>131</v>
      </c>
      <c r="F423" s="12" t="s">
        <v>66</v>
      </c>
      <c r="G423" s="12" t="s">
        <v>64</v>
      </c>
      <c r="H423" s="12">
        <v>3550308</v>
      </c>
      <c r="I423" s="13">
        <v>45911.615231481497</v>
      </c>
      <c r="J423" s="12" t="s">
        <v>127</v>
      </c>
      <c r="K423" s="12" t="s">
        <v>545</v>
      </c>
      <c r="L423" s="14"/>
      <c r="M423" s="14" t="str">
        <f t="shared" si="6"/>
        <v/>
      </c>
      <c r="N423" s="7" t="s">
        <v>546</v>
      </c>
      <c r="O423" s="12"/>
      <c r="P423" s="12" t="s">
        <v>130</v>
      </c>
    </row>
    <row r="424" spans="1:16" ht="68.25" hidden="1" customHeight="1" x14ac:dyDescent="0.35">
      <c r="A424" s="12">
        <v>5945</v>
      </c>
      <c r="B424" s="12" t="s">
        <v>93</v>
      </c>
      <c r="C424" s="12" t="s">
        <v>98</v>
      </c>
      <c r="D424" s="12" t="s">
        <v>99</v>
      </c>
      <c r="E424" s="12" t="s">
        <v>131</v>
      </c>
      <c r="F424" s="12" t="s">
        <v>39</v>
      </c>
      <c r="G424" s="12" t="s">
        <v>64</v>
      </c>
      <c r="H424" s="12">
        <v>35</v>
      </c>
      <c r="I424" s="13">
        <v>45888.797835648198</v>
      </c>
      <c r="J424" s="12" t="s">
        <v>127</v>
      </c>
      <c r="K424" s="12" t="s">
        <v>132</v>
      </c>
      <c r="L424" s="14">
        <v>0.66600000000000004</v>
      </c>
      <c r="M424" s="14">
        <f t="shared" si="6"/>
        <v>0.66600000000000004</v>
      </c>
      <c r="N424" s="7" t="s">
        <v>548</v>
      </c>
      <c r="O424" s="12"/>
      <c r="P424" s="12" t="s">
        <v>130</v>
      </c>
    </row>
    <row r="425" spans="1:16" ht="79.5" hidden="1" customHeight="1" x14ac:dyDescent="0.35">
      <c r="A425" s="12">
        <v>7498</v>
      </c>
      <c r="B425" s="12" t="s">
        <v>93</v>
      </c>
      <c r="C425" s="12" t="s">
        <v>94</v>
      </c>
      <c r="D425" s="12" t="s">
        <v>95</v>
      </c>
      <c r="E425" s="12" t="s">
        <v>126</v>
      </c>
      <c r="F425" s="12" t="s">
        <v>66</v>
      </c>
      <c r="G425" s="12" t="s">
        <v>87</v>
      </c>
      <c r="H425" s="12">
        <v>2211001</v>
      </c>
      <c r="I425" s="13">
        <v>45915.662974537001</v>
      </c>
      <c r="J425" s="12" t="s">
        <v>127</v>
      </c>
      <c r="K425" s="12" t="s">
        <v>132</v>
      </c>
      <c r="L425" s="14">
        <v>0.66600000000000004</v>
      </c>
      <c r="M425" s="14">
        <f t="shared" si="6"/>
        <v>0.66600000000000004</v>
      </c>
      <c r="N425" s="7" t="s">
        <v>549</v>
      </c>
      <c r="O425" s="12"/>
      <c r="P425" s="12" t="s">
        <v>130</v>
      </c>
    </row>
    <row r="426" spans="1:16" ht="23.25" hidden="1" customHeight="1" x14ac:dyDescent="0.35">
      <c r="A426" s="12">
        <v>7541</v>
      </c>
      <c r="B426" s="12" t="s">
        <v>93</v>
      </c>
      <c r="C426" s="12" t="s">
        <v>94</v>
      </c>
      <c r="D426" s="12" t="s">
        <v>95</v>
      </c>
      <c r="E426" s="12" t="s">
        <v>131</v>
      </c>
      <c r="F426" s="12" t="s">
        <v>66</v>
      </c>
      <c r="G426" s="12" t="s">
        <v>87</v>
      </c>
      <c r="H426" s="12">
        <v>2211001</v>
      </c>
      <c r="I426" s="13">
        <v>45915.662974537001</v>
      </c>
      <c r="J426" s="12" t="s">
        <v>127</v>
      </c>
      <c r="K426" s="12" t="s">
        <v>135</v>
      </c>
      <c r="L426" s="14"/>
      <c r="M426" s="14">
        <f t="shared" si="6"/>
        <v>0</v>
      </c>
      <c r="N426" s="7" t="s">
        <v>550</v>
      </c>
      <c r="O426" s="12"/>
      <c r="P426" s="12" t="s">
        <v>130</v>
      </c>
    </row>
    <row r="427" spans="1:16" ht="23.25" hidden="1" customHeight="1" x14ac:dyDescent="0.35">
      <c r="A427" s="12">
        <v>7542</v>
      </c>
      <c r="B427" s="12" t="s">
        <v>93</v>
      </c>
      <c r="C427" s="12" t="s">
        <v>94</v>
      </c>
      <c r="D427" s="12" t="s">
        <v>95</v>
      </c>
      <c r="E427" s="12" t="s">
        <v>134</v>
      </c>
      <c r="F427" s="12" t="s">
        <v>66</v>
      </c>
      <c r="G427" s="12" t="s">
        <v>87</v>
      </c>
      <c r="H427" s="12">
        <v>2211001</v>
      </c>
      <c r="I427" s="13">
        <v>45915.662974537001</v>
      </c>
      <c r="J427" s="12" t="s">
        <v>127</v>
      </c>
      <c r="K427" s="12" t="s">
        <v>135</v>
      </c>
      <c r="L427" s="14"/>
      <c r="M427" s="14">
        <f t="shared" si="6"/>
        <v>0</v>
      </c>
      <c r="N427" s="7" t="s">
        <v>419</v>
      </c>
      <c r="O427" s="12"/>
      <c r="P427" s="12" t="s">
        <v>130</v>
      </c>
    </row>
    <row r="428" spans="1:16" ht="15" hidden="1" customHeight="1" x14ac:dyDescent="0.35">
      <c r="A428" s="12">
        <v>7526</v>
      </c>
      <c r="B428" s="12" t="s">
        <v>93</v>
      </c>
      <c r="C428" s="12" t="s">
        <v>94</v>
      </c>
      <c r="D428" s="12" t="s">
        <v>95</v>
      </c>
      <c r="E428" s="12" t="s">
        <v>137</v>
      </c>
      <c r="F428" s="12" t="s">
        <v>66</v>
      </c>
      <c r="G428" s="12" t="s">
        <v>87</v>
      </c>
      <c r="H428" s="12">
        <v>2211001</v>
      </c>
      <c r="I428" s="13">
        <v>45915.662974537001</v>
      </c>
      <c r="J428" s="12" t="s">
        <v>127</v>
      </c>
      <c r="K428" s="12" t="s">
        <v>135</v>
      </c>
      <c r="L428" s="14"/>
      <c r="M428" s="14">
        <f t="shared" si="6"/>
        <v>0</v>
      </c>
      <c r="N428" s="7" t="s">
        <v>551</v>
      </c>
      <c r="O428" s="12"/>
      <c r="P428" s="12" t="s">
        <v>130</v>
      </c>
    </row>
    <row r="429" spans="1:16" ht="45.75" hidden="1" customHeight="1" x14ac:dyDescent="0.35">
      <c r="A429" s="12">
        <v>7543</v>
      </c>
      <c r="B429" s="12" t="s">
        <v>93</v>
      </c>
      <c r="C429" s="12" t="s">
        <v>96</v>
      </c>
      <c r="D429" s="12" t="s">
        <v>97</v>
      </c>
      <c r="E429" s="12" t="s">
        <v>126</v>
      </c>
      <c r="F429" s="12" t="s">
        <v>66</v>
      </c>
      <c r="G429" s="12" t="s">
        <v>87</v>
      </c>
      <c r="H429" s="12">
        <v>2211001</v>
      </c>
      <c r="I429" s="13">
        <v>45915.662974537001</v>
      </c>
      <c r="J429" s="12" t="s">
        <v>127</v>
      </c>
      <c r="K429" s="12" t="s">
        <v>132</v>
      </c>
      <c r="L429" s="14">
        <v>0.66600000000000004</v>
      </c>
      <c r="M429" s="14">
        <f t="shared" si="6"/>
        <v>0.66600000000000004</v>
      </c>
      <c r="N429" s="7" t="s">
        <v>552</v>
      </c>
      <c r="O429" s="12"/>
      <c r="P429" s="12" t="s">
        <v>130</v>
      </c>
    </row>
    <row r="430" spans="1:16" ht="57" hidden="1" customHeight="1" x14ac:dyDescent="0.35">
      <c r="A430" s="12">
        <v>7544</v>
      </c>
      <c r="B430" s="12" t="s">
        <v>93</v>
      </c>
      <c r="C430" s="12" t="s">
        <v>96</v>
      </c>
      <c r="D430" s="12" t="s">
        <v>97</v>
      </c>
      <c r="E430" s="12" t="s">
        <v>131</v>
      </c>
      <c r="F430" s="12" t="s">
        <v>66</v>
      </c>
      <c r="G430" s="12" t="s">
        <v>87</v>
      </c>
      <c r="H430" s="12">
        <v>2211001</v>
      </c>
      <c r="I430" s="13">
        <v>45915.662974537001</v>
      </c>
      <c r="J430" s="12" t="s">
        <v>127</v>
      </c>
      <c r="K430" s="12" t="s">
        <v>132</v>
      </c>
      <c r="L430" s="14">
        <v>0.66600000000000004</v>
      </c>
      <c r="M430" s="14">
        <f t="shared" si="6"/>
        <v>0.66600000000000004</v>
      </c>
      <c r="N430" s="7" t="s">
        <v>553</v>
      </c>
      <c r="O430" s="12"/>
      <c r="P430" s="12" t="s">
        <v>130</v>
      </c>
    </row>
    <row r="431" spans="1:16" ht="23.25" hidden="1" customHeight="1" x14ac:dyDescent="0.35">
      <c r="A431" s="12">
        <v>7527</v>
      </c>
      <c r="B431" s="12" t="s">
        <v>93</v>
      </c>
      <c r="C431" s="12" t="s">
        <v>96</v>
      </c>
      <c r="D431" s="12" t="s">
        <v>97</v>
      </c>
      <c r="E431" s="12" t="s">
        <v>134</v>
      </c>
      <c r="F431" s="12" t="s">
        <v>66</v>
      </c>
      <c r="G431" s="12" t="s">
        <v>87</v>
      </c>
      <c r="H431" s="12">
        <v>2211001</v>
      </c>
      <c r="I431" s="13">
        <v>45915.662974537001</v>
      </c>
      <c r="J431" s="12" t="s">
        <v>127</v>
      </c>
      <c r="K431" s="12" t="s">
        <v>135</v>
      </c>
      <c r="L431" s="14"/>
      <c r="M431" s="14">
        <f t="shared" si="6"/>
        <v>0</v>
      </c>
      <c r="N431" s="7" t="s">
        <v>554</v>
      </c>
      <c r="O431" s="12"/>
      <c r="P431" s="12" t="s">
        <v>130</v>
      </c>
    </row>
    <row r="432" spans="1:16" ht="34.5" hidden="1" customHeight="1" x14ac:dyDescent="0.35">
      <c r="A432" s="12">
        <v>7528</v>
      </c>
      <c r="B432" s="12" t="s">
        <v>93</v>
      </c>
      <c r="C432" s="12" t="s">
        <v>98</v>
      </c>
      <c r="D432" s="12" t="s">
        <v>99</v>
      </c>
      <c r="E432" s="12" t="s">
        <v>126</v>
      </c>
      <c r="F432" s="12" t="s">
        <v>66</v>
      </c>
      <c r="G432" s="12" t="s">
        <v>87</v>
      </c>
      <c r="H432" s="12">
        <v>2211001</v>
      </c>
      <c r="I432" s="13">
        <v>45915.662974537001</v>
      </c>
      <c r="J432" s="12" t="s">
        <v>127</v>
      </c>
      <c r="K432" s="12" t="s">
        <v>135</v>
      </c>
      <c r="L432" s="14"/>
      <c r="M432" s="14">
        <f t="shared" si="6"/>
        <v>0</v>
      </c>
      <c r="N432" s="7" t="s">
        <v>555</v>
      </c>
      <c r="O432" s="12"/>
      <c r="P432" s="12" t="s">
        <v>130</v>
      </c>
    </row>
    <row r="433" spans="1:16" ht="23.25" hidden="1" customHeight="1" x14ac:dyDescent="0.35">
      <c r="A433" s="12">
        <v>7545</v>
      </c>
      <c r="B433" s="12" t="s">
        <v>93</v>
      </c>
      <c r="C433" s="12" t="s">
        <v>98</v>
      </c>
      <c r="D433" s="12" t="s">
        <v>99</v>
      </c>
      <c r="E433" s="12" t="s">
        <v>131</v>
      </c>
      <c r="F433" s="12" t="s">
        <v>66</v>
      </c>
      <c r="G433" s="12" t="s">
        <v>87</v>
      </c>
      <c r="H433" s="12">
        <v>2211001</v>
      </c>
      <c r="I433" s="13">
        <v>45915.662974537001</v>
      </c>
      <c r="J433" s="12" t="s">
        <v>127</v>
      </c>
      <c r="K433" s="12" t="s">
        <v>135</v>
      </c>
      <c r="L433" s="14"/>
      <c r="M433" s="14">
        <f t="shared" si="6"/>
        <v>0</v>
      </c>
      <c r="N433" s="7" t="s">
        <v>556</v>
      </c>
      <c r="O433" s="12"/>
      <c r="P433" s="12" t="s">
        <v>130</v>
      </c>
    </row>
    <row r="434" spans="1:16" ht="79.5" hidden="1" customHeight="1" x14ac:dyDescent="0.35">
      <c r="A434" s="12">
        <v>8201</v>
      </c>
      <c r="B434" s="12" t="s">
        <v>93</v>
      </c>
      <c r="C434" s="12" t="s">
        <v>94</v>
      </c>
      <c r="D434" s="12" t="s">
        <v>95</v>
      </c>
      <c r="E434" s="12" t="s">
        <v>126</v>
      </c>
      <c r="F434" s="12" t="s">
        <v>39</v>
      </c>
      <c r="G434" s="12" t="s">
        <v>65</v>
      </c>
      <c r="H434" s="12">
        <v>17</v>
      </c>
      <c r="I434" s="13">
        <v>45912.724004629599</v>
      </c>
      <c r="J434" s="12" t="s">
        <v>127</v>
      </c>
      <c r="K434" s="12" t="s">
        <v>142</v>
      </c>
      <c r="L434" s="14">
        <v>0.33300000000000002</v>
      </c>
      <c r="M434" s="14">
        <f t="shared" si="6"/>
        <v>0.33300000000000002</v>
      </c>
      <c r="N434" s="7" t="s">
        <v>557</v>
      </c>
      <c r="O434" s="12"/>
      <c r="P434" s="12" t="s">
        <v>130</v>
      </c>
    </row>
    <row r="435" spans="1:16" ht="68.25" hidden="1" customHeight="1" x14ac:dyDescent="0.35">
      <c r="A435" s="12">
        <v>8221</v>
      </c>
      <c r="B435" s="12" t="s">
        <v>93</v>
      </c>
      <c r="C435" s="12" t="s">
        <v>94</v>
      </c>
      <c r="D435" s="12" t="s">
        <v>95</v>
      </c>
      <c r="E435" s="12" t="s">
        <v>131</v>
      </c>
      <c r="F435" s="12" t="s">
        <v>39</v>
      </c>
      <c r="G435" s="12" t="s">
        <v>65</v>
      </c>
      <c r="H435" s="12">
        <v>17</v>
      </c>
      <c r="I435" s="13">
        <v>45912.724004629599</v>
      </c>
      <c r="J435" s="12" t="s">
        <v>127</v>
      </c>
      <c r="K435" s="12" t="s">
        <v>135</v>
      </c>
      <c r="L435" s="14"/>
      <c r="M435" s="14">
        <f t="shared" si="6"/>
        <v>0</v>
      </c>
      <c r="N435" s="7" t="s">
        <v>558</v>
      </c>
      <c r="O435" s="12"/>
      <c r="P435" s="12" t="s">
        <v>130</v>
      </c>
    </row>
    <row r="436" spans="1:16" ht="45.75" hidden="1" customHeight="1" x14ac:dyDescent="0.35">
      <c r="A436" s="12">
        <v>8202</v>
      </c>
      <c r="B436" s="12" t="s">
        <v>93</v>
      </c>
      <c r="C436" s="12" t="s">
        <v>94</v>
      </c>
      <c r="D436" s="12" t="s">
        <v>95</v>
      </c>
      <c r="E436" s="12" t="s">
        <v>134</v>
      </c>
      <c r="F436" s="12" t="s">
        <v>39</v>
      </c>
      <c r="G436" s="12" t="s">
        <v>65</v>
      </c>
      <c r="H436" s="12">
        <v>17</v>
      </c>
      <c r="I436" s="13">
        <v>45912.724004629599</v>
      </c>
      <c r="J436" s="12" t="s">
        <v>127</v>
      </c>
      <c r="K436" s="12" t="s">
        <v>142</v>
      </c>
      <c r="L436" s="14">
        <v>0.33300000000000002</v>
      </c>
      <c r="M436" s="14">
        <f t="shared" si="6"/>
        <v>0.33300000000000002</v>
      </c>
      <c r="N436" s="7" t="s">
        <v>559</v>
      </c>
      <c r="O436" s="12"/>
      <c r="P436" s="12" t="s">
        <v>130</v>
      </c>
    </row>
    <row r="437" spans="1:16" ht="23.25" hidden="1" customHeight="1" x14ac:dyDescent="0.35">
      <c r="A437" s="12">
        <v>8203</v>
      </c>
      <c r="B437" s="12" t="s">
        <v>93</v>
      </c>
      <c r="C437" s="12" t="s">
        <v>94</v>
      </c>
      <c r="D437" s="12" t="s">
        <v>95</v>
      </c>
      <c r="E437" s="12" t="s">
        <v>137</v>
      </c>
      <c r="F437" s="12" t="s">
        <v>39</v>
      </c>
      <c r="G437" s="12" t="s">
        <v>65</v>
      </c>
      <c r="H437" s="12">
        <v>17</v>
      </c>
      <c r="I437" s="13">
        <v>45912.724004629599</v>
      </c>
      <c r="J437" s="12" t="s">
        <v>127</v>
      </c>
      <c r="K437" s="12" t="s">
        <v>135</v>
      </c>
      <c r="L437" s="14"/>
      <c r="M437" s="14">
        <f t="shared" si="6"/>
        <v>0</v>
      </c>
      <c r="N437" s="7" t="s">
        <v>560</v>
      </c>
      <c r="O437" s="12"/>
      <c r="P437" s="12" t="s">
        <v>130</v>
      </c>
    </row>
    <row r="438" spans="1:16" ht="79.5" hidden="1" customHeight="1" x14ac:dyDescent="0.35">
      <c r="A438" s="12">
        <v>8222</v>
      </c>
      <c r="B438" s="12" t="s">
        <v>93</v>
      </c>
      <c r="C438" s="12" t="s">
        <v>96</v>
      </c>
      <c r="D438" s="12" t="s">
        <v>97</v>
      </c>
      <c r="E438" s="12" t="s">
        <v>126</v>
      </c>
      <c r="F438" s="12" t="s">
        <v>39</v>
      </c>
      <c r="G438" s="12" t="s">
        <v>65</v>
      </c>
      <c r="H438" s="12">
        <v>17</v>
      </c>
      <c r="I438" s="13">
        <v>45912.724004629599</v>
      </c>
      <c r="J438" s="12" t="s">
        <v>127</v>
      </c>
      <c r="K438" s="12" t="s">
        <v>128</v>
      </c>
      <c r="L438" s="14">
        <v>1</v>
      </c>
      <c r="M438" s="14">
        <f t="shared" si="6"/>
        <v>1</v>
      </c>
      <c r="N438" s="7" t="s">
        <v>561</v>
      </c>
      <c r="O438" s="12"/>
      <c r="P438" s="12" t="s">
        <v>130</v>
      </c>
    </row>
    <row r="439" spans="1:16" ht="79.5" hidden="1" customHeight="1" x14ac:dyDescent="0.35">
      <c r="A439" s="12">
        <v>8223</v>
      </c>
      <c r="B439" s="12" t="s">
        <v>93</v>
      </c>
      <c r="C439" s="12" t="s">
        <v>96</v>
      </c>
      <c r="D439" s="12" t="s">
        <v>97</v>
      </c>
      <c r="E439" s="12" t="s">
        <v>131</v>
      </c>
      <c r="F439" s="12" t="s">
        <v>39</v>
      </c>
      <c r="G439" s="12" t="s">
        <v>65</v>
      </c>
      <c r="H439" s="12">
        <v>17</v>
      </c>
      <c r="I439" s="13">
        <v>45912.724004629599</v>
      </c>
      <c r="J439" s="12" t="s">
        <v>127</v>
      </c>
      <c r="K439" s="12" t="s">
        <v>132</v>
      </c>
      <c r="L439" s="14">
        <v>0.66600000000000004</v>
      </c>
      <c r="M439" s="14">
        <f t="shared" si="6"/>
        <v>0.66600000000000004</v>
      </c>
      <c r="N439" s="7" t="s">
        <v>562</v>
      </c>
      <c r="O439" s="12"/>
      <c r="P439" s="12" t="s">
        <v>130</v>
      </c>
    </row>
    <row r="440" spans="1:16" ht="57" hidden="1" customHeight="1" x14ac:dyDescent="0.35">
      <c r="A440" s="12">
        <v>8241</v>
      </c>
      <c r="B440" s="12" t="s">
        <v>93</v>
      </c>
      <c r="C440" s="12" t="s">
        <v>96</v>
      </c>
      <c r="D440" s="12" t="s">
        <v>97</v>
      </c>
      <c r="E440" s="12" t="s">
        <v>134</v>
      </c>
      <c r="F440" s="12" t="s">
        <v>39</v>
      </c>
      <c r="G440" s="12" t="s">
        <v>65</v>
      </c>
      <c r="H440" s="12">
        <v>17</v>
      </c>
      <c r="I440" s="13">
        <v>45912.724004629599</v>
      </c>
      <c r="J440" s="12" t="s">
        <v>127</v>
      </c>
      <c r="K440" s="12" t="s">
        <v>132</v>
      </c>
      <c r="L440" s="14">
        <v>0.66600000000000004</v>
      </c>
      <c r="M440" s="14">
        <f t="shared" si="6"/>
        <v>0.66600000000000004</v>
      </c>
      <c r="N440" s="7" t="s">
        <v>563</v>
      </c>
      <c r="O440" s="12"/>
      <c r="P440" s="12" t="s">
        <v>130</v>
      </c>
    </row>
    <row r="441" spans="1:16" ht="147" hidden="1" customHeight="1" x14ac:dyDescent="0.35">
      <c r="A441" s="12">
        <v>8224</v>
      </c>
      <c r="B441" s="12" t="s">
        <v>93</v>
      </c>
      <c r="C441" s="12" t="s">
        <v>98</v>
      </c>
      <c r="D441" s="12" t="s">
        <v>99</v>
      </c>
      <c r="E441" s="12" t="s">
        <v>126</v>
      </c>
      <c r="F441" s="12" t="s">
        <v>39</v>
      </c>
      <c r="G441" s="12" t="s">
        <v>65</v>
      </c>
      <c r="H441" s="12">
        <v>17</v>
      </c>
      <c r="I441" s="13">
        <v>45912.724004629599</v>
      </c>
      <c r="J441" s="12" t="s">
        <v>127</v>
      </c>
      <c r="K441" s="12" t="s">
        <v>132</v>
      </c>
      <c r="L441" s="14">
        <v>0.66600000000000004</v>
      </c>
      <c r="M441" s="14">
        <f t="shared" si="6"/>
        <v>0.66600000000000004</v>
      </c>
      <c r="N441" s="7" t="s">
        <v>564</v>
      </c>
      <c r="O441" s="12"/>
      <c r="P441" s="12" t="s">
        <v>130</v>
      </c>
    </row>
    <row r="442" spans="1:16" ht="90.75" hidden="1" customHeight="1" x14ac:dyDescent="0.35">
      <c r="A442" s="12">
        <v>8263</v>
      </c>
      <c r="B442" s="12" t="s">
        <v>93</v>
      </c>
      <c r="C442" s="12" t="s">
        <v>98</v>
      </c>
      <c r="D442" s="12" t="s">
        <v>99</v>
      </c>
      <c r="E442" s="12" t="s">
        <v>131</v>
      </c>
      <c r="F442" s="12" t="s">
        <v>39</v>
      </c>
      <c r="G442" s="12" t="s">
        <v>65</v>
      </c>
      <c r="H442" s="12">
        <v>17</v>
      </c>
      <c r="I442" s="13">
        <v>45912.724004629599</v>
      </c>
      <c r="J442" s="12" t="s">
        <v>127</v>
      </c>
      <c r="K442" s="12" t="s">
        <v>142</v>
      </c>
      <c r="L442" s="14">
        <v>0.33300000000000002</v>
      </c>
      <c r="M442" s="14">
        <f t="shared" si="6"/>
        <v>0.33300000000000002</v>
      </c>
      <c r="N442" s="7" t="s">
        <v>565</v>
      </c>
      <c r="O442" s="12"/>
      <c r="P442" s="12" t="s">
        <v>130</v>
      </c>
    </row>
    <row r="443" spans="1:16" ht="68.25" hidden="1" customHeight="1" x14ac:dyDescent="0.35">
      <c r="A443" s="12">
        <v>5783</v>
      </c>
      <c r="B443" s="12" t="s">
        <v>93</v>
      </c>
      <c r="C443" s="12" t="s">
        <v>94</v>
      </c>
      <c r="D443" s="12" t="s">
        <v>95</v>
      </c>
      <c r="E443" s="12" t="s">
        <v>126</v>
      </c>
      <c r="F443" s="12" t="s">
        <v>66</v>
      </c>
      <c r="G443" s="12" t="s">
        <v>88</v>
      </c>
      <c r="H443" s="12">
        <v>3205309</v>
      </c>
      <c r="I443" s="13">
        <v>45912.631342592598</v>
      </c>
      <c r="J443" s="12" t="s">
        <v>127</v>
      </c>
      <c r="K443" s="12" t="s">
        <v>142</v>
      </c>
      <c r="L443" s="14">
        <v>0.33300000000000002</v>
      </c>
      <c r="M443" s="14">
        <f t="shared" si="6"/>
        <v>0.33300000000000002</v>
      </c>
      <c r="N443" s="7" t="s">
        <v>566</v>
      </c>
      <c r="O443" s="12"/>
      <c r="P443" s="12" t="s">
        <v>130</v>
      </c>
    </row>
    <row r="444" spans="1:16" ht="68.25" hidden="1" customHeight="1" x14ac:dyDescent="0.35">
      <c r="A444" s="12">
        <v>5767</v>
      </c>
      <c r="B444" s="12" t="s">
        <v>93</v>
      </c>
      <c r="C444" s="12" t="s">
        <v>94</v>
      </c>
      <c r="D444" s="12" t="s">
        <v>95</v>
      </c>
      <c r="E444" s="12" t="s">
        <v>131</v>
      </c>
      <c r="F444" s="12" t="s">
        <v>66</v>
      </c>
      <c r="G444" s="12" t="s">
        <v>88</v>
      </c>
      <c r="H444" s="12">
        <v>3205309</v>
      </c>
      <c r="I444" s="13">
        <v>45912.631342592598</v>
      </c>
      <c r="J444" s="12" t="s">
        <v>127</v>
      </c>
      <c r="K444" s="12" t="s">
        <v>135</v>
      </c>
      <c r="L444" s="14"/>
      <c r="M444" s="14">
        <f t="shared" si="6"/>
        <v>0</v>
      </c>
      <c r="N444" s="7" t="s">
        <v>567</v>
      </c>
      <c r="O444" s="12"/>
      <c r="P444" s="12" t="s">
        <v>130</v>
      </c>
    </row>
    <row r="445" spans="1:16" ht="124.5" hidden="1" customHeight="1" x14ac:dyDescent="0.35">
      <c r="A445" s="12">
        <v>5843</v>
      </c>
      <c r="B445" s="12" t="s">
        <v>93</v>
      </c>
      <c r="C445" s="12" t="s">
        <v>94</v>
      </c>
      <c r="D445" s="12" t="s">
        <v>95</v>
      </c>
      <c r="E445" s="12" t="s">
        <v>134</v>
      </c>
      <c r="F445" s="12" t="s">
        <v>66</v>
      </c>
      <c r="G445" s="12" t="s">
        <v>88</v>
      </c>
      <c r="H445" s="12">
        <v>3205309</v>
      </c>
      <c r="I445" s="13">
        <v>45912.631342592598</v>
      </c>
      <c r="J445" s="12" t="s">
        <v>127</v>
      </c>
      <c r="K445" s="12" t="s">
        <v>135</v>
      </c>
      <c r="L445" s="14"/>
      <c r="M445" s="14">
        <f t="shared" si="6"/>
        <v>0</v>
      </c>
      <c r="N445" s="7" t="s">
        <v>568</v>
      </c>
      <c r="O445" s="12"/>
      <c r="P445" s="12" t="s">
        <v>130</v>
      </c>
    </row>
    <row r="446" spans="1:16" ht="191.25" hidden="1" customHeight="1" x14ac:dyDescent="0.35">
      <c r="A446" s="12">
        <v>5864</v>
      </c>
      <c r="B446" s="12" t="s">
        <v>93</v>
      </c>
      <c r="C446" s="12" t="s">
        <v>94</v>
      </c>
      <c r="D446" s="12" t="s">
        <v>95</v>
      </c>
      <c r="E446" s="12" t="s">
        <v>137</v>
      </c>
      <c r="F446" s="12" t="s">
        <v>66</v>
      </c>
      <c r="G446" s="12" t="s">
        <v>88</v>
      </c>
      <c r="H446" s="12">
        <v>3205309</v>
      </c>
      <c r="I446" s="13">
        <v>45912.631342592598</v>
      </c>
      <c r="J446" s="12" t="s">
        <v>127</v>
      </c>
      <c r="K446" s="12" t="s">
        <v>142</v>
      </c>
      <c r="L446" s="14">
        <v>0.33300000000000002</v>
      </c>
      <c r="M446" s="14">
        <f t="shared" si="6"/>
        <v>0.33300000000000002</v>
      </c>
      <c r="N446" s="7" t="s">
        <v>569</v>
      </c>
      <c r="O446" s="12"/>
      <c r="P446" s="12" t="s">
        <v>130</v>
      </c>
    </row>
    <row r="447" spans="1:16" ht="202.5" hidden="1" customHeight="1" x14ac:dyDescent="0.35">
      <c r="A447" s="12">
        <v>5845</v>
      </c>
      <c r="B447" s="12" t="s">
        <v>93</v>
      </c>
      <c r="C447" s="12" t="s">
        <v>96</v>
      </c>
      <c r="D447" s="12" t="s">
        <v>97</v>
      </c>
      <c r="E447" s="12" t="s">
        <v>126</v>
      </c>
      <c r="F447" s="12" t="s">
        <v>66</v>
      </c>
      <c r="G447" s="12" t="s">
        <v>88</v>
      </c>
      <c r="H447" s="12">
        <v>3205309</v>
      </c>
      <c r="I447" s="13">
        <v>45912.631342592598</v>
      </c>
      <c r="J447" s="12" t="s">
        <v>127</v>
      </c>
      <c r="K447" s="12" t="s">
        <v>142</v>
      </c>
      <c r="L447" s="14">
        <v>0.33300000000000002</v>
      </c>
      <c r="M447" s="14">
        <f t="shared" si="6"/>
        <v>0.33300000000000002</v>
      </c>
      <c r="N447" s="7" t="s">
        <v>570</v>
      </c>
      <c r="O447" s="12"/>
      <c r="P447" s="12" t="s">
        <v>130</v>
      </c>
    </row>
    <row r="448" spans="1:16" ht="168.75" hidden="1" customHeight="1" x14ac:dyDescent="0.35">
      <c r="A448" s="12">
        <v>5846</v>
      </c>
      <c r="B448" s="12" t="s">
        <v>93</v>
      </c>
      <c r="C448" s="12" t="s">
        <v>96</v>
      </c>
      <c r="D448" s="12" t="s">
        <v>97</v>
      </c>
      <c r="E448" s="12" t="s">
        <v>131</v>
      </c>
      <c r="F448" s="12" t="s">
        <v>66</v>
      </c>
      <c r="G448" s="12" t="s">
        <v>88</v>
      </c>
      <c r="H448" s="12">
        <v>3205309</v>
      </c>
      <c r="I448" s="13">
        <v>45912.631342592598</v>
      </c>
      <c r="J448" s="12" t="s">
        <v>127</v>
      </c>
      <c r="K448" s="12" t="s">
        <v>132</v>
      </c>
      <c r="L448" s="14">
        <v>0.66600000000000004</v>
      </c>
      <c r="M448" s="14">
        <f t="shared" si="6"/>
        <v>0.66600000000000004</v>
      </c>
      <c r="N448" s="7" t="s">
        <v>571</v>
      </c>
      <c r="O448" s="12"/>
      <c r="P448" s="12" t="s">
        <v>130</v>
      </c>
    </row>
    <row r="449" spans="1:16" ht="147" hidden="1" customHeight="1" x14ac:dyDescent="0.35">
      <c r="A449" s="12">
        <v>5847</v>
      </c>
      <c r="B449" s="12" t="s">
        <v>93</v>
      </c>
      <c r="C449" s="12" t="s">
        <v>96</v>
      </c>
      <c r="D449" s="12" t="s">
        <v>97</v>
      </c>
      <c r="E449" s="12" t="s">
        <v>134</v>
      </c>
      <c r="F449" s="12" t="s">
        <v>66</v>
      </c>
      <c r="G449" s="12" t="s">
        <v>88</v>
      </c>
      <c r="H449" s="12">
        <v>3205309</v>
      </c>
      <c r="I449" s="13">
        <v>45912.631342592598</v>
      </c>
      <c r="J449" s="12" t="s">
        <v>127</v>
      </c>
      <c r="K449" s="12" t="s">
        <v>135</v>
      </c>
      <c r="L449" s="14"/>
      <c r="M449" s="14">
        <f t="shared" si="6"/>
        <v>0</v>
      </c>
      <c r="N449" s="7" t="s">
        <v>572</v>
      </c>
      <c r="O449" s="12"/>
      <c r="P449" s="12" t="s">
        <v>130</v>
      </c>
    </row>
    <row r="450" spans="1:16" ht="34.5" hidden="1" customHeight="1" x14ac:dyDescent="0.35">
      <c r="A450" s="12">
        <v>5643</v>
      </c>
      <c r="B450" s="12" t="s">
        <v>93</v>
      </c>
      <c r="C450" s="12" t="s">
        <v>98</v>
      </c>
      <c r="D450" s="12" t="s">
        <v>99</v>
      </c>
      <c r="E450" s="12" t="s">
        <v>126</v>
      </c>
      <c r="F450" s="12" t="s">
        <v>66</v>
      </c>
      <c r="G450" s="12" t="s">
        <v>88</v>
      </c>
      <c r="H450" s="12">
        <v>3205309</v>
      </c>
      <c r="I450" s="13">
        <v>45912.631342592598</v>
      </c>
      <c r="J450" s="12" t="s">
        <v>127</v>
      </c>
      <c r="K450" s="12" t="s">
        <v>135</v>
      </c>
      <c r="L450" s="14"/>
      <c r="M450" s="14">
        <f t="shared" ref="M450:M513" si="7">IF(K450="Sem progresso",0,IF(OR(K450="Não avaliado",K450="Não se aplica",K450=""),"",L450))</f>
        <v>0</v>
      </c>
      <c r="N450" s="7" t="s">
        <v>573</v>
      </c>
      <c r="O450" s="12"/>
      <c r="P450" s="12" t="s">
        <v>130</v>
      </c>
    </row>
    <row r="451" spans="1:16" ht="34.5" hidden="1" customHeight="1" x14ac:dyDescent="0.35">
      <c r="A451" s="12">
        <v>5644</v>
      </c>
      <c r="B451" s="12" t="s">
        <v>93</v>
      </c>
      <c r="C451" s="12" t="s">
        <v>98</v>
      </c>
      <c r="D451" s="12" t="s">
        <v>99</v>
      </c>
      <c r="E451" s="12" t="s">
        <v>131</v>
      </c>
      <c r="F451" s="12" t="s">
        <v>66</v>
      </c>
      <c r="G451" s="12" t="s">
        <v>88</v>
      </c>
      <c r="H451" s="12">
        <v>3205309</v>
      </c>
      <c r="I451" s="13">
        <v>45912.631342592598</v>
      </c>
      <c r="J451" s="12" t="s">
        <v>127</v>
      </c>
      <c r="K451" s="12" t="s">
        <v>135</v>
      </c>
      <c r="L451" s="14"/>
      <c r="M451" s="14">
        <f t="shared" si="7"/>
        <v>0</v>
      </c>
      <c r="N451" s="7" t="s">
        <v>574</v>
      </c>
      <c r="O451" s="12"/>
      <c r="P451" s="12" t="s">
        <v>130</v>
      </c>
    </row>
    <row r="452" spans="1:16" ht="23.25" hidden="1" customHeight="1" x14ac:dyDescent="0.35">
      <c r="A452" s="12">
        <v>4468</v>
      </c>
      <c r="B452" s="12" t="s">
        <v>100</v>
      </c>
      <c r="C452" s="12" t="s">
        <v>101</v>
      </c>
      <c r="D452" s="12" t="s">
        <v>102</v>
      </c>
      <c r="E452" s="12" t="s">
        <v>126</v>
      </c>
      <c r="F452" s="12" t="s">
        <v>39</v>
      </c>
      <c r="G452" s="12" t="s">
        <v>40</v>
      </c>
      <c r="H452" s="12">
        <v>12</v>
      </c>
      <c r="I452" s="13">
        <v>45912.645081018498</v>
      </c>
      <c r="J452" s="12" t="s">
        <v>127</v>
      </c>
      <c r="K452" s="12" t="s">
        <v>128</v>
      </c>
      <c r="L452" s="14">
        <v>1</v>
      </c>
      <c r="M452" s="14">
        <f t="shared" si="7"/>
        <v>1</v>
      </c>
      <c r="N452" s="7" t="s">
        <v>575</v>
      </c>
      <c r="O452" s="12"/>
      <c r="P452" s="12" t="s">
        <v>130</v>
      </c>
    </row>
    <row r="453" spans="1:16" ht="45.75" hidden="1" customHeight="1" x14ac:dyDescent="0.35">
      <c r="A453" s="12">
        <v>4493</v>
      </c>
      <c r="B453" s="12" t="s">
        <v>100</v>
      </c>
      <c r="C453" s="12" t="s">
        <v>101</v>
      </c>
      <c r="D453" s="12" t="s">
        <v>102</v>
      </c>
      <c r="E453" s="12" t="s">
        <v>131</v>
      </c>
      <c r="F453" s="12" t="s">
        <v>39</v>
      </c>
      <c r="G453" s="12" t="s">
        <v>40</v>
      </c>
      <c r="H453" s="12">
        <v>12</v>
      </c>
      <c r="I453" s="13">
        <v>45912.645081018498</v>
      </c>
      <c r="J453" s="12" t="s">
        <v>127</v>
      </c>
      <c r="K453" s="12" t="s">
        <v>128</v>
      </c>
      <c r="L453" s="14">
        <v>1</v>
      </c>
      <c r="M453" s="14">
        <f t="shared" si="7"/>
        <v>1</v>
      </c>
      <c r="N453" s="7" t="s">
        <v>576</v>
      </c>
      <c r="O453" s="12"/>
      <c r="P453" s="12" t="s">
        <v>130</v>
      </c>
    </row>
    <row r="454" spans="1:16" ht="34.5" hidden="1" customHeight="1" x14ac:dyDescent="0.35">
      <c r="A454" s="12">
        <v>4472</v>
      </c>
      <c r="B454" s="12" t="s">
        <v>100</v>
      </c>
      <c r="C454" s="12" t="s">
        <v>101</v>
      </c>
      <c r="D454" s="12" t="s">
        <v>102</v>
      </c>
      <c r="E454" s="12" t="s">
        <v>134</v>
      </c>
      <c r="F454" s="12" t="s">
        <v>39</v>
      </c>
      <c r="G454" s="12" t="s">
        <v>40</v>
      </c>
      <c r="H454" s="12">
        <v>12</v>
      </c>
      <c r="I454" s="13">
        <v>45912.645081018498</v>
      </c>
      <c r="J454" s="12" t="s">
        <v>127</v>
      </c>
      <c r="K454" s="12" t="s">
        <v>132</v>
      </c>
      <c r="L454" s="14">
        <v>0.66600000000000004</v>
      </c>
      <c r="M454" s="14">
        <f t="shared" si="7"/>
        <v>0.66600000000000004</v>
      </c>
      <c r="N454" s="7" t="s">
        <v>577</v>
      </c>
      <c r="O454" s="12"/>
      <c r="P454" s="12" t="s">
        <v>130</v>
      </c>
    </row>
    <row r="455" spans="1:16" ht="124.5" hidden="1" customHeight="1" x14ac:dyDescent="0.35">
      <c r="A455" s="12">
        <v>4814</v>
      </c>
      <c r="B455" s="12" t="s">
        <v>100</v>
      </c>
      <c r="C455" s="12" t="s">
        <v>103</v>
      </c>
      <c r="D455" s="12" t="s">
        <v>104</v>
      </c>
      <c r="E455" s="12" t="s">
        <v>126</v>
      </c>
      <c r="F455" s="12" t="s">
        <v>39</v>
      </c>
      <c r="G455" s="12" t="s">
        <v>40</v>
      </c>
      <c r="H455" s="12">
        <v>12</v>
      </c>
      <c r="I455" s="13">
        <v>45912.645081018498</v>
      </c>
      <c r="J455" s="12" t="s">
        <v>127</v>
      </c>
      <c r="K455" s="12" t="s">
        <v>128</v>
      </c>
      <c r="L455" s="14">
        <v>1</v>
      </c>
      <c r="M455" s="14">
        <f t="shared" si="7"/>
        <v>1</v>
      </c>
      <c r="N455" s="7" t="s">
        <v>578</v>
      </c>
      <c r="O455" s="12"/>
      <c r="P455" s="12" t="s">
        <v>130</v>
      </c>
    </row>
    <row r="456" spans="1:16" ht="34.5" hidden="1" customHeight="1" x14ac:dyDescent="0.35">
      <c r="A456" s="12">
        <v>4816</v>
      </c>
      <c r="B456" s="12" t="s">
        <v>100</v>
      </c>
      <c r="C456" s="12" t="s">
        <v>103</v>
      </c>
      <c r="D456" s="12" t="s">
        <v>104</v>
      </c>
      <c r="E456" s="12" t="s">
        <v>131</v>
      </c>
      <c r="F456" s="12" t="s">
        <v>39</v>
      </c>
      <c r="G456" s="12" t="s">
        <v>40</v>
      </c>
      <c r="H456" s="12">
        <v>12</v>
      </c>
      <c r="I456" s="13">
        <v>45912.645081018498</v>
      </c>
      <c r="J456" s="12" t="s">
        <v>127</v>
      </c>
      <c r="K456" s="12" t="s">
        <v>132</v>
      </c>
      <c r="L456" s="14">
        <v>0.66600000000000004</v>
      </c>
      <c r="M456" s="14">
        <f t="shared" si="7"/>
        <v>0.66600000000000004</v>
      </c>
      <c r="N456" s="7" t="s">
        <v>579</v>
      </c>
      <c r="O456" s="12"/>
      <c r="P456" s="12" t="s">
        <v>130</v>
      </c>
    </row>
    <row r="457" spans="1:16" ht="15" hidden="1" customHeight="1" x14ac:dyDescent="0.35">
      <c r="A457" s="12">
        <v>4817</v>
      </c>
      <c r="B457" s="12" t="s">
        <v>100</v>
      </c>
      <c r="C457" s="12" t="s">
        <v>103</v>
      </c>
      <c r="D457" s="12" t="s">
        <v>104</v>
      </c>
      <c r="E457" s="12" t="s">
        <v>134</v>
      </c>
      <c r="F457" s="12" t="s">
        <v>39</v>
      </c>
      <c r="G457" s="12" t="s">
        <v>40</v>
      </c>
      <c r="H457" s="12">
        <v>12</v>
      </c>
      <c r="I457" s="13">
        <v>45912.645081018498</v>
      </c>
      <c r="J457" s="12" t="s">
        <v>127</v>
      </c>
      <c r="K457" s="12" t="s">
        <v>128</v>
      </c>
      <c r="L457" s="14">
        <v>1</v>
      </c>
      <c r="M457" s="14">
        <f t="shared" si="7"/>
        <v>1</v>
      </c>
      <c r="N457" s="7" t="s">
        <v>580</v>
      </c>
      <c r="O457" s="12"/>
      <c r="P457" s="12"/>
    </row>
    <row r="458" spans="1:16" ht="157.5" hidden="1" customHeight="1" x14ac:dyDescent="0.35">
      <c r="A458" s="12">
        <v>5446</v>
      </c>
      <c r="B458" s="12" t="s">
        <v>100</v>
      </c>
      <c r="C458" s="12" t="s">
        <v>105</v>
      </c>
      <c r="D458" s="12" t="s">
        <v>106</v>
      </c>
      <c r="E458" s="12" t="s">
        <v>126</v>
      </c>
      <c r="F458" s="12" t="s">
        <v>39</v>
      </c>
      <c r="G458" s="12" t="s">
        <v>40</v>
      </c>
      <c r="H458" s="12">
        <v>12</v>
      </c>
      <c r="I458" s="13">
        <v>45912.645081018498</v>
      </c>
      <c r="J458" s="12" t="s">
        <v>127</v>
      </c>
      <c r="K458" s="12" t="s">
        <v>132</v>
      </c>
      <c r="L458" s="14">
        <v>0.66600000000000004</v>
      </c>
      <c r="M458" s="14">
        <f t="shared" si="7"/>
        <v>0.66600000000000004</v>
      </c>
      <c r="N458" s="7" t="s">
        <v>581</v>
      </c>
      <c r="O458" s="12"/>
      <c r="P458" s="12" t="s">
        <v>130</v>
      </c>
    </row>
    <row r="459" spans="1:16" ht="113.25" hidden="1" customHeight="1" x14ac:dyDescent="0.35">
      <c r="A459" s="12">
        <v>5648</v>
      </c>
      <c r="B459" s="12" t="s">
        <v>100</v>
      </c>
      <c r="C459" s="12" t="s">
        <v>105</v>
      </c>
      <c r="D459" s="12" t="s">
        <v>106</v>
      </c>
      <c r="E459" s="12" t="s">
        <v>131</v>
      </c>
      <c r="F459" s="12" t="s">
        <v>39</v>
      </c>
      <c r="G459" s="12" t="s">
        <v>40</v>
      </c>
      <c r="H459" s="12">
        <v>12</v>
      </c>
      <c r="I459" s="13">
        <v>45912.645081018498</v>
      </c>
      <c r="J459" s="12" t="s">
        <v>127</v>
      </c>
      <c r="K459" s="12" t="s">
        <v>128</v>
      </c>
      <c r="L459" s="14">
        <v>1</v>
      </c>
      <c r="M459" s="14">
        <f t="shared" si="7"/>
        <v>1</v>
      </c>
      <c r="N459" s="7" t="s">
        <v>582</v>
      </c>
      <c r="O459" s="12"/>
      <c r="P459" s="12" t="s">
        <v>130</v>
      </c>
    </row>
    <row r="460" spans="1:16" ht="79.5" hidden="1" customHeight="1" x14ac:dyDescent="0.35">
      <c r="A460" s="12">
        <v>5654</v>
      </c>
      <c r="B460" s="12" t="s">
        <v>100</v>
      </c>
      <c r="C460" s="12" t="s">
        <v>107</v>
      </c>
      <c r="D460" s="12" t="s">
        <v>108</v>
      </c>
      <c r="E460" s="12" t="s">
        <v>126</v>
      </c>
      <c r="F460" s="12" t="s">
        <v>39</v>
      </c>
      <c r="G460" s="12" t="s">
        <v>40</v>
      </c>
      <c r="H460" s="12">
        <v>12</v>
      </c>
      <c r="I460" s="13">
        <v>45912.645081018498</v>
      </c>
      <c r="J460" s="12" t="s">
        <v>127</v>
      </c>
      <c r="K460" s="12" t="s">
        <v>128</v>
      </c>
      <c r="L460" s="14">
        <v>1</v>
      </c>
      <c r="M460" s="14">
        <f t="shared" si="7"/>
        <v>1</v>
      </c>
      <c r="N460" s="7" t="s">
        <v>583</v>
      </c>
      <c r="O460" s="12"/>
      <c r="P460" s="12" t="s">
        <v>130</v>
      </c>
    </row>
    <row r="461" spans="1:16" ht="90.75" hidden="1" customHeight="1" x14ac:dyDescent="0.35">
      <c r="A461" s="12">
        <v>7402</v>
      </c>
      <c r="B461" s="12" t="s">
        <v>100</v>
      </c>
      <c r="C461" s="12" t="s">
        <v>107</v>
      </c>
      <c r="D461" s="12" t="s">
        <v>108</v>
      </c>
      <c r="E461" s="12" t="s">
        <v>131</v>
      </c>
      <c r="F461" s="12" t="s">
        <v>39</v>
      </c>
      <c r="G461" s="12" t="s">
        <v>40</v>
      </c>
      <c r="H461" s="12">
        <v>12</v>
      </c>
      <c r="I461" s="13">
        <v>45912.645081018498</v>
      </c>
      <c r="J461" s="12" t="s">
        <v>127</v>
      </c>
      <c r="K461" s="12" t="s">
        <v>128</v>
      </c>
      <c r="L461" s="14">
        <v>1</v>
      </c>
      <c r="M461" s="14">
        <f t="shared" si="7"/>
        <v>1</v>
      </c>
      <c r="N461" s="7" t="s">
        <v>584</v>
      </c>
      <c r="O461" s="12"/>
      <c r="P461" s="12" t="s">
        <v>130</v>
      </c>
    </row>
    <row r="462" spans="1:16" ht="147" hidden="1" customHeight="1" x14ac:dyDescent="0.35">
      <c r="A462" s="12">
        <v>7425</v>
      </c>
      <c r="B462" s="12" t="s">
        <v>100</v>
      </c>
      <c r="C462" s="12" t="s">
        <v>107</v>
      </c>
      <c r="D462" s="12" t="s">
        <v>108</v>
      </c>
      <c r="E462" s="12" t="s">
        <v>134</v>
      </c>
      <c r="F462" s="12" t="s">
        <v>39</v>
      </c>
      <c r="G462" s="12" t="s">
        <v>40</v>
      </c>
      <c r="H462" s="12">
        <v>12</v>
      </c>
      <c r="I462" s="13">
        <v>45912.645081018498</v>
      </c>
      <c r="J462" s="12" t="s">
        <v>127</v>
      </c>
      <c r="K462" s="12" t="s">
        <v>132</v>
      </c>
      <c r="L462" s="14">
        <v>0.66600000000000004</v>
      </c>
      <c r="M462" s="14">
        <f t="shared" si="7"/>
        <v>0.66600000000000004</v>
      </c>
      <c r="N462" s="7" t="s">
        <v>585</v>
      </c>
      <c r="O462" s="12"/>
      <c r="P462" s="12" t="s">
        <v>130</v>
      </c>
    </row>
    <row r="463" spans="1:16" ht="168.75" hidden="1" customHeight="1" x14ac:dyDescent="0.35">
      <c r="A463" s="12">
        <v>7581</v>
      </c>
      <c r="B463" s="12" t="s">
        <v>100</v>
      </c>
      <c r="C463" s="12" t="s">
        <v>109</v>
      </c>
      <c r="D463" s="12" t="s">
        <v>110</v>
      </c>
      <c r="E463" s="12" t="s">
        <v>126</v>
      </c>
      <c r="F463" s="12" t="s">
        <v>39</v>
      </c>
      <c r="G463" s="12" t="s">
        <v>40</v>
      </c>
      <c r="H463" s="12">
        <v>12</v>
      </c>
      <c r="I463" s="13">
        <v>45912.645081018498</v>
      </c>
      <c r="J463" s="12" t="s">
        <v>127</v>
      </c>
      <c r="K463" s="12" t="s">
        <v>132</v>
      </c>
      <c r="L463" s="14">
        <v>0.66600000000000004</v>
      </c>
      <c r="M463" s="14">
        <f t="shared" si="7"/>
        <v>0.66600000000000004</v>
      </c>
      <c r="N463" s="7" t="s">
        <v>586</v>
      </c>
      <c r="O463" s="12"/>
      <c r="P463" s="12" t="s">
        <v>130</v>
      </c>
    </row>
    <row r="464" spans="1:16" ht="202.5" hidden="1" customHeight="1" x14ac:dyDescent="0.35">
      <c r="A464" s="12">
        <v>7582</v>
      </c>
      <c r="B464" s="12" t="s">
        <v>100</v>
      </c>
      <c r="C464" s="12" t="s">
        <v>109</v>
      </c>
      <c r="D464" s="12" t="s">
        <v>110</v>
      </c>
      <c r="E464" s="12" t="s">
        <v>131</v>
      </c>
      <c r="F464" s="12" t="s">
        <v>39</v>
      </c>
      <c r="G464" s="12" t="s">
        <v>40</v>
      </c>
      <c r="H464" s="12">
        <v>12</v>
      </c>
      <c r="I464" s="13">
        <v>45912.645081018498</v>
      </c>
      <c r="J464" s="12" t="s">
        <v>127</v>
      </c>
      <c r="K464" s="12" t="s">
        <v>128</v>
      </c>
      <c r="L464" s="14">
        <v>1</v>
      </c>
      <c r="M464" s="14">
        <f t="shared" si="7"/>
        <v>1</v>
      </c>
      <c r="N464" s="7" t="s">
        <v>587</v>
      </c>
      <c r="O464" s="12"/>
      <c r="P464" s="12" t="s">
        <v>130</v>
      </c>
    </row>
    <row r="465" spans="1:16" ht="225" hidden="1" customHeight="1" x14ac:dyDescent="0.35">
      <c r="A465" s="12">
        <v>7203</v>
      </c>
      <c r="B465" s="12" t="s">
        <v>100</v>
      </c>
      <c r="C465" s="12" t="s">
        <v>111</v>
      </c>
      <c r="D465" s="12" t="s">
        <v>112</v>
      </c>
      <c r="E465" s="12" t="s">
        <v>126</v>
      </c>
      <c r="F465" s="12" t="s">
        <v>39</v>
      </c>
      <c r="G465" s="12" t="s">
        <v>40</v>
      </c>
      <c r="H465" s="12">
        <v>12</v>
      </c>
      <c r="I465" s="13">
        <v>45912.645081018498</v>
      </c>
      <c r="J465" s="12" t="s">
        <v>127</v>
      </c>
      <c r="K465" s="12" t="s">
        <v>132</v>
      </c>
      <c r="L465" s="14">
        <v>0.66600000000000004</v>
      </c>
      <c r="M465" s="14">
        <f t="shared" si="7"/>
        <v>0.66600000000000004</v>
      </c>
      <c r="N465" s="7" t="s">
        <v>588</v>
      </c>
      <c r="O465" s="12"/>
      <c r="P465" s="12" t="s">
        <v>130</v>
      </c>
    </row>
    <row r="466" spans="1:16" ht="135.75" hidden="1" customHeight="1" x14ac:dyDescent="0.35">
      <c r="A466" s="12">
        <v>7206</v>
      </c>
      <c r="B466" s="12" t="s">
        <v>100</v>
      </c>
      <c r="C466" s="12" t="s">
        <v>111</v>
      </c>
      <c r="D466" s="12" t="s">
        <v>112</v>
      </c>
      <c r="E466" s="12" t="s">
        <v>131</v>
      </c>
      <c r="F466" s="12" t="s">
        <v>39</v>
      </c>
      <c r="G466" s="12" t="s">
        <v>40</v>
      </c>
      <c r="H466" s="12">
        <v>12</v>
      </c>
      <c r="I466" s="13">
        <v>45912.645081018498</v>
      </c>
      <c r="J466" s="12" t="s">
        <v>127</v>
      </c>
      <c r="K466" s="12" t="s">
        <v>128</v>
      </c>
      <c r="L466" s="14">
        <v>1</v>
      </c>
      <c r="M466" s="14">
        <f t="shared" si="7"/>
        <v>1</v>
      </c>
      <c r="N466" s="7" t="s">
        <v>589</v>
      </c>
      <c r="O466" s="12"/>
      <c r="P466" s="12"/>
    </row>
    <row r="467" spans="1:16" ht="90.75" hidden="1" customHeight="1" x14ac:dyDescent="0.35">
      <c r="A467" s="12">
        <v>7191</v>
      </c>
      <c r="B467" s="12" t="s">
        <v>100</v>
      </c>
      <c r="C467" s="12" t="s">
        <v>111</v>
      </c>
      <c r="D467" s="12" t="s">
        <v>112</v>
      </c>
      <c r="E467" s="12" t="s">
        <v>134</v>
      </c>
      <c r="F467" s="12" t="s">
        <v>39</v>
      </c>
      <c r="G467" s="12" t="s">
        <v>40</v>
      </c>
      <c r="H467" s="12">
        <v>12</v>
      </c>
      <c r="I467" s="13">
        <v>45912.645081018498</v>
      </c>
      <c r="J467" s="12" t="s">
        <v>127</v>
      </c>
      <c r="K467" s="12" t="s">
        <v>128</v>
      </c>
      <c r="L467" s="14">
        <v>1</v>
      </c>
      <c r="M467" s="14">
        <f t="shared" si="7"/>
        <v>1</v>
      </c>
      <c r="N467" s="7" t="s">
        <v>590</v>
      </c>
      <c r="O467" s="12"/>
      <c r="P467" s="12"/>
    </row>
    <row r="468" spans="1:16" ht="225" hidden="1" customHeight="1" x14ac:dyDescent="0.35">
      <c r="A468" s="12">
        <v>7219</v>
      </c>
      <c r="B468" s="12" t="s">
        <v>100</v>
      </c>
      <c r="C468" s="12" t="s">
        <v>113</v>
      </c>
      <c r="D468" s="12" t="s">
        <v>114</v>
      </c>
      <c r="E468" s="12" t="s">
        <v>126</v>
      </c>
      <c r="F468" s="12" t="s">
        <v>39</v>
      </c>
      <c r="G468" s="12" t="s">
        <v>40</v>
      </c>
      <c r="H468" s="12">
        <v>12</v>
      </c>
      <c r="I468" s="13">
        <v>45912.645081018498</v>
      </c>
      <c r="J468" s="12" t="s">
        <v>127</v>
      </c>
      <c r="K468" s="12" t="s">
        <v>132</v>
      </c>
      <c r="L468" s="14">
        <v>0.66600000000000004</v>
      </c>
      <c r="M468" s="14">
        <f t="shared" si="7"/>
        <v>0.66600000000000004</v>
      </c>
      <c r="N468" s="7" t="s">
        <v>591</v>
      </c>
      <c r="O468" s="12"/>
      <c r="P468" s="12" t="s">
        <v>130</v>
      </c>
    </row>
    <row r="469" spans="1:16" ht="191.25" hidden="1" customHeight="1" x14ac:dyDescent="0.35">
      <c r="A469" s="12">
        <v>7241</v>
      </c>
      <c r="B469" s="12" t="s">
        <v>100</v>
      </c>
      <c r="C469" s="12" t="s">
        <v>113</v>
      </c>
      <c r="D469" s="12" t="s">
        <v>114</v>
      </c>
      <c r="E469" s="12" t="s">
        <v>131</v>
      </c>
      <c r="F469" s="12" t="s">
        <v>39</v>
      </c>
      <c r="G469" s="12" t="s">
        <v>40</v>
      </c>
      <c r="H469" s="12">
        <v>12</v>
      </c>
      <c r="I469" s="13">
        <v>45912.645081018498</v>
      </c>
      <c r="J469" s="12" t="s">
        <v>127</v>
      </c>
      <c r="K469" s="12" t="s">
        <v>132</v>
      </c>
      <c r="L469" s="14">
        <v>0.66600000000000004</v>
      </c>
      <c r="M469" s="14">
        <f t="shared" si="7"/>
        <v>0.66600000000000004</v>
      </c>
      <c r="N469" s="7" t="s">
        <v>592</v>
      </c>
      <c r="O469" s="12"/>
      <c r="P469" s="12" t="s">
        <v>130</v>
      </c>
    </row>
    <row r="470" spans="1:16" ht="102" hidden="1" customHeight="1" x14ac:dyDescent="0.35">
      <c r="A470" s="12">
        <v>7180</v>
      </c>
      <c r="B470" s="12" t="s">
        <v>100</v>
      </c>
      <c r="C470" s="12" t="s">
        <v>113</v>
      </c>
      <c r="D470" s="12" t="s">
        <v>114</v>
      </c>
      <c r="E470" s="12" t="s">
        <v>134</v>
      </c>
      <c r="F470" s="12" t="s">
        <v>39</v>
      </c>
      <c r="G470" s="12" t="s">
        <v>40</v>
      </c>
      <c r="H470" s="12">
        <v>12</v>
      </c>
      <c r="I470" s="13">
        <v>45912.645081018498</v>
      </c>
      <c r="J470" s="12" t="s">
        <v>127</v>
      </c>
      <c r="K470" s="12" t="s">
        <v>128</v>
      </c>
      <c r="L470" s="14">
        <v>1</v>
      </c>
      <c r="M470" s="14">
        <f t="shared" si="7"/>
        <v>1</v>
      </c>
      <c r="N470" s="7" t="s">
        <v>593</v>
      </c>
      <c r="O470" s="12"/>
      <c r="P470" s="12" t="s">
        <v>130</v>
      </c>
    </row>
    <row r="471" spans="1:16" ht="23.25" hidden="1" customHeight="1" x14ac:dyDescent="0.35">
      <c r="A471" s="12">
        <v>9761</v>
      </c>
      <c r="B471" s="12" t="s">
        <v>100</v>
      </c>
      <c r="C471" s="12" t="s">
        <v>101</v>
      </c>
      <c r="D471" s="12" t="s">
        <v>102</v>
      </c>
      <c r="E471" s="12" t="s">
        <v>126</v>
      </c>
      <c r="F471" s="12" t="s">
        <v>39</v>
      </c>
      <c r="G471" s="12" t="s">
        <v>41</v>
      </c>
      <c r="H471" s="12">
        <v>27</v>
      </c>
      <c r="I471" s="13">
        <v>45951.7999305556</v>
      </c>
      <c r="J471" s="12" t="s">
        <v>127</v>
      </c>
      <c r="K471" s="12" t="s">
        <v>128</v>
      </c>
      <c r="L471" s="14">
        <v>1</v>
      </c>
      <c r="M471" s="14">
        <f t="shared" si="7"/>
        <v>1</v>
      </c>
      <c r="N471" s="7" t="s">
        <v>594</v>
      </c>
      <c r="O471" s="12"/>
      <c r="P471" s="12" t="s">
        <v>130</v>
      </c>
    </row>
    <row r="472" spans="1:16" ht="135.75" hidden="1" customHeight="1" x14ac:dyDescent="0.35">
      <c r="A472" s="12">
        <v>9762</v>
      </c>
      <c r="B472" s="12" t="s">
        <v>100</v>
      </c>
      <c r="C472" s="12" t="s">
        <v>101</v>
      </c>
      <c r="D472" s="12" t="s">
        <v>102</v>
      </c>
      <c r="E472" s="12" t="s">
        <v>131</v>
      </c>
      <c r="F472" s="12" t="s">
        <v>39</v>
      </c>
      <c r="G472" s="12" t="s">
        <v>41</v>
      </c>
      <c r="H472" s="12">
        <v>27</v>
      </c>
      <c r="I472" s="13">
        <v>45951.7999305556</v>
      </c>
      <c r="J472" s="12" t="s">
        <v>127</v>
      </c>
      <c r="K472" s="12" t="s">
        <v>132</v>
      </c>
      <c r="L472" s="14">
        <v>0.66600000000000004</v>
      </c>
      <c r="M472" s="14">
        <f t="shared" si="7"/>
        <v>0.66600000000000004</v>
      </c>
      <c r="N472" s="7" t="s">
        <v>595</v>
      </c>
      <c r="O472" s="12"/>
      <c r="P472" s="12" t="s">
        <v>130</v>
      </c>
    </row>
    <row r="473" spans="1:16" ht="168.75" hidden="1" customHeight="1" x14ac:dyDescent="0.35">
      <c r="A473" s="12">
        <v>9763</v>
      </c>
      <c r="B473" s="12" t="s">
        <v>100</v>
      </c>
      <c r="C473" s="12" t="s">
        <v>101</v>
      </c>
      <c r="D473" s="12" t="s">
        <v>102</v>
      </c>
      <c r="E473" s="12" t="s">
        <v>134</v>
      </c>
      <c r="F473" s="12" t="s">
        <v>39</v>
      </c>
      <c r="G473" s="12" t="s">
        <v>41</v>
      </c>
      <c r="H473" s="12">
        <v>27</v>
      </c>
      <c r="I473" s="13">
        <v>45951.7999305556</v>
      </c>
      <c r="J473" s="12" t="s">
        <v>127</v>
      </c>
      <c r="K473" s="12" t="s">
        <v>132</v>
      </c>
      <c r="L473" s="14">
        <v>0.66600000000000004</v>
      </c>
      <c r="M473" s="14">
        <f t="shared" si="7"/>
        <v>0.66600000000000004</v>
      </c>
      <c r="N473" s="7" t="s">
        <v>596</v>
      </c>
      <c r="O473" s="12"/>
      <c r="P473" s="12" t="s">
        <v>130</v>
      </c>
    </row>
    <row r="474" spans="1:16" ht="168.75" hidden="1" customHeight="1" x14ac:dyDescent="0.35">
      <c r="A474" s="12">
        <v>9764</v>
      </c>
      <c r="B474" s="12" t="s">
        <v>100</v>
      </c>
      <c r="C474" s="12" t="s">
        <v>103</v>
      </c>
      <c r="D474" s="12" t="s">
        <v>104</v>
      </c>
      <c r="E474" s="12" t="s">
        <v>126</v>
      </c>
      <c r="F474" s="12" t="s">
        <v>39</v>
      </c>
      <c r="G474" s="12" t="s">
        <v>41</v>
      </c>
      <c r="H474" s="12">
        <v>27</v>
      </c>
      <c r="I474" s="13">
        <v>45951.7999305556</v>
      </c>
      <c r="J474" s="12" t="s">
        <v>127</v>
      </c>
      <c r="K474" s="12" t="s">
        <v>128</v>
      </c>
      <c r="L474" s="14">
        <v>1</v>
      </c>
      <c r="M474" s="14">
        <f t="shared" si="7"/>
        <v>1</v>
      </c>
      <c r="N474" s="7" t="s">
        <v>597</v>
      </c>
      <c r="O474" s="12"/>
      <c r="P474" s="12" t="s">
        <v>130</v>
      </c>
    </row>
    <row r="475" spans="1:16" ht="247.5" hidden="1" customHeight="1" x14ac:dyDescent="0.35">
      <c r="A475" s="12">
        <v>9765</v>
      </c>
      <c r="B475" s="12" t="s">
        <v>100</v>
      </c>
      <c r="C475" s="12" t="s">
        <v>103</v>
      </c>
      <c r="D475" s="12" t="s">
        <v>104</v>
      </c>
      <c r="E475" s="12" t="s">
        <v>131</v>
      </c>
      <c r="F475" s="12" t="s">
        <v>39</v>
      </c>
      <c r="G475" s="12" t="s">
        <v>41</v>
      </c>
      <c r="H475" s="12">
        <v>27</v>
      </c>
      <c r="I475" s="13">
        <v>45951.7999305556</v>
      </c>
      <c r="J475" s="12" t="s">
        <v>127</v>
      </c>
      <c r="K475" s="12" t="s">
        <v>142</v>
      </c>
      <c r="L475" s="14">
        <v>0.33300000000000002</v>
      </c>
      <c r="M475" s="14">
        <f t="shared" si="7"/>
        <v>0.33300000000000002</v>
      </c>
      <c r="N475" s="7" t="s">
        <v>598</v>
      </c>
      <c r="O475" s="12"/>
      <c r="P475" s="12" t="s">
        <v>130</v>
      </c>
    </row>
    <row r="476" spans="1:16" ht="79.5" hidden="1" customHeight="1" x14ac:dyDescent="0.35">
      <c r="A476" s="12">
        <v>9781</v>
      </c>
      <c r="B476" s="12" t="s">
        <v>100</v>
      </c>
      <c r="C476" s="12" t="s">
        <v>103</v>
      </c>
      <c r="D476" s="12" t="s">
        <v>104</v>
      </c>
      <c r="E476" s="12" t="s">
        <v>134</v>
      </c>
      <c r="F476" s="12" t="s">
        <v>39</v>
      </c>
      <c r="G476" s="12" t="s">
        <v>41</v>
      </c>
      <c r="H476" s="12">
        <v>27</v>
      </c>
      <c r="I476" s="13">
        <v>45951.7999305556</v>
      </c>
      <c r="J476" s="12" t="s">
        <v>127</v>
      </c>
      <c r="K476" s="12" t="s">
        <v>132</v>
      </c>
      <c r="L476" s="14">
        <v>0.66600000000000004</v>
      </c>
      <c r="M476" s="14">
        <f t="shared" si="7"/>
        <v>0.66600000000000004</v>
      </c>
      <c r="N476" s="7" t="s">
        <v>599</v>
      </c>
      <c r="O476" s="12"/>
      <c r="P476" s="12" t="s">
        <v>130</v>
      </c>
    </row>
    <row r="477" spans="1:16" ht="225" hidden="1" customHeight="1" x14ac:dyDescent="0.35">
      <c r="A477" s="12">
        <v>9801</v>
      </c>
      <c r="B477" s="12" t="s">
        <v>100</v>
      </c>
      <c r="C477" s="12" t="s">
        <v>105</v>
      </c>
      <c r="D477" s="12" t="s">
        <v>106</v>
      </c>
      <c r="E477" s="12" t="s">
        <v>126</v>
      </c>
      <c r="F477" s="12" t="s">
        <v>39</v>
      </c>
      <c r="G477" s="12" t="s">
        <v>41</v>
      </c>
      <c r="H477" s="12">
        <v>27</v>
      </c>
      <c r="I477" s="13">
        <v>45951.7999305556</v>
      </c>
      <c r="J477" s="12" t="s">
        <v>127</v>
      </c>
      <c r="K477" s="12" t="s">
        <v>132</v>
      </c>
      <c r="L477" s="14">
        <v>0.66600000000000004</v>
      </c>
      <c r="M477" s="14">
        <f t="shared" si="7"/>
        <v>0.66600000000000004</v>
      </c>
      <c r="N477" s="7" t="s">
        <v>600</v>
      </c>
      <c r="O477" s="12"/>
      <c r="P477" s="12" t="s">
        <v>130</v>
      </c>
    </row>
    <row r="478" spans="1:16" ht="258.75" hidden="1" customHeight="1" x14ac:dyDescent="0.35">
      <c r="A478" s="12">
        <v>9821</v>
      </c>
      <c r="B478" s="12" t="s">
        <v>100</v>
      </c>
      <c r="C478" s="12" t="s">
        <v>105</v>
      </c>
      <c r="D478" s="12" t="s">
        <v>106</v>
      </c>
      <c r="E478" s="12" t="s">
        <v>131</v>
      </c>
      <c r="F478" s="12" t="s">
        <v>39</v>
      </c>
      <c r="G478" s="12" t="s">
        <v>41</v>
      </c>
      <c r="H478" s="12">
        <v>27</v>
      </c>
      <c r="I478" s="13">
        <v>45951.7999305556</v>
      </c>
      <c r="J478" s="12" t="s">
        <v>127</v>
      </c>
      <c r="K478" s="12" t="s">
        <v>142</v>
      </c>
      <c r="L478" s="14">
        <v>0.33300000000000002</v>
      </c>
      <c r="M478" s="14">
        <f t="shared" si="7"/>
        <v>0.33300000000000002</v>
      </c>
      <c r="N478" s="7" t="s">
        <v>601</v>
      </c>
      <c r="O478" s="12"/>
      <c r="P478" s="12" t="s">
        <v>130</v>
      </c>
    </row>
    <row r="479" spans="1:16" ht="79.5" hidden="1" customHeight="1" x14ac:dyDescent="0.35">
      <c r="A479" s="12">
        <v>9802</v>
      </c>
      <c r="B479" s="12" t="s">
        <v>100</v>
      </c>
      <c r="C479" s="12" t="s">
        <v>107</v>
      </c>
      <c r="D479" s="12" t="s">
        <v>108</v>
      </c>
      <c r="E479" s="12" t="s">
        <v>126</v>
      </c>
      <c r="F479" s="12" t="s">
        <v>39</v>
      </c>
      <c r="G479" s="12" t="s">
        <v>41</v>
      </c>
      <c r="H479" s="12">
        <v>27</v>
      </c>
      <c r="I479" s="13">
        <v>45951.7999305556</v>
      </c>
      <c r="J479" s="12" t="s">
        <v>127</v>
      </c>
      <c r="K479" s="12" t="s">
        <v>128</v>
      </c>
      <c r="L479" s="14">
        <v>1</v>
      </c>
      <c r="M479" s="14">
        <f t="shared" si="7"/>
        <v>1</v>
      </c>
      <c r="N479" s="7" t="s">
        <v>602</v>
      </c>
      <c r="O479" s="12"/>
      <c r="P479" s="12" t="s">
        <v>130</v>
      </c>
    </row>
    <row r="480" spans="1:16" ht="57" hidden="1" customHeight="1" x14ac:dyDescent="0.35">
      <c r="A480" s="12">
        <v>9822</v>
      </c>
      <c r="B480" s="12" t="s">
        <v>100</v>
      </c>
      <c r="C480" s="12" t="s">
        <v>107</v>
      </c>
      <c r="D480" s="12" t="s">
        <v>108</v>
      </c>
      <c r="E480" s="12" t="s">
        <v>131</v>
      </c>
      <c r="F480" s="12" t="s">
        <v>39</v>
      </c>
      <c r="G480" s="12" t="s">
        <v>41</v>
      </c>
      <c r="H480" s="12">
        <v>27</v>
      </c>
      <c r="I480" s="13">
        <v>45951.7999305556</v>
      </c>
      <c r="J480" s="12" t="s">
        <v>127</v>
      </c>
      <c r="K480" s="12" t="s">
        <v>128</v>
      </c>
      <c r="L480" s="14">
        <v>1</v>
      </c>
      <c r="M480" s="14">
        <f t="shared" si="7"/>
        <v>1</v>
      </c>
      <c r="N480" s="7" t="s">
        <v>603</v>
      </c>
      <c r="O480" s="12"/>
      <c r="P480" s="12" t="s">
        <v>130</v>
      </c>
    </row>
    <row r="481" spans="1:16" ht="68.25" hidden="1" customHeight="1" x14ac:dyDescent="0.35">
      <c r="A481" s="12">
        <v>9841</v>
      </c>
      <c r="B481" s="12" t="s">
        <v>100</v>
      </c>
      <c r="C481" s="12" t="s">
        <v>107</v>
      </c>
      <c r="D481" s="12" t="s">
        <v>108</v>
      </c>
      <c r="E481" s="12" t="s">
        <v>134</v>
      </c>
      <c r="F481" s="12" t="s">
        <v>39</v>
      </c>
      <c r="G481" s="12" t="s">
        <v>41</v>
      </c>
      <c r="H481" s="12">
        <v>27</v>
      </c>
      <c r="I481" s="13">
        <v>45951.7999305556</v>
      </c>
      <c r="J481" s="12" t="s">
        <v>127</v>
      </c>
      <c r="K481" s="12" t="s">
        <v>132</v>
      </c>
      <c r="L481" s="14">
        <v>0.66600000000000004</v>
      </c>
      <c r="M481" s="14">
        <f t="shared" si="7"/>
        <v>0.66600000000000004</v>
      </c>
      <c r="N481" s="7" t="s">
        <v>604</v>
      </c>
      <c r="O481" s="12"/>
      <c r="P481" s="12" t="s">
        <v>130</v>
      </c>
    </row>
    <row r="482" spans="1:16" ht="292.5" hidden="1" customHeight="1" x14ac:dyDescent="0.35">
      <c r="A482" s="12">
        <v>9842</v>
      </c>
      <c r="B482" s="12" t="s">
        <v>100</v>
      </c>
      <c r="C482" s="12" t="s">
        <v>109</v>
      </c>
      <c r="D482" s="12" t="s">
        <v>110</v>
      </c>
      <c r="E482" s="12" t="s">
        <v>126</v>
      </c>
      <c r="F482" s="12" t="s">
        <v>39</v>
      </c>
      <c r="G482" s="12" t="s">
        <v>41</v>
      </c>
      <c r="H482" s="12">
        <v>27</v>
      </c>
      <c r="I482" s="13">
        <v>45951.7999305556</v>
      </c>
      <c r="J482" s="12" t="s">
        <v>127</v>
      </c>
      <c r="K482" s="12" t="s">
        <v>132</v>
      </c>
      <c r="L482" s="14">
        <v>0.66600000000000004</v>
      </c>
      <c r="M482" s="14">
        <f t="shared" si="7"/>
        <v>0.66600000000000004</v>
      </c>
      <c r="N482" s="7" t="s">
        <v>605</v>
      </c>
      <c r="O482" s="12"/>
      <c r="P482" s="12" t="s">
        <v>130</v>
      </c>
    </row>
    <row r="483" spans="1:16" ht="191.25" hidden="1" customHeight="1" x14ac:dyDescent="0.35">
      <c r="A483" s="12">
        <v>9823</v>
      </c>
      <c r="B483" s="12" t="s">
        <v>100</v>
      </c>
      <c r="C483" s="12" t="s">
        <v>109</v>
      </c>
      <c r="D483" s="12" t="s">
        <v>110</v>
      </c>
      <c r="E483" s="12" t="s">
        <v>131</v>
      </c>
      <c r="F483" s="12" t="s">
        <v>39</v>
      </c>
      <c r="G483" s="12" t="s">
        <v>41</v>
      </c>
      <c r="H483" s="12">
        <v>27</v>
      </c>
      <c r="I483" s="13">
        <v>45951.7999305556</v>
      </c>
      <c r="J483" s="12" t="s">
        <v>127</v>
      </c>
      <c r="K483" s="12" t="s">
        <v>128</v>
      </c>
      <c r="L483" s="14">
        <v>1</v>
      </c>
      <c r="M483" s="14">
        <f t="shared" si="7"/>
        <v>1</v>
      </c>
      <c r="N483" s="7" t="s">
        <v>606</v>
      </c>
      <c r="O483" s="12"/>
      <c r="P483" s="12" t="s">
        <v>130</v>
      </c>
    </row>
    <row r="484" spans="1:16" ht="157.5" hidden="1" customHeight="1" x14ac:dyDescent="0.35">
      <c r="A484" s="12">
        <v>9824</v>
      </c>
      <c r="B484" s="12" t="s">
        <v>100</v>
      </c>
      <c r="C484" s="12" t="s">
        <v>111</v>
      </c>
      <c r="D484" s="12" t="s">
        <v>112</v>
      </c>
      <c r="E484" s="12" t="s">
        <v>126</v>
      </c>
      <c r="F484" s="12" t="s">
        <v>39</v>
      </c>
      <c r="G484" s="12" t="s">
        <v>41</v>
      </c>
      <c r="H484" s="12">
        <v>27</v>
      </c>
      <c r="I484" s="13">
        <v>45951.7999305556</v>
      </c>
      <c r="J484" s="12" t="s">
        <v>127</v>
      </c>
      <c r="K484" s="12" t="s">
        <v>142</v>
      </c>
      <c r="L484" s="14">
        <v>0.33300000000000002</v>
      </c>
      <c r="M484" s="14">
        <f t="shared" si="7"/>
        <v>0.33300000000000002</v>
      </c>
      <c r="N484" s="7" t="s">
        <v>607</v>
      </c>
      <c r="O484" s="12"/>
      <c r="P484" s="12" t="s">
        <v>130</v>
      </c>
    </row>
    <row r="485" spans="1:16" ht="258.75" hidden="1" customHeight="1" x14ac:dyDescent="0.35">
      <c r="A485" s="12">
        <v>9825</v>
      </c>
      <c r="B485" s="12" t="s">
        <v>100</v>
      </c>
      <c r="C485" s="12" t="s">
        <v>111</v>
      </c>
      <c r="D485" s="12" t="s">
        <v>112</v>
      </c>
      <c r="E485" s="12" t="s">
        <v>131</v>
      </c>
      <c r="F485" s="12" t="s">
        <v>39</v>
      </c>
      <c r="G485" s="12" t="s">
        <v>41</v>
      </c>
      <c r="H485" s="12">
        <v>27</v>
      </c>
      <c r="I485" s="13">
        <v>45951.7999305556</v>
      </c>
      <c r="J485" s="12" t="s">
        <v>127</v>
      </c>
      <c r="K485" s="12" t="s">
        <v>142</v>
      </c>
      <c r="L485" s="14">
        <v>0.33300000000000002</v>
      </c>
      <c r="M485" s="14">
        <f t="shared" si="7"/>
        <v>0.33300000000000002</v>
      </c>
      <c r="N485" s="7" t="s">
        <v>608</v>
      </c>
      <c r="O485" s="12"/>
      <c r="P485" s="12" t="s">
        <v>130</v>
      </c>
    </row>
    <row r="486" spans="1:16" ht="168.75" hidden="1" customHeight="1" x14ac:dyDescent="0.35">
      <c r="A486" s="12">
        <v>9861</v>
      </c>
      <c r="B486" s="12" t="s">
        <v>100</v>
      </c>
      <c r="C486" s="12" t="s">
        <v>111</v>
      </c>
      <c r="D486" s="12" t="s">
        <v>112</v>
      </c>
      <c r="E486" s="12" t="s">
        <v>134</v>
      </c>
      <c r="F486" s="12" t="s">
        <v>39</v>
      </c>
      <c r="G486" s="12" t="s">
        <v>41</v>
      </c>
      <c r="H486" s="12">
        <v>27</v>
      </c>
      <c r="I486" s="13">
        <v>45951.7999305556</v>
      </c>
      <c r="J486" s="12" t="s">
        <v>127</v>
      </c>
      <c r="K486" s="12" t="s">
        <v>132</v>
      </c>
      <c r="L486" s="14">
        <v>0.66600000000000004</v>
      </c>
      <c r="M486" s="14">
        <f t="shared" si="7"/>
        <v>0.66600000000000004</v>
      </c>
      <c r="N486" s="7" t="s">
        <v>609</v>
      </c>
      <c r="O486" s="12"/>
      <c r="P486" s="12" t="s">
        <v>130</v>
      </c>
    </row>
    <row r="487" spans="1:16" ht="113.25" hidden="1" customHeight="1" x14ac:dyDescent="0.35">
      <c r="A487" s="12">
        <v>9881</v>
      </c>
      <c r="B487" s="12" t="s">
        <v>100</v>
      </c>
      <c r="C487" s="12" t="s">
        <v>113</v>
      </c>
      <c r="D487" s="12" t="s">
        <v>114</v>
      </c>
      <c r="E487" s="12" t="s">
        <v>126</v>
      </c>
      <c r="F487" s="12" t="s">
        <v>39</v>
      </c>
      <c r="G487" s="12" t="s">
        <v>41</v>
      </c>
      <c r="H487" s="12">
        <v>27</v>
      </c>
      <c r="I487" s="13">
        <v>45951.7999305556</v>
      </c>
      <c r="J487" s="12" t="s">
        <v>127</v>
      </c>
      <c r="K487" s="12" t="s">
        <v>142</v>
      </c>
      <c r="L487" s="14">
        <v>0.33300000000000002</v>
      </c>
      <c r="M487" s="14">
        <f t="shared" si="7"/>
        <v>0.33300000000000002</v>
      </c>
      <c r="N487" s="7" t="s">
        <v>610</v>
      </c>
      <c r="O487" s="12"/>
      <c r="P487" s="12" t="s">
        <v>130</v>
      </c>
    </row>
    <row r="488" spans="1:16" ht="34.5" hidden="1" customHeight="1" x14ac:dyDescent="0.35">
      <c r="A488" s="12">
        <v>9882</v>
      </c>
      <c r="B488" s="12" t="s">
        <v>100</v>
      </c>
      <c r="C488" s="12" t="s">
        <v>113</v>
      </c>
      <c r="D488" s="12" t="s">
        <v>114</v>
      </c>
      <c r="E488" s="12" t="s">
        <v>131</v>
      </c>
      <c r="F488" s="12" t="s">
        <v>39</v>
      </c>
      <c r="G488" s="12" t="s">
        <v>41</v>
      </c>
      <c r="H488" s="12">
        <v>27</v>
      </c>
      <c r="I488" s="13">
        <v>45951.7999305556</v>
      </c>
      <c r="J488" s="12" t="s">
        <v>127</v>
      </c>
      <c r="K488" s="12" t="s">
        <v>135</v>
      </c>
      <c r="L488" s="14"/>
      <c r="M488" s="14">
        <f t="shared" si="7"/>
        <v>0</v>
      </c>
      <c r="N488" s="7" t="s">
        <v>611</v>
      </c>
      <c r="O488" s="12"/>
      <c r="P488" s="12" t="s">
        <v>130</v>
      </c>
    </row>
    <row r="489" spans="1:16" ht="258.75" hidden="1" customHeight="1" x14ac:dyDescent="0.35">
      <c r="A489" s="12">
        <v>9862</v>
      </c>
      <c r="B489" s="12" t="s">
        <v>100</v>
      </c>
      <c r="C489" s="12" t="s">
        <v>113</v>
      </c>
      <c r="D489" s="12" t="s">
        <v>114</v>
      </c>
      <c r="E489" s="12" t="s">
        <v>134</v>
      </c>
      <c r="F489" s="12" t="s">
        <v>39</v>
      </c>
      <c r="G489" s="12" t="s">
        <v>41</v>
      </c>
      <c r="H489" s="12">
        <v>27</v>
      </c>
      <c r="I489" s="13">
        <v>45951.7999305556</v>
      </c>
      <c r="J489" s="12" t="s">
        <v>127</v>
      </c>
      <c r="K489" s="12" t="s">
        <v>135</v>
      </c>
      <c r="L489" s="14"/>
      <c r="M489" s="14">
        <f t="shared" si="7"/>
        <v>0</v>
      </c>
      <c r="N489" s="7" t="s">
        <v>612</v>
      </c>
      <c r="O489" s="12"/>
      <c r="P489" s="12" t="s">
        <v>130</v>
      </c>
    </row>
    <row r="490" spans="1:16" ht="68.25" hidden="1" customHeight="1" x14ac:dyDescent="0.35">
      <c r="A490" s="12">
        <v>1644</v>
      </c>
      <c r="B490" s="12" t="s">
        <v>100</v>
      </c>
      <c r="C490" s="12" t="s">
        <v>101</v>
      </c>
      <c r="D490" s="12" t="s">
        <v>102</v>
      </c>
      <c r="E490" s="12" t="s">
        <v>126</v>
      </c>
      <c r="F490" s="12" t="s">
        <v>39</v>
      </c>
      <c r="G490" s="12" t="s">
        <v>42</v>
      </c>
      <c r="H490" s="12">
        <v>16</v>
      </c>
      <c r="I490" s="13">
        <v>45938.683287036998</v>
      </c>
      <c r="J490" s="12" t="s">
        <v>127</v>
      </c>
      <c r="K490" s="12" t="s">
        <v>128</v>
      </c>
      <c r="L490" s="14">
        <v>1</v>
      </c>
      <c r="M490" s="14">
        <f t="shared" si="7"/>
        <v>1</v>
      </c>
      <c r="N490" s="7" t="s">
        <v>613</v>
      </c>
      <c r="O490" s="12"/>
      <c r="P490" s="12" t="s">
        <v>130</v>
      </c>
    </row>
    <row r="491" spans="1:16" ht="168.75" hidden="1" customHeight="1" x14ac:dyDescent="0.35">
      <c r="A491" s="12">
        <v>5844</v>
      </c>
      <c r="B491" s="12" t="s">
        <v>100</v>
      </c>
      <c r="C491" s="12" t="s">
        <v>101</v>
      </c>
      <c r="D491" s="12" t="s">
        <v>102</v>
      </c>
      <c r="E491" s="12" t="s">
        <v>131</v>
      </c>
      <c r="F491" s="12" t="s">
        <v>39</v>
      </c>
      <c r="G491" s="12" t="s">
        <v>42</v>
      </c>
      <c r="H491" s="12">
        <v>16</v>
      </c>
      <c r="I491" s="13">
        <v>45938.683287036998</v>
      </c>
      <c r="J491" s="12" t="s">
        <v>127</v>
      </c>
      <c r="K491" s="12" t="s">
        <v>132</v>
      </c>
      <c r="L491" s="14">
        <v>0.66600000000000004</v>
      </c>
      <c r="M491" s="14">
        <f t="shared" si="7"/>
        <v>0.66600000000000004</v>
      </c>
      <c r="N491" s="7" t="s">
        <v>614</v>
      </c>
      <c r="O491" s="12"/>
      <c r="P491" s="12" t="s">
        <v>130</v>
      </c>
    </row>
    <row r="492" spans="1:16" ht="157.5" hidden="1" customHeight="1" x14ac:dyDescent="0.35">
      <c r="A492" s="12">
        <v>5928</v>
      </c>
      <c r="B492" s="12" t="s">
        <v>100</v>
      </c>
      <c r="C492" s="12" t="s">
        <v>101</v>
      </c>
      <c r="D492" s="12" t="s">
        <v>102</v>
      </c>
      <c r="E492" s="12" t="s">
        <v>134</v>
      </c>
      <c r="F492" s="12" t="s">
        <v>39</v>
      </c>
      <c r="G492" s="12" t="s">
        <v>42</v>
      </c>
      <c r="H492" s="12">
        <v>16</v>
      </c>
      <c r="I492" s="13">
        <v>45938.683287036998</v>
      </c>
      <c r="J492" s="12" t="s">
        <v>127</v>
      </c>
      <c r="K492" s="12" t="s">
        <v>142</v>
      </c>
      <c r="L492" s="14">
        <v>0.33300000000000002</v>
      </c>
      <c r="M492" s="14">
        <f t="shared" si="7"/>
        <v>0.33300000000000002</v>
      </c>
      <c r="N492" s="7" t="s">
        <v>615</v>
      </c>
      <c r="O492" s="12"/>
      <c r="P492" s="12" t="s">
        <v>130</v>
      </c>
    </row>
    <row r="493" spans="1:16" ht="124.5" hidden="1" customHeight="1" x14ac:dyDescent="0.35">
      <c r="A493" s="12">
        <v>5968</v>
      </c>
      <c r="B493" s="12" t="s">
        <v>100</v>
      </c>
      <c r="C493" s="12" t="s">
        <v>103</v>
      </c>
      <c r="D493" s="12" t="s">
        <v>104</v>
      </c>
      <c r="E493" s="12" t="s">
        <v>126</v>
      </c>
      <c r="F493" s="12" t="s">
        <v>39</v>
      </c>
      <c r="G493" s="12" t="s">
        <v>42</v>
      </c>
      <c r="H493" s="12">
        <v>16</v>
      </c>
      <c r="I493" s="13">
        <v>45938.683287036998</v>
      </c>
      <c r="J493" s="12" t="s">
        <v>127</v>
      </c>
      <c r="K493" s="12" t="s">
        <v>132</v>
      </c>
      <c r="L493" s="14">
        <v>0.66600000000000004</v>
      </c>
      <c r="M493" s="14">
        <f t="shared" si="7"/>
        <v>0.66600000000000004</v>
      </c>
      <c r="N493" s="7" t="s">
        <v>616</v>
      </c>
      <c r="O493" s="12"/>
      <c r="P493" s="12" t="s">
        <v>130</v>
      </c>
    </row>
    <row r="494" spans="1:16" ht="113.25" hidden="1" customHeight="1" x14ac:dyDescent="0.35">
      <c r="A494" s="12">
        <v>5977</v>
      </c>
      <c r="B494" s="12" t="s">
        <v>100</v>
      </c>
      <c r="C494" s="12" t="s">
        <v>103</v>
      </c>
      <c r="D494" s="12" t="s">
        <v>104</v>
      </c>
      <c r="E494" s="12" t="s">
        <v>131</v>
      </c>
      <c r="F494" s="12" t="s">
        <v>39</v>
      </c>
      <c r="G494" s="12" t="s">
        <v>42</v>
      </c>
      <c r="H494" s="12">
        <v>16</v>
      </c>
      <c r="I494" s="13">
        <v>45938.683287036998</v>
      </c>
      <c r="J494" s="12" t="s">
        <v>127</v>
      </c>
      <c r="K494" s="12" t="s">
        <v>132</v>
      </c>
      <c r="L494" s="14">
        <v>0.66600000000000004</v>
      </c>
      <c r="M494" s="14">
        <f t="shared" si="7"/>
        <v>0.66600000000000004</v>
      </c>
      <c r="N494" s="7" t="s">
        <v>617</v>
      </c>
      <c r="O494" s="12"/>
      <c r="P494" s="12" t="s">
        <v>130</v>
      </c>
    </row>
    <row r="495" spans="1:16" ht="168.75" hidden="1" customHeight="1" x14ac:dyDescent="0.35">
      <c r="A495" s="12">
        <v>5978</v>
      </c>
      <c r="B495" s="12" t="s">
        <v>100</v>
      </c>
      <c r="C495" s="12" t="s">
        <v>103</v>
      </c>
      <c r="D495" s="12" t="s">
        <v>104</v>
      </c>
      <c r="E495" s="12" t="s">
        <v>134</v>
      </c>
      <c r="F495" s="12" t="s">
        <v>39</v>
      </c>
      <c r="G495" s="12" t="s">
        <v>42</v>
      </c>
      <c r="H495" s="12">
        <v>16</v>
      </c>
      <c r="I495" s="13">
        <v>45938.683287036998</v>
      </c>
      <c r="J495" s="12" t="s">
        <v>127</v>
      </c>
      <c r="K495" s="12" t="s">
        <v>132</v>
      </c>
      <c r="L495" s="14">
        <v>0.66600000000000004</v>
      </c>
      <c r="M495" s="14">
        <f t="shared" si="7"/>
        <v>0.66600000000000004</v>
      </c>
      <c r="N495" s="7" t="s">
        <v>618</v>
      </c>
      <c r="O495" s="12"/>
      <c r="P495" s="12" t="s">
        <v>130</v>
      </c>
    </row>
    <row r="496" spans="1:16" ht="68.25" hidden="1" customHeight="1" x14ac:dyDescent="0.35">
      <c r="A496" s="12">
        <v>6332</v>
      </c>
      <c r="B496" s="12" t="s">
        <v>100</v>
      </c>
      <c r="C496" s="12" t="s">
        <v>105</v>
      </c>
      <c r="D496" s="12" t="s">
        <v>106</v>
      </c>
      <c r="E496" s="12" t="s">
        <v>126</v>
      </c>
      <c r="F496" s="12" t="s">
        <v>39</v>
      </c>
      <c r="G496" s="12" t="s">
        <v>42</v>
      </c>
      <c r="H496" s="12">
        <v>16</v>
      </c>
      <c r="I496" s="13">
        <v>45938.683287036998</v>
      </c>
      <c r="J496" s="12" t="s">
        <v>127</v>
      </c>
      <c r="K496" s="12" t="s">
        <v>132</v>
      </c>
      <c r="L496" s="14">
        <v>0.66600000000000004</v>
      </c>
      <c r="M496" s="14">
        <f t="shared" si="7"/>
        <v>0.66600000000000004</v>
      </c>
      <c r="N496" s="7" t="s">
        <v>619</v>
      </c>
      <c r="O496" s="12"/>
      <c r="P496" s="12" t="s">
        <v>130</v>
      </c>
    </row>
    <row r="497" spans="1:16" ht="68.25" hidden="1" customHeight="1" x14ac:dyDescent="0.35">
      <c r="A497" s="12">
        <v>6334</v>
      </c>
      <c r="B497" s="12" t="s">
        <v>100</v>
      </c>
      <c r="C497" s="12" t="s">
        <v>105</v>
      </c>
      <c r="D497" s="12" t="s">
        <v>106</v>
      </c>
      <c r="E497" s="12" t="s">
        <v>131</v>
      </c>
      <c r="F497" s="12" t="s">
        <v>39</v>
      </c>
      <c r="G497" s="12" t="s">
        <v>42</v>
      </c>
      <c r="H497" s="12">
        <v>16</v>
      </c>
      <c r="I497" s="13">
        <v>45938.683287036998</v>
      </c>
      <c r="J497" s="12" t="s">
        <v>127</v>
      </c>
      <c r="K497" s="12" t="s">
        <v>132</v>
      </c>
      <c r="L497" s="14">
        <v>0.66600000000000004</v>
      </c>
      <c r="M497" s="14">
        <f t="shared" si="7"/>
        <v>0.66600000000000004</v>
      </c>
      <c r="N497" s="7" t="s">
        <v>620</v>
      </c>
      <c r="O497" s="12"/>
      <c r="P497" s="12" t="s">
        <v>130</v>
      </c>
    </row>
    <row r="498" spans="1:16" ht="57" hidden="1" customHeight="1" x14ac:dyDescent="0.35">
      <c r="A498" s="12">
        <v>6310</v>
      </c>
      <c r="B498" s="12" t="s">
        <v>100</v>
      </c>
      <c r="C498" s="12" t="s">
        <v>107</v>
      </c>
      <c r="D498" s="12" t="s">
        <v>108</v>
      </c>
      <c r="E498" s="12" t="s">
        <v>126</v>
      </c>
      <c r="F498" s="12" t="s">
        <v>39</v>
      </c>
      <c r="G498" s="12" t="s">
        <v>42</v>
      </c>
      <c r="H498" s="12">
        <v>16</v>
      </c>
      <c r="I498" s="13">
        <v>45938.683287036998</v>
      </c>
      <c r="J498" s="12" t="s">
        <v>127</v>
      </c>
      <c r="K498" s="12" t="s">
        <v>132</v>
      </c>
      <c r="L498" s="14">
        <v>0.66600000000000004</v>
      </c>
      <c r="M498" s="14">
        <f t="shared" si="7"/>
        <v>0.66600000000000004</v>
      </c>
      <c r="N498" s="7" t="s">
        <v>621</v>
      </c>
      <c r="O498" s="12"/>
      <c r="P498" s="12" t="s">
        <v>130</v>
      </c>
    </row>
    <row r="499" spans="1:16" ht="57" hidden="1" customHeight="1" x14ac:dyDescent="0.35">
      <c r="A499" s="12">
        <v>6336</v>
      </c>
      <c r="B499" s="12" t="s">
        <v>100</v>
      </c>
      <c r="C499" s="12" t="s">
        <v>107</v>
      </c>
      <c r="D499" s="12" t="s">
        <v>108</v>
      </c>
      <c r="E499" s="12" t="s">
        <v>131</v>
      </c>
      <c r="F499" s="12" t="s">
        <v>39</v>
      </c>
      <c r="G499" s="12" t="s">
        <v>42</v>
      </c>
      <c r="H499" s="12">
        <v>16</v>
      </c>
      <c r="I499" s="13">
        <v>45938.683287036998</v>
      </c>
      <c r="J499" s="12" t="s">
        <v>127</v>
      </c>
      <c r="K499" s="12" t="s">
        <v>132</v>
      </c>
      <c r="L499" s="14">
        <v>0.66600000000000004</v>
      </c>
      <c r="M499" s="14">
        <f t="shared" si="7"/>
        <v>0.66600000000000004</v>
      </c>
      <c r="N499" s="7" t="s">
        <v>622</v>
      </c>
      <c r="O499" s="12"/>
      <c r="P499" s="12" t="s">
        <v>130</v>
      </c>
    </row>
    <row r="500" spans="1:16" ht="57" hidden="1" customHeight="1" x14ac:dyDescent="0.35">
      <c r="A500" s="12">
        <v>6437</v>
      </c>
      <c r="B500" s="12" t="s">
        <v>100</v>
      </c>
      <c r="C500" s="12" t="s">
        <v>107</v>
      </c>
      <c r="D500" s="12" t="s">
        <v>108</v>
      </c>
      <c r="E500" s="12" t="s">
        <v>134</v>
      </c>
      <c r="F500" s="12" t="s">
        <v>39</v>
      </c>
      <c r="G500" s="12" t="s">
        <v>42</v>
      </c>
      <c r="H500" s="12">
        <v>16</v>
      </c>
      <c r="I500" s="13">
        <v>45938.683287036998</v>
      </c>
      <c r="J500" s="12" t="s">
        <v>127</v>
      </c>
      <c r="K500" s="12" t="s">
        <v>132</v>
      </c>
      <c r="L500" s="14">
        <v>0.66600000000000004</v>
      </c>
      <c r="M500" s="14">
        <f t="shared" si="7"/>
        <v>0.66600000000000004</v>
      </c>
      <c r="N500" s="7" t="s">
        <v>623</v>
      </c>
      <c r="O500" s="12"/>
      <c r="P500" s="12" t="s">
        <v>130</v>
      </c>
    </row>
    <row r="501" spans="1:16" ht="57" hidden="1" customHeight="1" x14ac:dyDescent="0.35">
      <c r="A501" s="12">
        <v>6438</v>
      </c>
      <c r="B501" s="12" t="s">
        <v>100</v>
      </c>
      <c r="C501" s="12" t="s">
        <v>109</v>
      </c>
      <c r="D501" s="12" t="s">
        <v>110</v>
      </c>
      <c r="E501" s="12" t="s">
        <v>126</v>
      </c>
      <c r="F501" s="12" t="s">
        <v>39</v>
      </c>
      <c r="G501" s="12" t="s">
        <v>42</v>
      </c>
      <c r="H501" s="12">
        <v>16</v>
      </c>
      <c r="I501" s="13">
        <v>45938.683287036998</v>
      </c>
      <c r="J501" s="12" t="s">
        <v>127</v>
      </c>
      <c r="K501" s="12" t="s">
        <v>132</v>
      </c>
      <c r="L501" s="14">
        <v>0.66600000000000004</v>
      </c>
      <c r="M501" s="14">
        <f t="shared" si="7"/>
        <v>0.66600000000000004</v>
      </c>
      <c r="N501" s="7" t="s">
        <v>624</v>
      </c>
      <c r="O501" s="12"/>
      <c r="P501" s="12" t="s">
        <v>130</v>
      </c>
    </row>
    <row r="502" spans="1:16" ht="68.25" hidden="1" customHeight="1" x14ac:dyDescent="0.35">
      <c r="A502" s="12">
        <v>6418</v>
      </c>
      <c r="B502" s="12" t="s">
        <v>100</v>
      </c>
      <c r="C502" s="12" t="s">
        <v>109</v>
      </c>
      <c r="D502" s="12" t="s">
        <v>110</v>
      </c>
      <c r="E502" s="12" t="s">
        <v>131</v>
      </c>
      <c r="F502" s="12" t="s">
        <v>39</v>
      </c>
      <c r="G502" s="12" t="s">
        <v>42</v>
      </c>
      <c r="H502" s="12">
        <v>16</v>
      </c>
      <c r="I502" s="13">
        <v>45938.683287036998</v>
      </c>
      <c r="J502" s="12" t="s">
        <v>127</v>
      </c>
      <c r="K502" s="12" t="s">
        <v>132</v>
      </c>
      <c r="L502" s="14">
        <v>0.66600000000000004</v>
      </c>
      <c r="M502" s="14">
        <f t="shared" si="7"/>
        <v>0.66600000000000004</v>
      </c>
      <c r="N502" s="7" t="s">
        <v>625</v>
      </c>
      <c r="O502" s="12"/>
      <c r="P502" s="12" t="s">
        <v>130</v>
      </c>
    </row>
    <row r="503" spans="1:16" ht="57" hidden="1" customHeight="1" x14ac:dyDescent="0.35">
      <c r="A503" s="12">
        <v>6486</v>
      </c>
      <c r="B503" s="12" t="s">
        <v>100</v>
      </c>
      <c r="C503" s="12" t="s">
        <v>111</v>
      </c>
      <c r="D503" s="12" t="s">
        <v>112</v>
      </c>
      <c r="E503" s="12" t="s">
        <v>126</v>
      </c>
      <c r="F503" s="12" t="s">
        <v>39</v>
      </c>
      <c r="G503" s="12" t="s">
        <v>42</v>
      </c>
      <c r="H503" s="12">
        <v>16</v>
      </c>
      <c r="I503" s="13">
        <v>45938.683287036998</v>
      </c>
      <c r="J503" s="12" t="s">
        <v>127</v>
      </c>
      <c r="K503" s="12" t="s">
        <v>142</v>
      </c>
      <c r="L503" s="14">
        <v>0.33300000000000002</v>
      </c>
      <c r="M503" s="14">
        <f t="shared" si="7"/>
        <v>0.33300000000000002</v>
      </c>
      <c r="N503" s="7" t="s">
        <v>626</v>
      </c>
      <c r="O503" s="12"/>
      <c r="P503" s="12" t="s">
        <v>130</v>
      </c>
    </row>
    <row r="504" spans="1:16" ht="68.25" hidden="1" customHeight="1" x14ac:dyDescent="0.35">
      <c r="A504" s="12">
        <v>6513</v>
      </c>
      <c r="B504" s="12" t="s">
        <v>100</v>
      </c>
      <c r="C504" s="12" t="s">
        <v>111</v>
      </c>
      <c r="D504" s="12" t="s">
        <v>112</v>
      </c>
      <c r="E504" s="12" t="s">
        <v>131</v>
      </c>
      <c r="F504" s="12" t="s">
        <v>39</v>
      </c>
      <c r="G504" s="12" t="s">
        <v>42</v>
      </c>
      <c r="H504" s="12">
        <v>16</v>
      </c>
      <c r="I504" s="13">
        <v>45938.683287036998</v>
      </c>
      <c r="J504" s="12" t="s">
        <v>127</v>
      </c>
      <c r="K504" s="12" t="s">
        <v>132</v>
      </c>
      <c r="L504" s="14">
        <v>0.66600000000000004</v>
      </c>
      <c r="M504" s="14">
        <f t="shared" si="7"/>
        <v>0.66600000000000004</v>
      </c>
      <c r="N504" s="7" t="s">
        <v>627</v>
      </c>
      <c r="O504" s="12"/>
      <c r="P504" s="12" t="s">
        <v>130</v>
      </c>
    </row>
    <row r="505" spans="1:16" ht="79.5" hidden="1" customHeight="1" x14ac:dyDescent="0.35">
      <c r="A505" s="12">
        <v>6516</v>
      </c>
      <c r="B505" s="12" t="s">
        <v>100</v>
      </c>
      <c r="C505" s="12" t="s">
        <v>111</v>
      </c>
      <c r="D505" s="12" t="s">
        <v>112</v>
      </c>
      <c r="E505" s="12" t="s">
        <v>134</v>
      </c>
      <c r="F505" s="12" t="s">
        <v>39</v>
      </c>
      <c r="G505" s="12" t="s">
        <v>42</v>
      </c>
      <c r="H505" s="12">
        <v>16</v>
      </c>
      <c r="I505" s="13">
        <v>45938.683287036998</v>
      </c>
      <c r="J505" s="12" t="s">
        <v>127</v>
      </c>
      <c r="K505" s="12" t="s">
        <v>142</v>
      </c>
      <c r="L505" s="14">
        <v>0.33300000000000002</v>
      </c>
      <c r="M505" s="14">
        <f t="shared" si="7"/>
        <v>0.33300000000000002</v>
      </c>
      <c r="N505" s="7" t="s">
        <v>628</v>
      </c>
      <c r="O505" s="12"/>
      <c r="P505" s="12" t="s">
        <v>130</v>
      </c>
    </row>
    <row r="506" spans="1:16" ht="68.25" hidden="1" customHeight="1" x14ac:dyDescent="0.35">
      <c r="A506" s="12">
        <v>6523</v>
      </c>
      <c r="B506" s="12" t="s">
        <v>100</v>
      </c>
      <c r="C506" s="12" t="s">
        <v>113</v>
      </c>
      <c r="D506" s="12" t="s">
        <v>114</v>
      </c>
      <c r="E506" s="12" t="s">
        <v>126</v>
      </c>
      <c r="F506" s="12" t="s">
        <v>39</v>
      </c>
      <c r="G506" s="12" t="s">
        <v>42</v>
      </c>
      <c r="H506" s="12">
        <v>16</v>
      </c>
      <c r="I506" s="13">
        <v>45938.683287036998</v>
      </c>
      <c r="J506" s="12" t="s">
        <v>127</v>
      </c>
      <c r="K506" s="12" t="s">
        <v>132</v>
      </c>
      <c r="L506" s="14">
        <v>0.66600000000000004</v>
      </c>
      <c r="M506" s="14">
        <f t="shared" si="7"/>
        <v>0.66600000000000004</v>
      </c>
      <c r="N506" s="7" t="s">
        <v>629</v>
      </c>
      <c r="O506" s="12"/>
      <c r="P506" s="12" t="s">
        <v>130</v>
      </c>
    </row>
    <row r="507" spans="1:16" ht="45.75" hidden="1" customHeight="1" x14ac:dyDescent="0.35">
      <c r="A507" s="12">
        <v>6518</v>
      </c>
      <c r="B507" s="12" t="s">
        <v>100</v>
      </c>
      <c r="C507" s="12" t="s">
        <v>113</v>
      </c>
      <c r="D507" s="12" t="s">
        <v>114</v>
      </c>
      <c r="E507" s="12" t="s">
        <v>131</v>
      </c>
      <c r="F507" s="12" t="s">
        <v>39</v>
      </c>
      <c r="G507" s="12" t="s">
        <v>42</v>
      </c>
      <c r="H507" s="12">
        <v>16</v>
      </c>
      <c r="I507" s="13">
        <v>45938.683287036998</v>
      </c>
      <c r="J507" s="12" t="s">
        <v>127</v>
      </c>
      <c r="K507" s="12" t="s">
        <v>135</v>
      </c>
      <c r="L507" s="14"/>
      <c r="M507" s="14">
        <f t="shared" si="7"/>
        <v>0</v>
      </c>
      <c r="N507" s="7" t="s">
        <v>630</v>
      </c>
      <c r="O507" s="12"/>
      <c r="P507" s="12" t="s">
        <v>130</v>
      </c>
    </row>
    <row r="508" spans="1:16" ht="45.75" hidden="1" customHeight="1" x14ac:dyDescent="0.35">
      <c r="A508" s="12">
        <v>6525</v>
      </c>
      <c r="B508" s="12" t="s">
        <v>100</v>
      </c>
      <c r="C508" s="12" t="s">
        <v>113</v>
      </c>
      <c r="D508" s="12" t="s">
        <v>114</v>
      </c>
      <c r="E508" s="12" t="s">
        <v>134</v>
      </c>
      <c r="F508" s="12" t="s">
        <v>39</v>
      </c>
      <c r="G508" s="12" t="s">
        <v>42</v>
      </c>
      <c r="H508" s="12">
        <v>16</v>
      </c>
      <c r="I508" s="13">
        <v>45938.683287036998</v>
      </c>
      <c r="J508" s="12" t="s">
        <v>127</v>
      </c>
      <c r="K508" s="12" t="s">
        <v>135</v>
      </c>
      <c r="L508" s="14"/>
      <c r="M508" s="14">
        <f t="shared" si="7"/>
        <v>0</v>
      </c>
      <c r="N508" s="7" t="s">
        <v>631</v>
      </c>
      <c r="O508" s="12"/>
      <c r="P508" s="12" t="s">
        <v>130</v>
      </c>
    </row>
    <row r="509" spans="1:16" ht="68.25" hidden="1" customHeight="1" x14ac:dyDescent="0.35">
      <c r="A509" s="12">
        <v>1626</v>
      </c>
      <c r="B509" s="12" t="s">
        <v>100</v>
      </c>
      <c r="C509" s="12" t="s">
        <v>101</v>
      </c>
      <c r="D509" s="12" t="s">
        <v>102</v>
      </c>
      <c r="E509" s="12" t="s">
        <v>126</v>
      </c>
      <c r="F509" s="12" t="s">
        <v>39</v>
      </c>
      <c r="G509" s="12" t="s">
        <v>43</v>
      </c>
      <c r="H509" s="12">
        <v>13</v>
      </c>
      <c r="I509" s="13">
        <v>45915.675185185202</v>
      </c>
      <c r="J509" s="12" t="s">
        <v>127</v>
      </c>
      <c r="K509" s="12" t="s">
        <v>128</v>
      </c>
      <c r="L509" s="14">
        <v>1</v>
      </c>
      <c r="M509" s="14">
        <f t="shared" si="7"/>
        <v>1</v>
      </c>
      <c r="N509" s="7" t="s">
        <v>632</v>
      </c>
      <c r="O509" s="12"/>
      <c r="P509" s="12" t="s">
        <v>130</v>
      </c>
    </row>
    <row r="510" spans="1:16" ht="45.75" hidden="1" customHeight="1" x14ac:dyDescent="0.35">
      <c r="A510" s="12">
        <v>9027</v>
      </c>
      <c r="B510" s="12" t="s">
        <v>100</v>
      </c>
      <c r="C510" s="12" t="s">
        <v>101</v>
      </c>
      <c r="D510" s="12" t="s">
        <v>102</v>
      </c>
      <c r="E510" s="12" t="s">
        <v>131</v>
      </c>
      <c r="F510" s="12" t="s">
        <v>39</v>
      </c>
      <c r="G510" s="12" t="s">
        <v>43</v>
      </c>
      <c r="H510" s="12">
        <v>13</v>
      </c>
      <c r="I510" s="13">
        <v>45915.675185185202</v>
      </c>
      <c r="J510" s="12" t="s">
        <v>127</v>
      </c>
      <c r="K510" s="12" t="s">
        <v>142</v>
      </c>
      <c r="L510" s="14">
        <v>0.33300000000000002</v>
      </c>
      <c r="M510" s="14">
        <f t="shared" si="7"/>
        <v>0.33300000000000002</v>
      </c>
      <c r="N510" s="7" t="s">
        <v>633</v>
      </c>
      <c r="O510" s="12"/>
      <c r="P510" s="12" t="s">
        <v>130</v>
      </c>
    </row>
    <row r="511" spans="1:16" ht="90.75" hidden="1" customHeight="1" x14ac:dyDescent="0.35">
      <c r="A511" s="12">
        <v>9028</v>
      </c>
      <c r="B511" s="12" t="s">
        <v>100</v>
      </c>
      <c r="C511" s="12" t="s">
        <v>101</v>
      </c>
      <c r="D511" s="12" t="s">
        <v>102</v>
      </c>
      <c r="E511" s="12" t="s">
        <v>134</v>
      </c>
      <c r="F511" s="12" t="s">
        <v>39</v>
      </c>
      <c r="G511" s="12" t="s">
        <v>43</v>
      </c>
      <c r="H511" s="12">
        <v>13</v>
      </c>
      <c r="I511" s="13">
        <v>45915.675185185202</v>
      </c>
      <c r="J511" s="12" t="s">
        <v>127</v>
      </c>
      <c r="K511" s="12" t="s">
        <v>142</v>
      </c>
      <c r="L511" s="14">
        <v>0.33300000000000002</v>
      </c>
      <c r="M511" s="14">
        <f t="shared" si="7"/>
        <v>0.33300000000000002</v>
      </c>
      <c r="N511" s="7" t="s">
        <v>634</v>
      </c>
      <c r="O511" s="12"/>
      <c r="P511" s="12" t="s">
        <v>130</v>
      </c>
    </row>
    <row r="512" spans="1:16" ht="57" hidden="1" customHeight="1" x14ac:dyDescent="0.35">
      <c r="A512" s="12">
        <v>9029</v>
      </c>
      <c r="B512" s="12" t="s">
        <v>100</v>
      </c>
      <c r="C512" s="12" t="s">
        <v>103</v>
      </c>
      <c r="D512" s="12" t="s">
        <v>104</v>
      </c>
      <c r="E512" s="12" t="s">
        <v>126</v>
      </c>
      <c r="F512" s="12" t="s">
        <v>39</v>
      </c>
      <c r="G512" s="12" t="s">
        <v>43</v>
      </c>
      <c r="H512" s="12">
        <v>13</v>
      </c>
      <c r="I512" s="13">
        <v>45915.675185185202</v>
      </c>
      <c r="J512" s="12" t="s">
        <v>127</v>
      </c>
      <c r="K512" s="12" t="s">
        <v>132</v>
      </c>
      <c r="L512" s="14">
        <v>0.66600000000000004</v>
      </c>
      <c r="M512" s="14">
        <f t="shared" si="7"/>
        <v>0.66600000000000004</v>
      </c>
      <c r="N512" s="7" t="s">
        <v>635</v>
      </c>
      <c r="O512" s="12"/>
      <c r="P512" s="12" t="s">
        <v>130</v>
      </c>
    </row>
    <row r="513" spans="1:16" ht="15" hidden="1" customHeight="1" x14ac:dyDescent="0.35">
      <c r="A513" s="12">
        <v>9030</v>
      </c>
      <c r="B513" s="12" t="s">
        <v>100</v>
      </c>
      <c r="C513" s="12" t="s">
        <v>103</v>
      </c>
      <c r="D513" s="12" t="s">
        <v>104</v>
      </c>
      <c r="E513" s="12" t="s">
        <v>131</v>
      </c>
      <c r="F513" s="12" t="s">
        <v>39</v>
      </c>
      <c r="G513" s="12" t="s">
        <v>43</v>
      </c>
      <c r="H513" s="12">
        <v>13</v>
      </c>
      <c r="I513" s="13">
        <v>45915.675185185202</v>
      </c>
      <c r="J513" s="12" t="s">
        <v>127</v>
      </c>
      <c r="K513" s="12" t="s">
        <v>132</v>
      </c>
      <c r="L513" s="14">
        <v>0.66600000000000004</v>
      </c>
      <c r="M513" s="14">
        <f t="shared" si="7"/>
        <v>0.66600000000000004</v>
      </c>
      <c r="N513" s="7" t="s">
        <v>636</v>
      </c>
      <c r="O513" s="12"/>
      <c r="P513" s="12"/>
    </row>
    <row r="514" spans="1:16" ht="57" hidden="1" customHeight="1" x14ac:dyDescent="0.35">
      <c r="A514" s="12">
        <v>9061</v>
      </c>
      <c r="B514" s="12" t="s">
        <v>100</v>
      </c>
      <c r="C514" s="12" t="s">
        <v>103</v>
      </c>
      <c r="D514" s="12" t="s">
        <v>104</v>
      </c>
      <c r="E514" s="12" t="s">
        <v>134</v>
      </c>
      <c r="F514" s="12" t="s">
        <v>39</v>
      </c>
      <c r="G514" s="12" t="s">
        <v>43</v>
      </c>
      <c r="H514" s="12">
        <v>13</v>
      </c>
      <c r="I514" s="13">
        <v>45915.675185185202</v>
      </c>
      <c r="J514" s="12" t="s">
        <v>127</v>
      </c>
      <c r="K514" s="12" t="s">
        <v>132</v>
      </c>
      <c r="L514" s="14">
        <v>0.66600000000000004</v>
      </c>
      <c r="M514" s="14">
        <f t="shared" ref="M514:M577" si="8">IF(K514="Sem progresso",0,IF(OR(K514="Não avaliado",K514="Não se aplica",K514=""),"",L514))</f>
        <v>0.66600000000000004</v>
      </c>
      <c r="N514" s="7" t="s">
        <v>637</v>
      </c>
      <c r="O514" s="12"/>
      <c r="P514" s="12" t="s">
        <v>130</v>
      </c>
    </row>
    <row r="515" spans="1:16" ht="180" hidden="1" customHeight="1" x14ac:dyDescent="0.35">
      <c r="A515" s="12">
        <v>9164</v>
      </c>
      <c r="B515" s="12" t="s">
        <v>100</v>
      </c>
      <c r="C515" s="12" t="s">
        <v>105</v>
      </c>
      <c r="D515" s="12" t="s">
        <v>106</v>
      </c>
      <c r="E515" s="12" t="s">
        <v>126</v>
      </c>
      <c r="F515" s="12" t="s">
        <v>39</v>
      </c>
      <c r="G515" s="12" t="s">
        <v>43</v>
      </c>
      <c r="H515" s="12">
        <v>13</v>
      </c>
      <c r="I515" s="13">
        <v>45915.675185185202</v>
      </c>
      <c r="J515" s="12" t="s">
        <v>127</v>
      </c>
      <c r="K515" s="12" t="s">
        <v>132</v>
      </c>
      <c r="L515" s="14">
        <v>0.66600000000000004</v>
      </c>
      <c r="M515" s="14">
        <f t="shared" si="8"/>
        <v>0.66600000000000004</v>
      </c>
      <c r="N515" s="7" t="s">
        <v>638</v>
      </c>
      <c r="O515" s="12"/>
      <c r="P515" s="12" t="s">
        <v>130</v>
      </c>
    </row>
    <row r="516" spans="1:16" ht="57" hidden="1" customHeight="1" x14ac:dyDescent="0.35">
      <c r="A516" s="12">
        <v>9165</v>
      </c>
      <c r="B516" s="12" t="s">
        <v>100</v>
      </c>
      <c r="C516" s="12" t="s">
        <v>105</v>
      </c>
      <c r="D516" s="12" t="s">
        <v>106</v>
      </c>
      <c r="E516" s="12" t="s">
        <v>131</v>
      </c>
      <c r="F516" s="12" t="s">
        <v>39</v>
      </c>
      <c r="G516" s="12" t="s">
        <v>43</v>
      </c>
      <c r="H516" s="12">
        <v>13</v>
      </c>
      <c r="I516" s="13">
        <v>45915.675185185202</v>
      </c>
      <c r="J516" s="12" t="s">
        <v>127</v>
      </c>
      <c r="K516" s="12" t="s">
        <v>142</v>
      </c>
      <c r="L516" s="14">
        <v>0.33300000000000002</v>
      </c>
      <c r="M516" s="14">
        <f t="shared" si="8"/>
        <v>0.33300000000000002</v>
      </c>
      <c r="N516" s="7" t="s">
        <v>639</v>
      </c>
      <c r="O516" s="12"/>
      <c r="P516" s="12" t="s">
        <v>130</v>
      </c>
    </row>
    <row r="517" spans="1:16" ht="68.25" hidden="1" customHeight="1" x14ac:dyDescent="0.35">
      <c r="A517" s="12">
        <v>9144</v>
      </c>
      <c r="B517" s="12" t="s">
        <v>100</v>
      </c>
      <c r="C517" s="12" t="s">
        <v>107</v>
      </c>
      <c r="D517" s="12" t="s">
        <v>108</v>
      </c>
      <c r="E517" s="12" t="s">
        <v>126</v>
      </c>
      <c r="F517" s="12" t="s">
        <v>39</v>
      </c>
      <c r="G517" s="12" t="s">
        <v>43</v>
      </c>
      <c r="H517" s="12">
        <v>13</v>
      </c>
      <c r="I517" s="13">
        <v>45915.675185185202</v>
      </c>
      <c r="J517" s="12" t="s">
        <v>127</v>
      </c>
      <c r="K517" s="12" t="s">
        <v>132</v>
      </c>
      <c r="L517" s="14">
        <v>0.66600000000000004</v>
      </c>
      <c r="M517" s="14">
        <f t="shared" si="8"/>
        <v>0.66600000000000004</v>
      </c>
      <c r="N517" s="7" t="s">
        <v>640</v>
      </c>
      <c r="O517" s="12"/>
      <c r="P517" s="12" t="s">
        <v>130</v>
      </c>
    </row>
    <row r="518" spans="1:16" ht="180" hidden="1" customHeight="1" x14ac:dyDescent="0.35">
      <c r="A518" s="12">
        <v>9166</v>
      </c>
      <c r="B518" s="12" t="s">
        <v>100</v>
      </c>
      <c r="C518" s="12" t="s">
        <v>107</v>
      </c>
      <c r="D518" s="12" t="s">
        <v>108</v>
      </c>
      <c r="E518" s="12" t="s">
        <v>131</v>
      </c>
      <c r="F518" s="12" t="s">
        <v>39</v>
      </c>
      <c r="G518" s="12" t="s">
        <v>43</v>
      </c>
      <c r="H518" s="12">
        <v>13</v>
      </c>
      <c r="I518" s="13">
        <v>45915.675185185202</v>
      </c>
      <c r="J518" s="12" t="s">
        <v>127</v>
      </c>
      <c r="K518" s="12" t="s">
        <v>135</v>
      </c>
      <c r="L518" s="14"/>
      <c r="M518" s="14">
        <f t="shared" si="8"/>
        <v>0</v>
      </c>
      <c r="N518" s="7" t="s">
        <v>641</v>
      </c>
      <c r="O518" s="12"/>
      <c r="P518" s="12" t="s">
        <v>130</v>
      </c>
    </row>
    <row r="519" spans="1:16" ht="147" hidden="1" customHeight="1" x14ac:dyDescent="0.35">
      <c r="A519" s="12">
        <v>9167</v>
      </c>
      <c r="B519" s="12" t="s">
        <v>100</v>
      </c>
      <c r="C519" s="12" t="s">
        <v>107</v>
      </c>
      <c r="D519" s="12" t="s">
        <v>108</v>
      </c>
      <c r="E519" s="12" t="s">
        <v>134</v>
      </c>
      <c r="F519" s="12" t="s">
        <v>39</v>
      </c>
      <c r="G519" s="12" t="s">
        <v>43</v>
      </c>
      <c r="H519" s="12">
        <v>13</v>
      </c>
      <c r="I519" s="13">
        <v>45915.675185185202</v>
      </c>
      <c r="J519" s="12" t="s">
        <v>127</v>
      </c>
      <c r="K519" s="12" t="s">
        <v>135</v>
      </c>
      <c r="L519" s="14"/>
      <c r="M519" s="14">
        <f t="shared" si="8"/>
        <v>0</v>
      </c>
      <c r="N519" s="7" t="s">
        <v>642</v>
      </c>
      <c r="O519" s="12"/>
      <c r="P519" s="12" t="s">
        <v>130</v>
      </c>
    </row>
    <row r="520" spans="1:16" ht="180" hidden="1" customHeight="1" x14ac:dyDescent="0.35">
      <c r="A520" s="12">
        <v>9168</v>
      </c>
      <c r="B520" s="12" t="s">
        <v>100</v>
      </c>
      <c r="C520" s="12" t="s">
        <v>109</v>
      </c>
      <c r="D520" s="12" t="s">
        <v>110</v>
      </c>
      <c r="E520" s="12" t="s">
        <v>126</v>
      </c>
      <c r="F520" s="12" t="s">
        <v>39</v>
      </c>
      <c r="G520" s="12" t="s">
        <v>43</v>
      </c>
      <c r="H520" s="12">
        <v>13</v>
      </c>
      <c r="I520" s="13">
        <v>45915.675185185202</v>
      </c>
      <c r="J520" s="12" t="s">
        <v>127</v>
      </c>
      <c r="K520" s="12" t="s">
        <v>142</v>
      </c>
      <c r="L520" s="14">
        <v>0.33300000000000002</v>
      </c>
      <c r="M520" s="14">
        <f t="shared" si="8"/>
        <v>0.33300000000000002</v>
      </c>
      <c r="N520" s="7" t="s">
        <v>643</v>
      </c>
      <c r="O520" s="12"/>
      <c r="P520" s="12" t="s">
        <v>130</v>
      </c>
    </row>
    <row r="521" spans="1:16" ht="23.25" hidden="1" customHeight="1" x14ac:dyDescent="0.35">
      <c r="A521" s="12">
        <v>9145</v>
      </c>
      <c r="B521" s="12" t="s">
        <v>100</v>
      </c>
      <c r="C521" s="12" t="s">
        <v>109</v>
      </c>
      <c r="D521" s="12" t="s">
        <v>110</v>
      </c>
      <c r="E521" s="12" t="s">
        <v>131</v>
      </c>
      <c r="F521" s="12" t="s">
        <v>39</v>
      </c>
      <c r="G521" s="12" t="s">
        <v>43</v>
      </c>
      <c r="H521" s="12">
        <v>13</v>
      </c>
      <c r="I521" s="13">
        <v>45915.675185185202</v>
      </c>
      <c r="J521" s="12" t="s">
        <v>127</v>
      </c>
      <c r="K521" s="12" t="s">
        <v>128</v>
      </c>
      <c r="L521" s="14">
        <v>1</v>
      </c>
      <c r="M521" s="14">
        <f t="shared" si="8"/>
        <v>1</v>
      </c>
      <c r="N521" s="7" t="s">
        <v>644</v>
      </c>
      <c r="O521" s="12"/>
      <c r="P521" s="12" t="s">
        <v>130</v>
      </c>
    </row>
    <row r="522" spans="1:16" ht="147" hidden="1" customHeight="1" x14ac:dyDescent="0.35">
      <c r="A522" s="12">
        <v>9146</v>
      </c>
      <c r="B522" s="12" t="s">
        <v>100</v>
      </c>
      <c r="C522" s="12" t="s">
        <v>111</v>
      </c>
      <c r="D522" s="12" t="s">
        <v>112</v>
      </c>
      <c r="E522" s="12" t="s">
        <v>126</v>
      </c>
      <c r="F522" s="12" t="s">
        <v>39</v>
      </c>
      <c r="G522" s="12" t="s">
        <v>43</v>
      </c>
      <c r="H522" s="12">
        <v>13</v>
      </c>
      <c r="I522" s="13">
        <v>45915.675185185202</v>
      </c>
      <c r="J522" s="12" t="s">
        <v>127</v>
      </c>
      <c r="K522" s="12" t="s">
        <v>132</v>
      </c>
      <c r="L522" s="14">
        <v>0.66600000000000004</v>
      </c>
      <c r="M522" s="14">
        <f t="shared" si="8"/>
        <v>0.66600000000000004</v>
      </c>
      <c r="N522" s="7" t="s">
        <v>645</v>
      </c>
      <c r="O522" s="12"/>
      <c r="P522" s="12" t="s">
        <v>130</v>
      </c>
    </row>
    <row r="523" spans="1:16" ht="124.5" hidden="1" customHeight="1" x14ac:dyDescent="0.35">
      <c r="A523" s="12">
        <v>9169</v>
      </c>
      <c r="B523" s="12" t="s">
        <v>100</v>
      </c>
      <c r="C523" s="12" t="s">
        <v>111</v>
      </c>
      <c r="D523" s="12" t="s">
        <v>112</v>
      </c>
      <c r="E523" s="12" t="s">
        <v>131</v>
      </c>
      <c r="F523" s="12" t="s">
        <v>39</v>
      </c>
      <c r="G523" s="12" t="s">
        <v>43</v>
      </c>
      <c r="H523" s="12">
        <v>13</v>
      </c>
      <c r="I523" s="13">
        <v>45915.675185185202</v>
      </c>
      <c r="J523" s="12" t="s">
        <v>127</v>
      </c>
      <c r="K523" s="12" t="s">
        <v>142</v>
      </c>
      <c r="L523" s="14">
        <v>0.33300000000000002</v>
      </c>
      <c r="M523" s="14">
        <f t="shared" si="8"/>
        <v>0.33300000000000002</v>
      </c>
      <c r="N523" s="7" t="s">
        <v>646</v>
      </c>
      <c r="O523" s="12"/>
      <c r="P523" s="12" t="s">
        <v>130</v>
      </c>
    </row>
    <row r="524" spans="1:16" ht="68.25" hidden="1" customHeight="1" x14ac:dyDescent="0.35">
      <c r="A524" s="12">
        <v>9170</v>
      </c>
      <c r="B524" s="12" t="s">
        <v>100</v>
      </c>
      <c r="C524" s="12" t="s">
        <v>111</v>
      </c>
      <c r="D524" s="12" t="s">
        <v>112</v>
      </c>
      <c r="E524" s="12" t="s">
        <v>134</v>
      </c>
      <c r="F524" s="12" t="s">
        <v>39</v>
      </c>
      <c r="G524" s="12" t="s">
        <v>43</v>
      </c>
      <c r="H524" s="12">
        <v>13</v>
      </c>
      <c r="I524" s="13">
        <v>45915.675185185202</v>
      </c>
      <c r="J524" s="12" t="s">
        <v>127</v>
      </c>
      <c r="K524" s="12" t="s">
        <v>142</v>
      </c>
      <c r="L524" s="14">
        <v>0.33300000000000002</v>
      </c>
      <c r="M524" s="14">
        <f t="shared" si="8"/>
        <v>0.33300000000000002</v>
      </c>
      <c r="N524" s="7" t="s">
        <v>647</v>
      </c>
      <c r="O524" s="12"/>
      <c r="P524" s="12" t="s">
        <v>130</v>
      </c>
    </row>
    <row r="525" spans="1:16" ht="15" hidden="1" customHeight="1" x14ac:dyDescent="0.35">
      <c r="A525" s="12">
        <v>9147</v>
      </c>
      <c r="B525" s="12" t="s">
        <v>100</v>
      </c>
      <c r="C525" s="12" t="s">
        <v>113</v>
      </c>
      <c r="D525" s="12" t="s">
        <v>114</v>
      </c>
      <c r="E525" s="12" t="s">
        <v>126</v>
      </c>
      <c r="F525" s="12" t="s">
        <v>39</v>
      </c>
      <c r="G525" s="12" t="s">
        <v>43</v>
      </c>
      <c r="H525" s="12">
        <v>13</v>
      </c>
      <c r="I525" s="13">
        <v>45915.675185185202</v>
      </c>
      <c r="J525" s="12" t="s">
        <v>127</v>
      </c>
      <c r="K525" s="12" t="s">
        <v>135</v>
      </c>
      <c r="L525" s="14"/>
      <c r="M525" s="14">
        <f t="shared" si="8"/>
        <v>0</v>
      </c>
      <c r="N525" s="7" t="s">
        <v>648</v>
      </c>
      <c r="O525" s="12"/>
      <c r="P525" s="12" t="s">
        <v>130</v>
      </c>
    </row>
    <row r="526" spans="1:16" ht="23.25" hidden="1" customHeight="1" x14ac:dyDescent="0.35">
      <c r="A526" s="12">
        <v>9148</v>
      </c>
      <c r="B526" s="12" t="s">
        <v>100</v>
      </c>
      <c r="C526" s="12" t="s">
        <v>113</v>
      </c>
      <c r="D526" s="12" t="s">
        <v>114</v>
      </c>
      <c r="E526" s="12" t="s">
        <v>131</v>
      </c>
      <c r="F526" s="12" t="s">
        <v>39</v>
      </c>
      <c r="G526" s="12" t="s">
        <v>43</v>
      </c>
      <c r="H526" s="12">
        <v>13</v>
      </c>
      <c r="I526" s="13">
        <v>45915.675185185202</v>
      </c>
      <c r="J526" s="12" t="s">
        <v>127</v>
      </c>
      <c r="K526" s="12" t="s">
        <v>132</v>
      </c>
      <c r="L526" s="14">
        <v>0.66600000000000004</v>
      </c>
      <c r="M526" s="14">
        <f t="shared" si="8"/>
        <v>0.66600000000000004</v>
      </c>
      <c r="N526" s="7" t="s">
        <v>649</v>
      </c>
      <c r="O526" s="12"/>
      <c r="P526" s="12" t="s">
        <v>130</v>
      </c>
    </row>
    <row r="527" spans="1:16" ht="45.75" hidden="1" customHeight="1" x14ac:dyDescent="0.35">
      <c r="A527" s="12">
        <v>9149</v>
      </c>
      <c r="B527" s="12" t="s">
        <v>100</v>
      </c>
      <c r="C527" s="12" t="s">
        <v>113</v>
      </c>
      <c r="D527" s="12" t="s">
        <v>114</v>
      </c>
      <c r="E527" s="12" t="s">
        <v>134</v>
      </c>
      <c r="F527" s="12" t="s">
        <v>39</v>
      </c>
      <c r="G527" s="12" t="s">
        <v>43</v>
      </c>
      <c r="H527" s="12">
        <v>13</v>
      </c>
      <c r="I527" s="13">
        <v>45915.675185185202</v>
      </c>
      <c r="J527" s="12" t="s">
        <v>127</v>
      </c>
      <c r="K527" s="12" t="s">
        <v>135</v>
      </c>
      <c r="L527" s="14"/>
      <c r="M527" s="14">
        <f t="shared" si="8"/>
        <v>0</v>
      </c>
      <c r="N527" s="7" t="s">
        <v>650</v>
      </c>
      <c r="O527" s="12"/>
      <c r="P527" s="12" t="s">
        <v>130</v>
      </c>
    </row>
    <row r="528" spans="1:16" ht="34.5" hidden="1" customHeight="1" x14ac:dyDescent="0.35">
      <c r="A528" s="12">
        <v>1349</v>
      </c>
      <c r="B528" s="12" t="s">
        <v>100</v>
      </c>
      <c r="C528" s="12" t="s">
        <v>101</v>
      </c>
      <c r="D528" s="12" t="s">
        <v>102</v>
      </c>
      <c r="E528" s="12" t="s">
        <v>126</v>
      </c>
      <c r="F528" s="12" t="s">
        <v>39</v>
      </c>
      <c r="G528" s="12" t="s">
        <v>44</v>
      </c>
      <c r="H528" s="12">
        <v>29</v>
      </c>
      <c r="I528" s="13">
        <v>45901.866886574098</v>
      </c>
      <c r="J528" s="12" t="s">
        <v>127</v>
      </c>
      <c r="K528" s="12" t="s">
        <v>128</v>
      </c>
      <c r="L528" s="14">
        <v>1</v>
      </c>
      <c r="M528" s="14">
        <f t="shared" si="8"/>
        <v>1</v>
      </c>
      <c r="N528" s="7" t="s">
        <v>651</v>
      </c>
      <c r="O528" s="12"/>
      <c r="P528" s="12" t="s">
        <v>130</v>
      </c>
    </row>
    <row r="529" spans="1:16" ht="68.25" hidden="1" customHeight="1" x14ac:dyDescent="0.35">
      <c r="A529" s="12">
        <v>3161</v>
      </c>
      <c r="B529" s="12" t="s">
        <v>100</v>
      </c>
      <c r="C529" s="12" t="s">
        <v>101</v>
      </c>
      <c r="D529" s="12" t="s">
        <v>102</v>
      </c>
      <c r="E529" s="12" t="s">
        <v>131</v>
      </c>
      <c r="F529" s="12" t="s">
        <v>39</v>
      </c>
      <c r="G529" s="12" t="s">
        <v>44</v>
      </c>
      <c r="H529" s="12">
        <v>29</v>
      </c>
      <c r="I529" s="13">
        <v>45901.866886574098</v>
      </c>
      <c r="J529" s="12" t="s">
        <v>127</v>
      </c>
      <c r="K529" s="12" t="s">
        <v>142</v>
      </c>
      <c r="L529" s="14">
        <v>0.33300000000000002</v>
      </c>
      <c r="M529" s="14">
        <f t="shared" si="8"/>
        <v>0.33300000000000002</v>
      </c>
      <c r="N529" s="7" t="s">
        <v>652</v>
      </c>
      <c r="O529" s="12"/>
      <c r="P529" s="12"/>
    </row>
    <row r="530" spans="1:16" ht="202.5" hidden="1" customHeight="1" x14ac:dyDescent="0.35">
      <c r="A530" s="12">
        <v>3201</v>
      </c>
      <c r="B530" s="12" t="s">
        <v>100</v>
      </c>
      <c r="C530" s="12" t="s">
        <v>101</v>
      </c>
      <c r="D530" s="12" t="s">
        <v>102</v>
      </c>
      <c r="E530" s="12" t="s">
        <v>134</v>
      </c>
      <c r="F530" s="12" t="s">
        <v>39</v>
      </c>
      <c r="G530" s="12" t="s">
        <v>44</v>
      </c>
      <c r="H530" s="12">
        <v>29</v>
      </c>
      <c r="I530" s="13">
        <v>45901.866886574098</v>
      </c>
      <c r="J530" s="12" t="s">
        <v>127</v>
      </c>
      <c r="K530" s="12" t="s">
        <v>142</v>
      </c>
      <c r="L530" s="14">
        <v>0.33300000000000002</v>
      </c>
      <c r="M530" s="14">
        <f t="shared" si="8"/>
        <v>0.33300000000000002</v>
      </c>
      <c r="N530" s="7" t="s">
        <v>653</v>
      </c>
      <c r="O530" s="12"/>
      <c r="P530" s="12"/>
    </row>
    <row r="531" spans="1:16" ht="45.75" hidden="1" customHeight="1" x14ac:dyDescent="0.35">
      <c r="A531" s="12">
        <v>6242</v>
      </c>
      <c r="B531" s="12" t="s">
        <v>100</v>
      </c>
      <c r="C531" s="12" t="s">
        <v>103</v>
      </c>
      <c r="D531" s="12" t="s">
        <v>104</v>
      </c>
      <c r="E531" s="12" t="s">
        <v>126</v>
      </c>
      <c r="F531" s="12" t="s">
        <v>39</v>
      </c>
      <c r="G531" s="12" t="s">
        <v>44</v>
      </c>
      <c r="H531" s="12">
        <v>29</v>
      </c>
      <c r="I531" s="13">
        <v>45901.866886574098</v>
      </c>
      <c r="J531" s="12" t="s">
        <v>127</v>
      </c>
      <c r="K531" s="12" t="s">
        <v>128</v>
      </c>
      <c r="L531" s="14">
        <v>1</v>
      </c>
      <c r="M531" s="14">
        <f t="shared" si="8"/>
        <v>1</v>
      </c>
      <c r="N531" s="7" t="s">
        <v>654</v>
      </c>
      <c r="O531" s="12"/>
      <c r="P531" s="12"/>
    </row>
    <row r="532" spans="1:16" ht="213.75" hidden="1" customHeight="1" x14ac:dyDescent="0.35">
      <c r="A532" s="12">
        <v>6301</v>
      </c>
      <c r="B532" s="12" t="s">
        <v>100</v>
      </c>
      <c r="C532" s="12" t="s">
        <v>103</v>
      </c>
      <c r="D532" s="12" t="s">
        <v>104</v>
      </c>
      <c r="E532" s="12" t="s">
        <v>131</v>
      </c>
      <c r="F532" s="12" t="s">
        <v>39</v>
      </c>
      <c r="G532" s="12" t="s">
        <v>44</v>
      </c>
      <c r="H532" s="12">
        <v>29</v>
      </c>
      <c r="I532" s="13">
        <v>45901.866886574098</v>
      </c>
      <c r="J532" s="12" t="s">
        <v>127</v>
      </c>
      <c r="K532" s="12" t="s">
        <v>128</v>
      </c>
      <c r="L532" s="14">
        <v>1</v>
      </c>
      <c r="M532" s="14">
        <f t="shared" si="8"/>
        <v>1</v>
      </c>
      <c r="N532" s="7" t="s">
        <v>655</v>
      </c>
      <c r="O532" s="12"/>
      <c r="P532" s="12" t="s">
        <v>130</v>
      </c>
    </row>
    <row r="533" spans="1:16" ht="180" hidden="1" customHeight="1" x14ac:dyDescent="0.35">
      <c r="A533" s="12">
        <v>4045</v>
      </c>
      <c r="B533" s="12" t="s">
        <v>100</v>
      </c>
      <c r="C533" s="12" t="s">
        <v>103</v>
      </c>
      <c r="D533" s="12" t="s">
        <v>104</v>
      </c>
      <c r="E533" s="12" t="s">
        <v>134</v>
      </c>
      <c r="F533" s="12" t="s">
        <v>39</v>
      </c>
      <c r="G533" s="12" t="s">
        <v>44</v>
      </c>
      <c r="H533" s="12">
        <v>29</v>
      </c>
      <c r="I533" s="13">
        <v>45901.866886574098</v>
      </c>
      <c r="J533" s="12" t="s">
        <v>127</v>
      </c>
      <c r="K533" s="12" t="s">
        <v>128</v>
      </c>
      <c r="L533" s="14">
        <v>1</v>
      </c>
      <c r="M533" s="14">
        <f t="shared" si="8"/>
        <v>1</v>
      </c>
      <c r="N533" s="7" t="s">
        <v>656</v>
      </c>
      <c r="O533" s="12"/>
      <c r="P533" s="12" t="s">
        <v>130</v>
      </c>
    </row>
    <row r="534" spans="1:16" ht="113.25" hidden="1" customHeight="1" x14ac:dyDescent="0.35">
      <c r="A534" s="12">
        <v>3221</v>
      </c>
      <c r="B534" s="12" t="s">
        <v>100</v>
      </c>
      <c r="C534" s="12" t="s">
        <v>105</v>
      </c>
      <c r="D534" s="12" t="s">
        <v>106</v>
      </c>
      <c r="E534" s="12" t="s">
        <v>126</v>
      </c>
      <c r="F534" s="12" t="s">
        <v>39</v>
      </c>
      <c r="G534" s="12" t="s">
        <v>44</v>
      </c>
      <c r="H534" s="12">
        <v>29</v>
      </c>
      <c r="I534" s="13">
        <v>45901.866886574098</v>
      </c>
      <c r="J534" s="12" t="s">
        <v>127</v>
      </c>
      <c r="K534" s="12" t="s">
        <v>142</v>
      </c>
      <c r="L534" s="14">
        <v>0.33300000000000002</v>
      </c>
      <c r="M534" s="14">
        <f t="shared" si="8"/>
        <v>0.33300000000000002</v>
      </c>
      <c r="N534" s="7" t="s">
        <v>657</v>
      </c>
      <c r="O534" s="12"/>
      <c r="P534" s="12"/>
    </row>
    <row r="535" spans="1:16" ht="68.25" hidden="1" customHeight="1" x14ac:dyDescent="0.35">
      <c r="A535" s="12">
        <v>4523</v>
      </c>
      <c r="B535" s="12" t="s">
        <v>100</v>
      </c>
      <c r="C535" s="12" t="s">
        <v>105</v>
      </c>
      <c r="D535" s="12" t="s">
        <v>106</v>
      </c>
      <c r="E535" s="12" t="s">
        <v>131</v>
      </c>
      <c r="F535" s="12" t="s">
        <v>39</v>
      </c>
      <c r="G535" s="12" t="s">
        <v>44</v>
      </c>
      <c r="H535" s="12">
        <v>29</v>
      </c>
      <c r="I535" s="13">
        <v>45901.866886574098</v>
      </c>
      <c r="J535" s="12" t="s">
        <v>127</v>
      </c>
      <c r="K535" s="12" t="s">
        <v>142</v>
      </c>
      <c r="L535" s="14">
        <v>0.33300000000000002</v>
      </c>
      <c r="M535" s="14">
        <f t="shared" si="8"/>
        <v>0.33300000000000002</v>
      </c>
      <c r="N535" s="7" t="s">
        <v>658</v>
      </c>
      <c r="O535" s="12"/>
      <c r="P535" s="12"/>
    </row>
    <row r="536" spans="1:16" ht="68.25" hidden="1" customHeight="1" x14ac:dyDescent="0.35">
      <c r="A536" s="12">
        <v>6349</v>
      </c>
      <c r="B536" s="12" t="s">
        <v>100</v>
      </c>
      <c r="C536" s="12" t="s">
        <v>107</v>
      </c>
      <c r="D536" s="12" t="s">
        <v>108</v>
      </c>
      <c r="E536" s="12" t="s">
        <v>126</v>
      </c>
      <c r="F536" s="12" t="s">
        <v>39</v>
      </c>
      <c r="G536" s="12" t="s">
        <v>44</v>
      </c>
      <c r="H536" s="12">
        <v>29</v>
      </c>
      <c r="I536" s="13">
        <v>45901.866886574098</v>
      </c>
      <c r="J536" s="12" t="s">
        <v>127</v>
      </c>
      <c r="K536" s="12" t="s">
        <v>132</v>
      </c>
      <c r="L536" s="14">
        <v>0.66600000000000004</v>
      </c>
      <c r="M536" s="14">
        <f t="shared" si="8"/>
        <v>0.66600000000000004</v>
      </c>
      <c r="N536" s="7" t="s">
        <v>659</v>
      </c>
      <c r="O536" s="12"/>
      <c r="P536" s="12"/>
    </row>
    <row r="537" spans="1:16" ht="157.5" hidden="1" customHeight="1" x14ac:dyDescent="0.35">
      <c r="A537" s="12">
        <v>6369</v>
      </c>
      <c r="B537" s="12" t="s">
        <v>100</v>
      </c>
      <c r="C537" s="12" t="s">
        <v>107</v>
      </c>
      <c r="D537" s="12" t="s">
        <v>108</v>
      </c>
      <c r="E537" s="12" t="s">
        <v>131</v>
      </c>
      <c r="F537" s="12" t="s">
        <v>39</v>
      </c>
      <c r="G537" s="12" t="s">
        <v>44</v>
      </c>
      <c r="H537" s="12">
        <v>29</v>
      </c>
      <c r="I537" s="13">
        <v>45901.866886574098</v>
      </c>
      <c r="J537" s="12" t="s">
        <v>127</v>
      </c>
      <c r="K537" s="12" t="s">
        <v>128</v>
      </c>
      <c r="L537" s="14">
        <v>1</v>
      </c>
      <c r="M537" s="14">
        <f t="shared" si="8"/>
        <v>1</v>
      </c>
      <c r="N537" s="7" t="s">
        <v>660</v>
      </c>
      <c r="O537" s="12"/>
      <c r="P537" s="12" t="s">
        <v>130</v>
      </c>
    </row>
    <row r="538" spans="1:16" ht="157.5" hidden="1" customHeight="1" x14ac:dyDescent="0.35">
      <c r="A538" s="12">
        <v>6381</v>
      </c>
      <c r="B538" s="12" t="s">
        <v>100</v>
      </c>
      <c r="C538" s="12" t="s">
        <v>107</v>
      </c>
      <c r="D538" s="12" t="s">
        <v>108</v>
      </c>
      <c r="E538" s="12" t="s">
        <v>134</v>
      </c>
      <c r="F538" s="12" t="s">
        <v>39</v>
      </c>
      <c r="G538" s="12" t="s">
        <v>44</v>
      </c>
      <c r="H538" s="12">
        <v>29</v>
      </c>
      <c r="I538" s="13">
        <v>45901.866886574098</v>
      </c>
      <c r="J538" s="12" t="s">
        <v>127</v>
      </c>
      <c r="K538" s="12" t="s">
        <v>128</v>
      </c>
      <c r="L538" s="14">
        <v>1</v>
      </c>
      <c r="M538" s="14">
        <f t="shared" si="8"/>
        <v>1</v>
      </c>
      <c r="N538" s="7" t="s">
        <v>661</v>
      </c>
      <c r="O538" s="12"/>
      <c r="P538" s="12" t="s">
        <v>130</v>
      </c>
    </row>
    <row r="539" spans="1:16" ht="34.5" hidden="1" customHeight="1" x14ac:dyDescent="0.35">
      <c r="A539" s="12">
        <v>4505</v>
      </c>
      <c r="B539" s="12" t="s">
        <v>100</v>
      </c>
      <c r="C539" s="12" t="s">
        <v>109</v>
      </c>
      <c r="D539" s="12" t="s">
        <v>110</v>
      </c>
      <c r="E539" s="12" t="s">
        <v>126</v>
      </c>
      <c r="F539" s="12" t="s">
        <v>39</v>
      </c>
      <c r="G539" s="12" t="s">
        <v>44</v>
      </c>
      <c r="H539" s="12">
        <v>29</v>
      </c>
      <c r="I539" s="13">
        <v>45901.866886574098</v>
      </c>
      <c r="J539" s="12" t="s">
        <v>127</v>
      </c>
      <c r="K539" s="12" t="s">
        <v>132</v>
      </c>
      <c r="L539" s="14">
        <v>0.66600000000000004</v>
      </c>
      <c r="M539" s="14">
        <f t="shared" si="8"/>
        <v>0.66600000000000004</v>
      </c>
      <c r="N539" s="7" t="s">
        <v>662</v>
      </c>
      <c r="O539" s="12"/>
      <c r="P539" s="12"/>
    </row>
    <row r="540" spans="1:16" ht="102" hidden="1" customHeight="1" x14ac:dyDescent="0.35">
      <c r="A540" s="12">
        <v>4506</v>
      </c>
      <c r="B540" s="12" t="s">
        <v>100</v>
      </c>
      <c r="C540" s="12" t="s">
        <v>109</v>
      </c>
      <c r="D540" s="12" t="s">
        <v>110</v>
      </c>
      <c r="E540" s="12" t="s">
        <v>131</v>
      </c>
      <c r="F540" s="12" t="s">
        <v>39</v>
      </c>
      <c r="G540" s="12" t="s">
        <v>44</v>
      </c>
      <c r="H540" s="12">
        <v>29</v>
      </c>
      <c r="I540" s="13">
        <v>45901.866886574098</v>
      </c>
      <c r="J540" s="12" t="s">
        <v>127</v>
      </c>
      <c r="K540" s="12" t="s">
        <v>128</v>
      </c>
      <c r="L540" s="14">
        <v>1</v>
      </c>
      <c r="M540" s="14">
        <f t="shared" si="8"/>
        <v>1</v>
      </c>
      <c r="N540" s="7" t="s">
        <v>663</v>
      </c>
      <c r="O540" s="12"/>
      <c r="P540" s="12" t="s">
        <v>130</v>
      </c>
    </row>
    <row r="541" spans="1:16" ht="45.75" hidden="1" customHeight="1" x14ac:dyDescent="0.35">
      <c r="A541" s="12">
        <v>4524</v>
      </c>
      <c r="B541" s="12" t="s">
        <v>100</v>
      </c>
      <c r="C541" s="12" t="s">
        <v>111</v>
      </c>
      <c r="D541" s="12" t="s">
        <v>112</v>
      </c>
      <c r="E541" s="12" t="s">
        <v>126</v>
      </c>
      <c r="F541" s="12" t="s">
        <v>39</v>
      </c>
      <c r="G541" s="12" t="s">
        <v>44</v>
      </c>
      <c r="H541" s="12">
        <v>29</v>
      </c>
      <c r="I541" s="13">
        <v>45901.866886574098</v>
      </c>
      <c r="J541" s="12" t="s">
        <v>127</v>
      </c>
      <c r="K541" s="12" t="s">
        <v>135</v>
      </c>
      <c r="L541" s="14"/>
      <c r="M541" s="14">
        <f t="shared" si="8"/>
        <v>0</v>
      </c>
      <c r="N541" s="7" t="s">
        <v>664</v>
      </c>
      <c r="O541" s="12"/>
      <c r="P541" s="12" t="s">
        <v>130</v>
      </c>
    </row>
    <row r="542" spans="1:16" ht="68.25" hidden="1" customHeight="1" x14ac:dyDescent="0.35">
      <c r="A542" s="12">
        <v>4508</v>
      </c>
      <c r="B542" s="12" t="s">
        <v>100</v>
      </c>
      <c r="C542" s="12" t="s">
        <v>111</v>
      </c>
      <c r="D542" s="12" t="s">
        <v>112</v>
      </c>
      <c r="E542" s="12" t="s">
        <v>131</v>
      </c>
      <c r="F542" s="12" t="s">
        <v>39</v>
      </c>
      <c r="G542" s="12" t="s">
        <v>44</v>
      </c>
      <c r="H542" s="12">
        <v>29</v>
      </c>
      <c r="I542" s="13">
        <v>45901.866886574098</v>
      </c>
      <c r="J542" s="12" t="s">
        <v>127</v>
      </c>
      <c r="K542" s="12" t="s">
        <v>132</v>
      </c>
      <c r="L542" s="14">
        <v>0.66600000000000004</v>
      </c>
      <c r="M542" s="14">
        <f t="shared" si="8"/>
        <v>0.66600000000000004</v>
      </c>
      <c r="N542" s="7" t="s">
        <v>665</v>
      </c>
      <c r="O542" s="12"/>
      <c r="P542" s="12" t="s">
        <v>130</v>
      </c>
    </row>
    <row r="543" spans="1:16" ht="45.75" hidden="1" customHeight="1" x14ac:dyDescent="0.35">
      <c r="A543" s="12">
        <v>4526</v>
      </c>
      <c r="B543" s="12" t="s">
        <v>100</v>
      </c>
      <c r="C543" s="12" t="s">
        <v>111</v>
      </c>
      <c r="D543" s="12" t="s">
        <v>112</v>
      </c>
      <c r="E543" s="12" t="s">
        <v>134</v>
      </c>
      <c r="F543" s="12" t="s">
        <v>39</v>
      </c>
      <c r="G543" s="12" t="s">
        <v>44</v>
      </c>
      <c r="H543" s="12">
        <v>29</v>
      </c>
      <c r="I543" s="13">
        <v>45901.866886574098</v>
      </c>
      <c r="J543" s="12" t="s">
        <v>127</v>
      </c>
      <c r="K543" s="12" t="s">
        <v>135</v>
      </c>
      <c r="L543" s="14"/>
      <c r="M543" s="14">
        <f t="shared" si="8"/>
        <v>0</v>
      </c>
      <c r="N543" s="7" t="s">
        <v>666</v>
      </c>
      <c r="O543" s="12"/>
      <c r="P543" s="12" t="s">
        <v>130</v>
      </c>
    </row>
    <row r="544" spans="1:16" ht="202.5" hidden="1" customHeight="1" x14ac:dyDescent="0.35">
      <c r="A544" s="12">
        <v>4980</v>
      </c>
      <c r="B544" s="12" t="s">
        <v>100</v>
      </c>
      <c r="C544" s="12" t="s">
        <v>113</v>
      </c>
      <c r="D544" s="12" t="s">
        <v>114</v>
      </c>
      <c r="E544" s="12" t="s">
        <v>126</v>
      </c>
      <c r="F544" s="12" t="s">
        <v>39</v>
      </c>
      <c r="G544" s="12" t="s">
        <v>44</v>
      </c>
      <c r="H544" s="12">
        <v>29</v>
      </c>
      <c r="I544" s="13">
        <v>45901.866886574098</v>
      </c>
      <c r="J544" s="12" t="s">
        <v>127</v>
      </c>
      <c r="K544" s="12" t="s">
        <v>142</v>
      </c>
      <c r="L544" s="14">
        <v>0.33300000000000002</v>
      </c>
      <c r="M544" s="14">
        <f t="shared" si="8"/>
        <v>0.33300000000000002</v>
      </c>
      <c r="N544" s="7" t="s">
        <v>667</v>
      </c>
      <c r="O544" s="12"/>
      <c r="P544" s="12" t="s">
        <v>130</v>
      </c>
    </row>
    <row r="545" spans="1:16" ht="225" hidden="1" customHeight="1" x14ac:dyDescent="0.35">
      <c r="A545" s="12">
        <v>3741</v>
      </c>
      <c r="B545" s="12" t="s">
        <v>100</v>
      </c>
      <c r="C545" s="12" t="s">
        <v>113</v>
      </c>
      <c r="D545" s="12" t="s">
        <v>114</v>
      </c>
      <c r="E545" s="12" t="s">
        <v>131</v>
      </c>
      <c r="F545" s="12" t="s">
        <v>39</v>
      </c>
      <c r="G545" s="12" t="s">
        <v>44</v>
      </c>
      <c r="H545" s="12">
        <v>29</v>
      </c>
      <c r="I545" s="13">
        <v>45901.866886574098</v>
      </c>
      <c r="J545" s="12" t="s">
        <v>127</v>
      </c>
      <c r="K545" s="12" t="s">
        <v>132</v>
      </c>
      <c r="L545" s="14">
        <v>0.66600000000000004</v>
      </c>
      <c r="M545" s="14">
        <f t="shared" si="8"/>
        <v>0.66600000000000004</v>
      </c>
      <c r="N545" s="7" t="s">
        <v>668</v>
      </c>
      <c r="O545" s="12"/>
      <c r="P545" s="12" t="s">
        <v>130</v>
      </c>
    </row>
    <row r="546" spans="1:16" ht="157.5" hidden="1" customHeight="1" x14ac:dyDescent="0.35">
      <c r="A546" s="12">
        <v>4974</v>
      </c>
      <c r="B546" s="12" t="s">
        <v>100</v>
      </c>
      <c r="C546" s="12" t="s">
        <v>113</v>
      </c>
      <c r="D546" s="12" t="s">
        <v>114</v>
      </c>
      <c r="E546" s="12" t="s">
        <v>134</v>
      </c>
      <c r="F546" s="12" t="s">
        <v>39</v>
      </c>
      <c r="G546" s="12" t="s">
        <v>44</v>
      </c>
      <c r="H546" s="12">
        <v>29</v>
      </c>
      <c r="I546" s="13">
        <v>45901.866886574098</v>
      </c>
      <c r="J546" s="12" t="s">
        <v>127</v>
      </c>
      <c r="K546" s="12" t="s">
        <v>132</v>
      </c>
      <c r="L546" s="14">
        <v>0.66600000000000004</v>
      </c>
      <c r="M546" s="14">
        <f t="shared" si="8"/>
        <v>0.66600000000000004</v>
      </c>
      <c r="N546" s="7" t="s">
        <v>669</v>
      </c>
      <c r="O546" s="12"/>
      <c r="P546" s="12"/>
    </row>
    <row r="547" spans="1:16" ht="124.5" hidden="1" customHeight="1" x14ac:dyDescent="0.35">
      <c r="A547" s="12">
        <v>3821</v>
      </c>
      <c r="B547" s="12" t="s">
        <v>100</v>
      </c>
      <c r="C547" s="12" t="s">
        <v>101</v>
      </c>
      <c r="D547" s="12" t="s">
        <v>102</v>
      </c>
      <c r="E547" s="12" t="s">
        <v>126</v>
      </c>
      <c r="F547" s="12" t="s">
        <v>66</v>
      </c>
      <c r="G547" s="12" t="s">
        <v>67</v>
      </c>
      <c r="H547" s="12">
        <v>3106200</v>
      </c>
      <c r="I547" s="13">
        <v>45896.513032407398</v>
      </c>
      <c r="J547" s="12" t="s">
        <v>127</v>
      </c>
      <c r="K547" s="12" t="s">
        <v>128</v>
      </c>
      <c r="L547" s="14">
        <v>1</v>
      </c>
      <c r="M547" s="14">
        <f t="shared" si="8"/>
        <v>1</v>
      </c>
      <c r="N547" s="7" t="s">
        <v>670</v>
      </c>
      <c r="O547" s="12"/>
      <c r="P547" s="12" t="s">
        <v>130</v>
      </c>
    </row>
    <row r="548" spans="1:16" ht="202.5" hidden="1" customHeight="1" x14ac:dyDescent="0.35">
      <c r="A548" s="12">
        <v>3861</v>
      </c>
      <c r="B548" s="12" t="s">
        <v>100</v>
      </c>
      <c r="C548" s="12" t="s">
        <v>101</v>
      </c>
      <c r="D548" s="12" t="s">
        <v>102</v>
      </c>
      <c r="E548" s="12" t="s">
        <v>131</v>
      </c>
      <c r="F548" s="12" t="s">
        <v>66</v>
      </c>
      <c r="G548" s="12" t="s">
        <v>67</v>
      </c>
      <c r="H548" s="12">
        <v>3106200</v>
      </c>
      <c r="I548" s="13">
        <v>45896.513032407398</v>
      </c>
      <c r="J548" s="12" t="s">
        <v>127</v>
      </c>
      <c r="K548" s="12" t="s">
        <v>128</v>
      </c>
      <c r="L548" s="14">
        <v>1</v>
      </c>
      <c r="M548" s="14">
        <f t="shared" si="8"/>
        <v>1</v>
      </c>
      <c r="N548" s="7" t="s">
        <v>671</v>
      </c>
      <c r="O548" s="12"/>
      <c r="P548" s="12" t="s">
        <v>130</v>
      </c>
    </row>
    <row r="549" spans="1:16" ht="135.75" hidden="1" customHeight="1" x14ac:dyDescent="0.35">
      <c r="A549" s="12">
        <v>3846</v>
      </c>
      <c r="B549" s="12" t="s">
        <v>100</v>
      </c>
      <c r="C549" s="12" t="s">
        <v>101</v>
      </c>
      <c r="D549" s="12" t="s">
        <v>102</v>
      </c>
      <c r="E549" s="12" t="s">
        <v>134</v>
      </c>
      <c r="F549" s="12" t="s">
        <v>66</v>
      </c>
      <c r="G549" s="12" t="s">
        <v>67</v>
      </c>
      <c r="H549" s="12">
        <v>3106200</v>
      </c>
      <c r="I549" s="13">
        <v>45896.513032407398</v>
      </c>
      <c r="J549" s="12" t="s">
        <v>127</v>
      </c>
      <c r="K549" s="12" t="s">
        <v>128</v>
      </c>
      <c r="L549" s="14">
        <v>1</v>
      </c>
      <c r="M549" s="14">
        <f t="shared" si="8"/>
        <v>1</v>
      </c>
      <c r="N549" s="7" t="s">
        <v>672</v>
      </c>
      <c r="O549" s="12"/>
      <c r="P549" s="12"/>
    </row>
    <row r="550" spans="1:16" ht="102" hidden="1" customHeight="1" x14ac:dyDescent="0.35">
      <c r="A550" s="12">
        <v>3883</v>
      </c>
      <c r="B550" s="12" t="s">
        <v>100</v>
      </c>
      <c r="C550" s="12" t="s">
        <v>103</v>
      </c>
      <c r="D550" s="12" t="s">
        <v>104</v>
      </c>
      <c r="E550" s="12" t="s">
        <v>126</v>
      </c>
      <c r="F550" s="12" t="s">
        <v>66</v>
      </c>
      <c r="G550" s="12" t="s">
        <v>67</v>
      </c>
      <c r="H550" s="12">
        <v>3106200</v>
      </c>
      <c r="I550" s="13">
        <v>45896.513032407398</v>
      </c>
      <c r="J550" s="12" t="s">
        <v>127</v>
      </c>
      <c r="K550" s="12" t="s">
        <v>128</v>
      </c>
      <c r="L550" s="14">
        <v>1</v>
      </c>
      <c r="M550" s="14">
        <f t="shared" si="8"/>
        <v>1</v>
      </c>
      <c r="N550" s="7" t="s">
        <v>673</v>
      </c>
      <c r="O550" s="12"/>
      <c r="P550" s="12" t="s">
        <v>130</v>
      </c>
    </row>
    <row r="551" spans="1:16" ht="213.75" hidden="1" customHeight="1" x14ac:dyDescent="0.35">
      <c r="A551" s="12">
        <v>3884</v>
      </c>
      <c r="B551" s="12" t="s">
        <v>100</v>
      </c>
      <c r="C551" s="12" t="s">
        <v>103</v>
      </c>
      <c r="D551" s="12" t="s">
        <v>104</v>
      </c>
      <c r="E551" s="12" t="s">
        <v>131</v>
      </c>
      <c r="F551" s="12" t="s">
        <v>66</v>
      </c>
      <c r="G551" s="12" t="s">
        <v>67</v>
      </c>
      <c r="H551" s="12">
        <v>3106200</v>
      </c>
      <c r="I551" s="13">
        <v>45896.513032407398</v>
      </c>
      <c r="J551" s="12" t="s">
        <v>127</v>
      </c>
      <c r="K551" s="12" t="s">
        <v>128</v>
      </c>
      <c r="L551" s="14">
        <v>1</v>
      </c>
      <c r="M551" s="14">
        <f t="shared" si="8"/>
        <v>1</v>
      </c>
      <c r="N551" s="7" t="s">
        <v>674</v>
      </c>
      <c r="O551" s="12"/>
      <c r="P551" s="12" t="s">
        <v>130</v>
      </c>
    </row>
    <row r="552" spans="1:16" ht="168.75" hidden="1" customHeight="1" x14ac:dyDescent="0.35">
      <c r="A552" s="12">
        <v>3885</v>
      </c>
      <c r="B552" s="12" t="s">
        <v>100</v>
      </c>
      <c r="C552" s="12" t="s">
        <v>103</v>
      </c>
      <c r="D552" s="12" t="s">
        <v>104</v>
      </c>
      <c r="E552" s="12" t="s">
        <v>134</v>
      </c>
      <c r="F552" s="12" t="s">
        <v>66</v>
      </c>
      <c r="G552" s="12" t="s">
        <v>67</v>
      </c>
      <c r="H552" s="12">
        <v>3106200</v>
      </c>
      <c r="I552" s="13">
        <v>45896.513032407398</v>
      </c>
      <c r="J552" s="12" t="s">
        <v>127</v>
      </c>
      <c r="K552" s="12" t="s">
        <v>128</v>
      </c>
      <c r="L552" s="14">
        <v>1</v>
      </c>
      <c r="M552" s="14">
        <f t="shared" si="8"/>
        <v>1</v>
      </c>
      <c r="N552" s="7" t="s">
        <v>675</v>
      </c>
      <c r="O552" s="12"/>
      <c r="P552" s="12" t="s">
        <v>130</v>
      </c>
    </row>
    <row r="553" spans="1:16" ht="213.75" hidden="1" customHeight="1" x14ac:dyDescent="0.35">
      <c r="A553" s="12">
        <v>3962</v>
      </c>
      <c r="B553" s="12" t="s">
        <v>100</v>
      </c>
      <c r="C553" s="12" t="s">
        <v>105</v>
      </c>
      <c r="D553" s="12" t="s">
        <v>106</v>
      </c>
      <c r="E553" s="12" t="s">
        <v>126</v>
      </c>
      <c r="F553" s="12" t="s">
        <v>66</v>
      </c>
      <c r="G553" s="12" t="s">
        <v>67</v>
      </c>
      <c r="H553" s="12">
        <v>3106200</v>
      </c>
      <c r="I553" s="13">
        <v>45896.513032407398</v>
      </c>
      <c r="J553" s="12" t="s">
        <v>127</v>
      </c>
      <c r="K553" s="12" t="s">
        <v>132</v>
      </c>
      <c r="L553" s="14">
        <v>0.66600000000000004</v>
      </c>
      <c r="M553" s="14">
        <f t="shared" si="8"/>
        <v>0.66600000000000004</v>
      </c>
      <c r="N553" s="7" t="s">
        <v>676</v>
      </c>
      <c r="O553" s="12"/>
      <c r="P553" s="12" t="s">
        <v>130</v>
      </c>
    </row>
    <row r="554" spans="1:16" ht="213.75" hidden="1" customHeight="1" x14ac:dyDescent="0.35">
      <c r="A554" s="12">
        <v>3963</v>
      </c>
      <c r="B554" s="12" t="s">
        <v>100</v>
      </c>
      <c r="C554" s="12" t="s">
        <v>105</v>
      </c>
      <c r="D554" s="12" t="s">
        <v>106</v>
      </c>
      <c r="E554" s="12" t="s">
        <v>131</v>
      </c>
      <c r="F554" s="12" t="s">
        <v>66</v>
      </c>
      <c r="G554" s="12" t="s">
        <v>67</v>
      </c>
      <c r="H554" s="12">
        <v>3106200</v>
      </c>
      <c r="I554" s="13">
        <v>45896.513032407398</v>
      </c>
      <c r="J554" s="12" t="s">
        <v>127</v>
      </c>
      <c r="K554" s="12" t="s">
        <v>128</v>
      </c>
      <c r="L554" s="14">
        <v>1</v>
      </c>
      <c r="M554" s="14">
        <f t="shared" si="8"/>
        <v>1</v>
      </c>
      <c r="N554" s="7" t="s">
        <v>677</v>
      </c>
      <c r="O554" s="12"/>
      <c r="P554" s="12" t="s">
        <v>130</v>
      </c>
    </row>
    <row r="555" spans="1:16" ht="23.25" hidden="1" customHeight="1" x14ac:dyDescent="0.35">
      <c r="A555" s="12">
        <v>4084</v>
      </c>
      <c r="B555" s="12" t="s">
        <v>100</v>
      </c>
      <c r="C555" s="12" t="s">
        <v>107</v>
      </c>
      <c r="D555" s="12" t="s">
        <v>108</v>
      </c>
      <c r="E555" s="12" t="s">
        <v>126</v>
      </c>
      <c r="F555" s="12" t="s">
        <v>66</v>
      </c>
      <c r="G555" s="12" t="s">
        <v>67</v>
      </c>
      <c r="H555" s="12">
        <v>3106200</v>
      </c>
      <c r="I555" s="13">
        <v>45896.513032407398</v>
      </c>
      <c r="J555" s="12" t="s">
        <v>127</v>
      </c>
      <c r="K555" s="12" t="s">
        <v>128</v>
      </c>
      <c r="L555" s="14">
        <v>1</v>
      </c>
      <c r="M555" s="14">
        <f t="shared" si="8"/>
        <v>1</v>
      </c>
      <c r="N555" s="7" t="s">
        <v>678</v>
      </c>
      <c r="O555" s="12"/>
      <c r="P555" s="12"/>
    </row>
    <row r="556" spans="1:16" ht="124.5" hidden="1" customHeight="1" x14ac:dyDescent="0.35">
      <c r="A556" s="12">
        <v>4083</v>
      </c>
      <c r="B556" s="12" t="s">
        <v>100</v>
      </c>
      <c r="C556" s="12" t="s">
        <v>107</v>
      </c>
      <c r="D556" s="12" t="s">
        <v>108</v>
      </c>
      <c r="E556" s="12" t="s">
        <v>131</v>
      </c>
      <c r="F556" s="12" t="s">
        <v>66</v>
      </c>
      <c r="G556" s="12" t="s">
        <v>67</v>
      </c>
      <c r="H556" s="12">
        <v>3106200</v>
      </c>
      <c r="I556" s="13">
        <v>45896.513032407398</v>
      </c>
      <c r="J556" s="12" t="s">
        <v>127</v>
      </c>
      <c r="K556" s="12" t="s">
        <v>128</v>
      </c>
      <c r="L556" s="14">
        <v>1</v>
      </c>
      <c r="M556" s="14">
        <f t="shared" si="8"/>
        <v>1</v>
      </c>
      <c r="N556" s="7" t="s">
        <v>679</v>
      </c>
      <c r="O556" s="12"/>
      <c r="P556" s="12"/>
    </row>
    <row r="557" spans="1:16" ht="202.5" hidden="1" customHeight="1" x14ac:dyDescent="0.35">
      <c r="A557" s="12">
        <v>4081</v>
      </c>
      <c r="B557" s="12" t="s">
        <v>100</v>
      </c>
      <c r="C557" s="12" t="s">
        <v>107</v>
      </c>
      <c r="D557" s="12" t="s">
        <v>108</v>
      </c>
      <c r="E557" s="12" t="s">
        <v>134</v>
      </c>
      <c r="F557" s="12" t="s">
        <v>66</v>
      </c>
      <c r="G557" s="12" t="s">
        <v>67</v>
      </c>
      <c r="H557" s="12">
        <v>3106200</v>
      </c>
      <c r="I557" s="13">
        <v>45896.513032407398</v>
      </c>
      <c r="J557" s="12" t="s">
        <v>127</v>
      </c>
      <c r="K557" s="12" t="s">
        <v>132</v>
      </c>
      <c r="L557" s="14">
        <v>0.66600000000000004</v>
      </c>
      <c r="M557" s="14">
        <f t="shared" si="8"/>
        <v>0.66600000000000004</v>
      </c>
      <c r="N557" s="7" t="s">
        <v>680</v>
      </c>
      <c r="O557" s="12"/>
      <c r="P557" s="12" t="s">
        <v>130</v>
      </c>
    </row>
    <row r="558" spans="1:16" ht="157.5" hidden="1" customHeight="1" x14ac:dyDescent="0.35">
      <c r="A558" s="12">
        <v>4968</v>
      </c>
      <c r="B558" s="12" t="s">
        <v>100</v>
      </c>
      <c r="C558" s="12" t="s">
        <v>109</v>
      </c>
      <c r="D558" s="12" t="s">
        <v>110</v>
      </c>
      <c r="E558" s="12" t="s">
        <v>126</v>
      </c>
      <c r="F558" s="12" t="s">
        <v>66</v>
      </c>
      <c r="G558" s="12" t="s">
        <v>67</v>
      </c>
      <c r="H558" s="12">
        <v>3106200</v>
      </c>
      <c r="I558" s="13">
        <v>45896.513032407398</v>
      </c>
      <c r="J558" s="12" t="s">
        <v>127</v>
      </c>
      <c r="K558" s="12" t="s">
        <v>128</v>
      </c>
      <c r="L558" s="14">
        <v>1</v>
      </c>
      <c r="M558" s="14">
        <f t="shared" si="8"/>
        <v>1</v>
      </c>
      <c r="N558" s="7" t="s">
        <v>681</v>
      </c>
      <c r="O558" s="12"/>
      <c r="P558" s="12"/>
    </row>
    <row r="559" spans="1:16" ht="213.75" hidden="1" customHeight="1" x14ac:dyDescent="0.35">
      <c r="A559" s="12">
        <v>4969</v>
      </c>
      <c r="B559" s="12" t="s">
        <v>100</v>
      </c>
      <c r="C559" s="12" t="s">
        <v>109</v>
      </c>
      <c r="D559" s="12" t="s">
        <v>110</v>
      </c>
      <c r="E559" s="12" t="s">
        <v>131</v>
      </c>
      <c r="F559" s="12" t="s">
        <v>66</v>
      </c>
      <c r="G559" s="12" t="s">
        <v>67</v>
      </c>
      <c r="H559" s="12">
        <v>3106200</v>
      </c>
      <c r="I559" s="13">
        <v>45896.513032407398</v>
      </c>
      <c r="J559" s="12" t="s">
        <v>127</v>
      </c>
      <c r="K559" s="12" t="s">
        <v>128</v>
      </c>
      <c r="L559" s="14">
        <v>1</v>
      </c>
      <c r="M559" s="14">
        <f t="shared" si="8"/>
        <v>1</v>
      </c>
      <c r="N559" s="7" t="s">
        <v>682</v>
      </c>
      <c r="O559" s="12"/>
      <c r="P559" s="12" t="s">
        <v>130</v>
      </c>
    </row>
    <row r="560" spans="1:16" ht="124.5" hidden="1" customHeight="1" x14ac:dyDescent="0.35">
      <c r="A560" s="12">
        <v>4956</v>
      </c>
      <c r="B560" s="12" t="s">
        <v>100</v>
      </c>
      <c r="C560" s="12" t="s">
        <v>111</v>
      </c>
      <c r="D560" s="12" t="s">
        <v>112</v>
      </c>
      <c r="E560" s="12" t="s">
        <v>126</v>
      </c>
      <c r="F560" s="12" t="s">
        <v>66</v>
      </c>
      <c r="G560" s="12" t="s">
        <v>67</v>
      </c>
      <c r="H560" s="12">
        <v>3106200</v>
      </c>
      <c r="I560" s="13">
        <v>45896.513032407398</v>
      </c>
      <c r="J560" s="12" t="s">
        <v>127</v>
      </c>
      <c r="K560" s="12" t="s">
        <v>132</v>
      </c>
      <c r="L560" s="14">
        <v>0.66600000000000004</v>
      </c>
      <c r="M560" s="14">
        <f t="shared" si="8"/>
        <v>0.66600000000000004</v>
      </c>
      <c r="N560" s="7" t="s">
        <v>683</v>
      </c>
      <c r="O560" s="12"/>
      <c r="P560" s="12"/>
    </row>
    <row r="561" spans="1:16" ht="202.5" hidden="1" customHeight="1" x14ac:dyDescent="0.35">
      <c r="A561" s="12">
        <v>4970</v>
      </c>
      <c r="B561" s="12" t="s">
        <v>100</v>
      </c>
      <c r="C561" s="12" t="s">
        <v>111</v>
      </c>
      <c r="D561" s="12" t="s">
        <v>112</v>
      </c>
      <c r="E561" s="12" t="s">
        <v>131</v>
      </c>
      <c r="F561" s="12" t="s">
        <v>66</v>
      </c>
      <c r="G561" s="12" t="s">
        <v>67</v>
      </c>
      <c r="H561" s="12">
        <v>3106200</v>
      </c>
      <c r="I561" s="13">
        <v>45896.513032407398</v>
      </c>
      <c r="J561" s="12" t="s">
        <v>127</v>
      </c>
      <c r="K561" s="12" t="s">
        <v>132</v>
      </c>
      <c r="L561" s="14">
        <v>0.66600000000000004</v>
      </c>
      <c r="M561" s="14">
        <f t="shared" si="8"/>
        <v>0.66600000000000004</v>
      </c>
      <c r="N561" s="7" t="s">
        <v>684</v>
      </c>
      <c r="O561" s="12"/>
      <c r="P561" s="12" t="s">
        <v>130</v>
      </c>
    </row>
    <row r="562" spans="1:16" ht="45.75" hidden="1" customHeight="1" x14ac:dyDescent="0.35">
      <c r="A562" s="12">
        <v>4957</v>
      </c>
      <c r="B562" s="12" t="s">
        <v>100</v>
      </c>
      <c r="C562" s="12" t="s">
        <v>111</v>
      </c>
      <c r="D562" s="12" t="s">
        <v>112</v>
      </c>
      <c r="E562" s="12" t="s">
        <v>134</v>
      </c>
      <c r="F562" s="12" t="s">
        <v>66</v>
      </c>
      <c r="G562" s="12" t="s">
        <v>67</v>
      </c>
      <c r="H562" s="12">
        <v>3106200</v>
      </c>
      <c r="I562" s="13">
        <v>45896.513032407398</v>
      </c>
      <c r="J562" s="12" t="s">
        <v>127</v>
      </c>
      <c r="K562" s="12" t="s">
        <v>128</v>
      </c>
      <c r="L562" s="14">
        <v>1</v>
      </c>
      <c r="M562" s="14">
        <f t="shared" si="8"/>
        <v>1</v>
      </c>
      <c r="N562" s="7" t="s">
        <v>685</v>
      </c>
      <c r="O562" s="12"/>
      <c r="P562" s="12"/>
    </row>
    <row r="563" spans="1:16" ht="135.75" hidden="1" customHeight="1" x14ac:dyDescent="0.35">
      <c r="A563" s="12">
        <v>4972</v>
      </c>
      <c r="B563" s="12" t="s">
        <v>100</v>
      </c>
      <c r="C563" s="12" t="s">
        <v>113</v>
      </c>
      <c r="D563" s="12" t="s">
        <v>114</v>
      </c>
      <c r="E563" s="12" t="s">
        <v>126</v>
      </c>
      <c r="F563" s="12" t="s">
        <v>66</v>
      </c>
      <c r="G563" s="12" t="s">
        <v>67</v>
      </c>
      <c r="H563" s="12">
        <v>3106200</v>
      </c>
      <c r="I563" s="13">
        <v>45896.513032407398</v>
      </c>
      <c r="J563" s="12" t="s">
        <v>127</v>
      </c>
      <c r="K563" s="12" t="s">
        <v>128</v>
      </c>
      <c r="L563" s="14">
        <v>1</v>
      </c>
      <c r="M563" s="14">
        <f t="shared" si="8"/>
        <v>1</v>
      </c>
      <c r="N563" s="7" t="s">
        <v>686</v>
      </c>
      <c r="O563" s="12"/>
      <c r="P563" s="12"/>
    </row>
    <row r="564" spans="1:16" ht="34.5" hidden="1" customHeight="1" x14ac:dyDescent="0.35">
      <c r="A564" s="12">
        <v>4812</v>
      </c>
      <c r="B564" s="12" t="s">
        <v>100</v>
      </c>
      <c r="C564" s="12" t="s">
        <v>113</v>
      </c>
      <c r="D564" s="12" t="s">
        <v>114</v>
      </c>
      <c r="E564" s="12" t="s">
        <v>131</v>
      </c>
      <c r="F564" s="12" t="s">
        <v>66</v>
      </c>
      <c r="G564" s="12" t="s">
        <v>67</v>
      </c>
      <c r="H564" s="12">
        <v>3106200</v>
      </c>
      <c r="I564" s="13">
        <v>45896.513032407398</v>
      </c>
      <c r="J564" s="12" t="s">
        <v>127</v>
      </c>
      <c r="K564" s="12" t="s">
        <v>135</v>
      </c>
      <c r="L564" s="14"/>
      <c r="M564" s="14">
        <f t="shared" si="8"/>
        <v>0</v>
      </c>
      <c r="N564" s="7" t="s">
        <v>687</v>
      </c>
      <c r="O564" s="12"/>
      <c r="P564" s="12" t="s">
        <v>130</v>
      </c>
    </row>
    <row r="565" spans="1:16" ht="15" hidden="1" customHeight="1" x14ac:dyDescent="0.35">
      <c r="A565" s="12">
        <v>4959</v>
      </c>
      <c r="B565" s="12" t="s">
        <v>100</v>
      </c>
      <c r="C565" s="12" t="s">
        <v>113</v>
      </c>
      <c r="D565" s="12" t="s">
        <v>114</v>
      </c>
      <c r="E565" s="12" t="s">
        <v>134</v>
      </c>
      <c r="F565" s="12" t="s">
        <v>66</v>
      </c>
      <c r="G565" s="12" t="s">
        <v>67</v>
      </c>
      <c r="H565" s="12">
        <v>3106200</v>
      </c>
      <c r="I565" s="13">
        <v>45896.513032407398</v>
      </c>
      <c r="J565" s="12" t="s">
        <v>127</v>
      </c>
      <c r="K565" s="12" t="s">
        <v>688</v>
      </c>
      <c r="L565" s="14"/>
      <c r="M565" s="14" t="str">
        <f t="shared" si="8"/>
        <v/>
      </c>
      <c r="N565" s="7" t="s">
        <v>689</v>
      </c>
      <c r="O565" s="12"/>
      <c r="P565" s="12" t="s">
        <v>130</v>
      </c>
    </row>
    <row r="566" spans="1:16" ht="157.5" hidden="1" customHeight="1" x14ac:dyDescent="0.35">
      <c r="A566" s="12">
        <v>8443</v>
      </c>
      <c r="B566" s="12" t="s">
        <v>100</v>
      </c>
      <c r="C566" s="12" t="s">
        <v>101</v>
      </c>
      <c r="D566" s="12" t="s">
        <v>102</v>
      </c>
      <c r="E566" s="12" t="s">
        <v>126</v>
      </c>
      <c r="F566" s="12" t="s">
        <v>66</v>
      </c>
      <c r="G566" s="12" t="s">
        <v>68</v>
      </c>
      <c r="H566" s="12">
        <v>1501402</v>
      </c>
      <c r="I566" s="13">
        <v>45912.511585648201</v>
      </c>
      <c r="J566" s="12" t="s">
        <v>127</v>
      </c>
      <c r="K566" s="12" t="s">
        <v>135</v>
      </c>
      <c r="L566" s="14"/>
      <c r="M566" s="14">
        <f t="shared" si="8"/>
        <v>0</v>
      </c>
      <c r="N566" s="7" t="s">
        <v>690</v>
      </c>
      <c r="O566" s="12"/>
      <c r="P566" s="12" t="s">
        <v>130</v>
      </c>
    </row>
    <row r="567" spans="1:16" ht="90.75" hidden="1" customHeight="1" x14ac:dyDescent="0.35">
      <c r="A567" s="12">
        <v>8562</v>
      </c>
      <c r="B567" s="12" t="s">
        <v>100</v>
      </c>
      <c r="C567" s="12" t="s">
        <v>101</v>
      </c>
      <c r="D567" s="12" t="s">
        <v>102</v>
      </c>
      <c r="E567" s="12" t="s">
        <v>131</v>
      </c>
      <c r="F567" s="12" t="s">
        <v>66</v>
      </c>
      <c r="G567" s="12" t="s">
        <v>68</v>
      </c>
      <c r="H567" s="12">
        <v>1501402</v>
      </c>
      <c r="I567" s="13">
        <v>45912.511585648201</v>
      </c>
      <c r="J567" s="12" t="s">
        <v>127</v>
      </c>
      <c r="K567" s="12" t="s">
        <v>135</v>
      </c>
      <c r="L567" s="14"/>
      <c r="M567" s="14">
        <f t="shared" si="8"/>
        <v>0</v>
      </c>
      <c r="N567" s="7" t="s">
        <v>691</v>
      </c>
      <c r="O567" s="12"/>
      <c r="P567" s="12" t="s">
        <v>130</v>
      </c>
    </row>
    <row r="568" spans="1:16" ht="113.25" hidden="1" customHeight="1" x14ac:dyDescent="0.35">
      <c r="A568" s="12">
        <v>8563</v>
      </c>
      <c r="B568" s="12" t="s">
        <v>100</v>
      </c>
      <c r="C568" s="12" t="s">
        <v>101</v>
      </c>
      <c r="D568" s="12" t="s">
        <v>102</v>
      </c>
      <c r="E568" s="12" t="s">
        <v>134</v>
      </c>
      <c r="F568" s="12" t="s">
        <v>66</v>
      </c>
      <c r="G568" s="12" t="s">
        <v>68</v>
      </c>
      <c r="H568" s="12">
        <v>1501402</v>
      </c>
      <c r="I568" s="13">
        <v>45912.511585648201</v>
      </c>
      <c r="J568" s="12" t="s">
        <v>127</v>
      </c>
      <c r="K568" s="12" t="s">
        <v>135</v>
      </c>
      <c r="L568" s="14"/>
      <c r="M568" s="14">
        <f t="shared" si="8"/>
        <v>0</v>
      </c>
      <c r="N568" s="7" t="s">
        <v>692</v>
      </c>
      <c r="O568" s="12"/>
      <c r="P568" s="12" t="s">
        <v>130</v>
      </c>
    </row>
    <row r="569" spans="1:16" ht="180" hidden="1" customHeight="1" x14ac:dyDescent="0.35">
      <c r="A569" s="12">
        <v>8564</v>
      </c>
      <c r="B569" s="12" t="s">
        <v>100</v>
      </c>
      <c r="C569" s="12" t="s">
        <v>103</v>
      </c>
      <c r="D569" s="12" t="s">
        <v>104</v>
      </c>
      <c r="E569" s="12" t="s">
        <v>126</v>
      </c>
      <c r="F569" s="12" t="s">
        <v>66</v>
      </c>
      <c r="G569" s="12" t="s">
        <v>68</v>
      </c>
      <c r="H569" s="12">
        <v>1501402</v>
      </c>
      <c r="I569" s="13">
        <v>45912.511585648201</v>
      </c>
      <c r="J569" s="12" t="s">
        <v>127</v>
      </c>
      <c r="K569" s="12" t="s">
        <v>142</v>
      </c>
      <c r="L569" s="14">
        <v>0.33300000000000002</v>
      </c>
      <c r="M569" s="14">
        <f t="shared" si="8"/>
        <v>0.33300000000000002</v>
      </c>
      <c r="N569" s="7" t="s">
        <v>693</v>
      </c>
      <c r="O569" s="12"/>
      <c r="P569" s="12" t="s">
        <v>130</v>
      </c>
    </row>
    <row r="570" spans="1:16" ht="124.5" hidden="1" customHeight="1" x14ac:dyDescent="0.35">
      <c r="A570" s="12">
        <v>8544</v>
      </c>
      <c r="B570" s="12" t="s">
        <v>100</v>
      </c>
      <c r="C570" s="12" t="s">
        <v>103</v>
      </c>
      <c r="D570" s="12" t="s">
        <v>104</v>
      </c>
      <c r="E570" s="12" t="s">
        <v>131</v>
      </c>
      <c r="F570" s="12" t="s">
        <v>66</v>
      </c>
      <c r="G570" s="12" t="s">
        <v>68</v>
      </c>
      <c r="H570" s="12">
        <v>1501402</v>
      </c>
      <c r="I570" s="13">
        <v>45912.511585648201</v>
      </c>
      <c r="J570" s="12" t="s">
        <v>127</v>
      </c>
      <c r="K570" s="12" t="s">
        <v>135</v>
      </c>
      <c r="L570" s="14"/>
      <c r="M570" s="14">
        <f t="shared" si="8"/>
        <v>0</v>
      </c>
      <c r="N570" s="7" t="s">
        <v>694</v>
      </c>
      <c r="O570" s="12"/>
      <c r="P570" s="12" t="s">
        <v>130</v>
      </c>
    </row>
    <row r="571" spans="1:16" ht="23.25" hidden="1" customHeight="1" x14ac:dyDescent="0.35">
      <c r="A571" s="12">
        <v>8545</v>
      </c>
      <c r="B571" s="12" t="s">
        <v>100</v>
      </c>
      <c r="C571" s="12" t="s">
        <v>103</v>
      </c>
      <c r="D571" s="12" t="s">
        <v>104</v>
      </c>
      <c r="E571" s="12" t="s">
        <v>134</v>
      </c>
      <c r="F571" s="12" t="s">
        <v>66</v>
      </c>
      <c r="G571" s="12" t="s">
        <v>68</v>
      </c>
      <c r="H571" s="12">
        <v>1501402</v>
      </c>
      <c r="I571" s="13">
        <v>45912.511585648201</v>
      </c>
      <c r="J571" s="12" t="s">
        <v>127</v>
      </c>
      <c r="K571" s="12" t="s">
        <v>135</v>
      </c>
      <c r="L571" s="14"/>
      <c r="M571" s="14">
        <f t="shared" si="8"/>
        <v>0</v>
      </c>
      <c r="N571" s="7" t="s">
        <v>695</v>
      </c>
      <c r="O571" s="12"/>
      <c r="P571" s="12" t="s">
        <v>130</v>
      </c>
    </row>
    <row r="572" spans="1:16" ht="202.5" hidden="1" customHeight="1" x14ac:dyDescent="0.35">
      <c r="A572" s="12">
        <v>6185</v>
      </c>
      <c r="B572" s="12" t="s">
        <v>100</v>
      </c>
      <c r="C572" s="12" t="s">
        <v>105</v>
      </c>
      <c r="D572" s="12" t="s">
        <v>106</v>
      </c>
      <c r="E572" s="12" t="s">
        <v>126</v>
      </c>
      <c r="F572" s="12" t="s">
        <v>66</v>
      </c>
      <c r="G572" s="12" t="s">
        <v>68</v>
      </c>
      <c r="H572" s="12">
        <v>1501402</v>
      </c>
      <c r="I572" s="13">
        <v>45912.511585648201</v>
      </c>
      <c r="J572" s="12" t="s">
        <v>127</v>
      </c>
      <c r="K572" s="12" t="s">
        <v>128</v>
      </c>
      <c r="L572" s="14">
        <v>1</v>
      </c>
      <c r="M572" s="14">
        <f t="shared" si="8"/>
        <v>1</v>
      </c>
      <c r="N572" s="7" t="s">
        <v>696</v>
      </c>
      <c r="O572" s="12"/>
      <c r="P572" s="12" t="s">
        <v>130</v>
      </c>
    </row>
    <row r="573" spans="1:16" ht="90.75" hidden="1" customHeight="1" x14ac:dyDescent="0.35">
      <c r="A573" s="12">
        <v>8549</v>
      </c>
      <c r="B573" s="12" t="s">
        <v>100</v>
      </c>
      <c r="C573" s="12" t="s">
        <v>105</v>
      </c>
      <c r="D573" s="12" t="s">
        <v>106</v>
      </c>
      <c r="E573" s="12" t="s">
        <v>131</v>
      </c>
      <c r="F573" s="12" t="s">
        <v>66</v>
      </c>
      <c r="G573" s="12" t="s">
        <v>68</v>
      </c>
      <c r="H573" s="12">
        <v>1501402</v>
      </c>
      <c r="I573" s="13">
        <v>45912.511585648201</v>
      </c>
      <c r="J573" s="12" t="s">
        <v>127</v>
      </c>
      <c r="K573" s="12" t="s">
        <v>142</v>
      </c>
      <c r="L573" s="14">
        <v>0.33300000000000002</v>
      </c>
      <c r="M573" s="14">
        <f t="shared" si="8"/>
        <v>0.33300000000000002</v>
      </c>
      <c r="N573" s="7" t="s">
        <v>697</v>
      </c>
      <c r="O573" s="12"/>
      <c r="P573" s="12" t="s">
        <v>130</v>
      </c>
    </row>
    <row r="574" spans="1:16" ht="225" hidden="1" customHeight="1" x14ac:dyDescent="0.35">
      <c r="A574" s="12">
        <v>8569</v>
      </c>
      <c r="B574" s="12" t="s">
        <v>100</v>
      </c>
      <c r="C574" s="12" t="s">
        <v>107</v>
      </c>
      <c r="D574" s="12" t="s">
        <v>108</v>
      </c>
      <c r="E574" s="12" t="s">
        <v>126</v>
      </c>
      <c r="F574" s="12" t="s">
        <v>66</v>
      </c>
      <c r="G574" s="12" t="s">
        <v>68</v>
      </c>
      <c r="H574" s="12">
        <v>1501402</v>
      </c>
      <c r="I574" s="13">
        <v>45912.511585648201</v>
      </c>
      <c r="J574" s="12" t="s">
        <v>127</v>
      </c>
      <c r="K574" s="12" t="s">
        <v>132</v>
      </c>
      <c r="L574" s="14">
        <v>0.66600000000000004</v>
      </c>
      <c r="M574" s="14">
        <f t="shared" si="8"/>
        <v>0.66600000000000004</v>
      </c>
      <c r="N574" s="7" t="s">
        <v>698</v>
      </c>
      <c r="O574" s="12"/>
      <c r="P574" s="12" t="s">
        <v>130</v>
      </c>
    </row>
    <row r="575" spans="1:16" ht="113.25" hidden="1" customHeight="1" x14ac:dyDescent="0.35">
      <c r="A575" s="12">
        <v>8550</v>
      </c>
      <c r="B575" s="12" t="s">
        <v>100</v>
      </c>
      <c r="C575" s="12" t="s">
        <v>107</v>
      </c>
      <c r="D575" s="12" t="s">
        <v>108</v>
      </c>
      <c r="E575" s="12" t="s">
        <v>131</v>
      </c>
      <c r="F575" s="12" t="s">
        <v>66</v>
      </c>
      <c r="G575" s="12" t="s">
        <v>68</v>
      </c>
      <c r="H575" s="12">
        <v>1501402</v>
      </c>
      <c r="I575" s="13">
        <v>45912.511585648201</v>
      </c>
      <c r="J575" s="12" t="s">
        <v>127</v>
      </c>
      <c r="K575" s="12" t="s">
        <v>128</v>
      </c>
      <c r="L575" s="14">
        <v>1</v>
      </c>
      <c r="M575" s="14">
        <f t="shared" si="8"/>
        <v>1</v>
      </c>
      <c r="N575" s="7" t="s">
        <v>699</v>
      </c>
      <c r="O575" s="12"/>
      <c r="P575" s="12" t="s">
        <v>130</v>
      </c>
    </row>
    <row r="576" spans="1:16" ht="90.75" hidden="1" customHeight="1" x14ac:dyDescent="0.35">
      <c r="A576" s="12">
        <v>8593</v>
      </c>
      <c r="B576" s="12" t="s">
        <v>100</v>
      </c>
      <c r="C576" s="12" t="s">
        <v>107</v>
      </c>
      <c r="D576" s="12" t="s">
        <v>108</v>
      </c>
      <c r="E576" s="12" t="s">
        <v>134</v>
      </c>
      <c r="F576" s="12" t="s">
        <v>66</v>
      </c>
      <c r="G576" s="12" t="s">
        <v>68</v>
      </c>
      <c r="H576" s="12">
        <v>1501402</v>
      </c>
      <c r="I576" s="13">
        <v>45912.511585648201</v>
      </c>
      <c r="J576" s="12" t="s">
        <v>127</v>
      </c>
      <c r="K576" s="12" t="s">
        <v>128</v>
      </c>
      <c r="L576" s="14">
        <v>1</v>
      </c>
      <c r="M576" s="14">
        <f t="shared" si="8"/>
        <v>1</v>
      </c>
      <c r="N576" s="7" t="s">
        <v>700</v>
      </c>
      <c r="O576" s="12"/>
      <c r="P576" s="12" t="s">
        <v>130</v>
      </c>
    </row>
    <row r="577" spans="1:16" ht="147" hidden="1" customHeight="1" x14ac:dyDescent="0.35">
      <c r="A577" s="12">
        <v>8595</v>
      </c>
      <c r="B577" s="12" t="s">
        <v>100</v>
      </c>
      <c r="C577" s="12" t="s">
        <v>109</v>
      </c>
      <c r="D577" s="12" t="s">
        <v>110</v>
      </c>
      <c r="E577" s="12" t="s">
        <v>126</v>
      </c>
      <c r="F577" s="12" t="s">
        <v>66</v>
      </c>
      <c r="G577" s="12" t="s">
        <v>68</v>
      </c>
      <c r="H577" s="12">
        <v>1501402</v>
      </c>
      <c r="I577" s="13">
        <v>45912.511585648201</v>
      </c>
      <c r="J577" s="12" t="s">
        <v>127</v>
      </c>
      <c r="K577" s="12" t="s">
        <v>132</v>
      </c>
      <c r="L577" s="14">
        <v>0.66600000000000004</v>
      </c>
      <c r="M577" s="14">
        <f t="shared" si="8"/>
        <v>0.66600000000000004</v>
      </c>
      <c r="N577" s="7" t="s">
        <v>701</v>
      </c>
      <c r="O577" s="12"/>
      <c r="P577" s="12" t="s">
        <v>130</v>
      </c>
    </row>
    <row r="578" spans="1:16" ht="57" hidden="1" customHeight="1" x14ac:dyDescent="0.35">
      <c r="A578" s="12">
        <v>8612</v>
      </c>
      <c r="B578" s="12" t="s">
        <v>100</v>
      </c>
      <c r="C578" s="12" t="s">
        <v>109</v>
      </c>
      <c r="D578" s="12" t="s">
        <v>110</v>
      </c>
      <c r="E578" s="12" t="s">
        <v>131</v>
      </c>
      <c r="F578" s="12" t="s">
        <v>66</v>
      </c>
      <c r="G578" s="12" t="s">
        <v>68</v>
      </c>
      <c r="H578" s="12">
        <v>1501402</v>
      </c>
      <c r="I578" s="13">
        <v>45912.511585648201</v>
      </c>
      <c r="J578" s="12" t="s">
        <v>127</v>
      </c>
      <c r="K578" s="12" t="s">
        <v>128</v>
      </c>
      <c r="L578" s="14">
        <v>1</v>
      </c>
      <c r="M578" s="14">
        <f t="shared" ref="M578:M641" si="9">IF(K578="Sem progresso",0,IF(OR(K578="Não avaliado",K578="Não se aplica",K578=""),"",L578))</f>
        <v>1</v>
      </c>
      <c r="N578" s="7" t="s">
        <v>702</v>
      </c>
      <c r="O578" s="12"/>
      <c r="P578" s="12"/>
    </row>
    <row r="579" spans="1:16" ht="90.75" hidden="1" customHeight="1" x14ac:dyDescent="0.35">
      <c r="A579" s="12">
        <v>8727</v>
      </c>
      <c r="B579" s="12" t="s">
        <v>100</v>
      </c>
      <c r="C579" s="12" t="s">
        <v>111</v>
      </c>
      <c r="D579" s="12" t="s">
        <v>112</v>
      </c>
      <c r="E579" s="12" t="s">
        <v>126</v>
      </c>
      <c r="F579" s="12" t="s">
        <v>66</v>
      </c>
      <c r="G579" s="12" t="s">
        <v>68</v>
      </c>
      <c r="H579" s="12">
        <v>1501402</v>
      </c>
      <c r="I579" s="13">
        <v>45912.511585648201</v>
      </c>
      <c r="J579" s="12" t="s">
        <v>127</v>
      </c>
      <c r="K579" s="12" t="s">
        <v>135</v>
      </c>
      <c r="L579" s="14"/>
      <c r="M579" s="14">
        <f t="shared" si="9"/>
        <v>0</v>
      </c>
      <c r="N579" s="7" t="s">
        <v>703</v>
      </c>
      <c r="O579" s="12"/>
      <c r="P579" s="12" t="s">
        <v>130</v>
      </c>
    </row>
    <row r="580" spans="1:16" ht="68.25" hidden="1" customHeight="1" x14ac:dyDescent="0.35">
      <c r="A580" s="12">
        <v>8729</v>
      </c>
      <c r="B580" s="12" t="s">
        <v>100</v>
      </c>
      <c r="C580" s="12" t="s">
        <v>111</v>
      </c>
      <c r="D580" s="12" t="s">
        <v>112</v>
      </c>
      <c r="E580" s="12" t="s">
        <v>131</v>
      </c>
      <c r="F580" s="12" t="s">
        <v>66</v>
      </c>
      <c r="G580" s="12" t="s">
        <v>68</v>
      </c>
      <c r="H580" s="12">
        <v>1501402</v>
      </c>
      <c r="I580" s="13">
        <v>45912.511585648201</v>
      </c>
      <c r="J580" s="12" t="s">
        <v>127</v>
      </c>
      <c r="K580" s="12" t="s">
        <v>132</v>
      </c>
      <c r="L580" s="14">
        <v>0.66600000000000004</v>
      </c>
      <c r="M580" s="14">
        <f t="shared" si="9"/>
        <v>0.66600000000000004</v>
      </c>
      <c r="N580" s="7" t="s">
        <v>704</v>
      </c>
      <c r="O580" s="12"/>
      <c r="P580" s="12" t="s">
        <v>130</v>
      </c>
    </row>
    <row r="581" spans="1:16" ht="45.75" hidden="1" customHeight="1" x14ac:dyDescent="0.35">
      <c r="A581" s="12">
        <v>8731</v>
      </c>
      <c r="B581" s="12" t="s">
        <v>100</v>
      </c>
      <c r="C581" s="12" t="s">
        <v>111</v>
      </c>
      <c r="D581" s="12" t="s">
        <v>112</v>
      </c>
      <c r="E581" s="12" t="s">
        <v>134</v>
      </c>
      <c r="F581" s="12" t="s">
        <v>66</v>
      </c>
      <c r="G581" s="12" t="s">
        <v>68</v>
      </c>
      <c r="H581" s="12">
        <v>1501402</v>
      </c>
      <c r="I581" s="13">
        <v>45912.511585648201</v>
      </c>
      <c r="J581" s="12" t="s">
        <v>127</v>
      </c>
      <c r="K581" s="12" t="s">
        <v>135</v>
      </c>
      <c r="L581" s="14"/>
      <c r="M581" s="14">
        <f t="shared" si="9"/>
        <v>0</v>
      </c>
      <c r="N581" s="7" t="s">
        <v>705</v>
      </c>
      <c r="O581" s="12"/>
      <c r="P581" s="12" t="s">
        <v>130</v>
      </c>
    </row>
    <row r="582" spans="1:16" ht="213.75" hidden="1" customHeight="1" x14ac:dyDescent="0.35">
      <c r="A582" s="12">
        <v>8602</v>
      </c>
      <c r="B582" s="12" t="s">
        <v>100</v>
      </c>
      <c r="C582" s="12" t="s">
        <v>113</v>
      </c>
      <c r="D582" s="12" t="s">
        <v>114</v>
      </c>
      <c r="E582" s="12" t="s">
        <v>126</v>
      </c>
      <c r="F582" s="12" t="s">
        <v>66</v>
      </c>
      <c r="G582" s="12" t="s">
        <v>68</v>
      </c>
      <c r="H582" s="12">
        <v>1501402</v>
      </c>
      <c r="I582" s="13">
        <v>45912.511585648201</v>
      </c>
      <c r="J582" s="12" t="s">
        <v>127</v>
      </c>
      <c r="K582" s="12" t="s">
        <v>132</v>
      </c>
      <c r="L582" s="14">
        <v>0.66600000000000004</v>
      </c>
      <c r="M582" s="14">
        <f t="shared" si="9"/>
        <v>0.66600000000000004</v>
      </c>
      <c r="N582" s="7" t="s">
        <v>706</v>
      </c>
      <c r="O582" s="12"/>
      <c r="P582" s="12" t="s">
        <v>130</v>
      </c>
    </row>
    <row r="583" spans="1:16" ht="202.5" hidden="1" customHeight="1" x14ac:dyDescent="0.35">
      <c r="A583" s="12">
        <v>8583</v>
      </c>
      <c r="B583" s="12" t="s">
        <v>100</v>
      </c>
      <c r="C583" s="12" t="s">
        <v>113</v>
      </c>
      <c r="D583" s="12" t="s">
        <v>114</v>
      </c>
      <c r="E583" s="12" t="s">
        <v>131</v>
      </c>
      <c r="F583" s="12" t="s">
        <v>66</v>
      </c>
      <c r="G583" s="12" t="s">
        <v>68</v>
      </c>
      <c r="H583" s="12">
        <v>1501402</v>
      </c>
      <c r="I583" s="13">
        <v>45912.511585648201</v>
      </c>
      <c r="J583" s="12" t="s">
        <v>127</v>
      </c>
      <c r="K583" s="12" t="s">
        <v>135</v>
      </c>
      <c r="L583" s="14"/>
      <c r="M583" s="14">
        <f t="shared" si="9"/>
        <v>0</v>
      </c>
      <c r="N583" s="7" t="s">
        <v>707</v>
      </c>
      <c r="O583" s="12"/>
      <c r="P583" s="12" t="s">
        <v>130</v>
      </c>
    </row>
    <row r="584" spans="1:16" ht="23.25" hidden="1" customHeight="1" x14ac:dyDescent="0.35">
      <c r="A584" s="12">
        <v>8584</v>
      </c>
      <c r="B584" s="12" t="s">
        <v>100</v>
      </c>
      <c r="C584" s="12" t="s">
        <v>113</v>
      </c>
      <c r="D584" s="12" t="s">
        <v>114</v>
      </c>
      <c r="E584" s="12" t="s">
        <v>134</v>
      </c>
      <c r="F584" s="12" t="s">
        <v>66</v>
      </c>
      <c r="G584" s="12" t="s">
        <v>68</v>
      </c>
      <c r="H584" s="12">
        <v>1501402</v>
      </c>
      <c r="I584" s="13">
        <v>45912.511585648201</v>
      </c>
      <c r="J584" s="12" t="s">
        <v>127</v>
      </c>
      <c r="K584" s="12" t="s">
        <v>688</v>
      </c>
      <c r="L584" s="14"/>
      <c r="M584" s="14" t="str">
        <f t="shared" si="9"/>
        <v/>
      </c>
      <c r="N584" s="7" t="s">
        <v>708</v>
      </c>
      <c r="O584" s="12"/>
      <c r="P584" s="12" t="s">
        <v>130</v>
      </c>
    </row>
    <row r="585" spans="1:16" ht="23.25" hidden="1" customHeight="1" x14ac:dyDescent="0.35">
      <c r="A585" s="12">
        <v>5361</v>
      </c>
      <c r="B585" s="12" t="s">
        <v>100</v>
      </c>
      <c r="C585" s="12" t="s">
        <v>101</v>
      </c>
      <c r="D585" s="12" t="s">
        <v>102</v>
      </c>
      <c r="E585" s="12" t="s">
        <v>126</v>
      </c>
      <c r="F585" s="12" t="s">
        <v>66</v>
      </c>
      <c r="G585" s="12" t="s">
        <v>69</v>
      </c>
      <c r="H585" s="12">
        <v>1400100</v>
      </c>
      <c r="I585" s="13">
        <v>45888.597708333298</v>
      </c>
      <c r="J585" s="12" t="s">
        <v>127</v>
      </c>
      <c r="K585" s="12" t="s">
        <v>135</v>
      </c>
      <c r="L585" s="14"/>
      <c r="M585" s="14">
        <f t="shared" si="9"/>
        <v>0</v>
      </c>
      <c r="N585" s="7" t="s">
        <v>709</v>
      </c>
      <c r="O585" s="12"/>
      <c r="P585" s="12" t="s">
        <v>130</v>
      </c>
    </row>
    <row r="586" spans="1:16" ht="23.25" hidden="1" customHeight="1" x14ac:dyDescent="0.35">
      <c r="A586" s="12">
        <v>5342</v>
      </c>
      <c r="B586" s="12" t="s">
        <v>100</v>
      </c>
      <c r="C586" s="12" t="s">
        <v>101</v>
      </c>
      <c r="D586" s="12" t="s">
        <v>102</v>
      </c>
      <c r="E586" s="12" t="s">
        <v>131</v>
      </c>
      <c r="F586" s="12" t="s">
        <v>66</v>
      </c>
      <c r="G586" s="12" t="s">
        <v>69</v>
      </c>
      <c r="H586" s="12">
        <v>1400100</v>
      </c>
      <c r="I586" s="13">
        <v>45888.597708333298</v>
      </c>
      <c r="J586" s="12" t="s">
        <v>127</v>
      </c>
      <c r="K586" s="12" t="s">
        <v>135</v>
      </c>
      <c r="L586" s="14"/>
      <c r="M586" s="14">
        <f t="shared" si="9"/>
        <v>0</v>
      </c>
      <c r="N586" s="7" t="s">
        <v>709</v>
      </c>
      <c r="O586" s="12"/>
      <c r="P586" s="12" t="s">
        <v>130</v>
      </c>
    </row>
    <row r="587" spans="1:16" ht="23.25" hidden="1" customHeight="1" x14ac:dyDescent="0.35">
      <c r="A587" s="12">
        <v>5362</v>
      </c>
      <c r="B587" s="12" t="s">
        <v>100</v>
      </c>
      <c r="C587" s="12" t="s">
        <v>101</v>
      </c>
      <c r="D587" s="12" t="s">
        <v>102</v>
      </c>
      <c r="E587" s="12" t="s">
        <v>134</v>
      </c>
      <c r="F587" s="12" t="s">
        <v>66</v>
      </c>
      <c r="G587" s="12" t="s">
        <v>69</v>
      </c>
      <c r="H587" s="12">
        <v>1400100</v>
      </c>
      <c r="I587" s="13">
        <v>45888.597708333298</v>
      </c>
      <c r="J587" s="12" t="s">
        <v>127</v>
      </c>
      <c r="K587" s="12" t="s">
        <v>135</v>
      </c>
      <c r="L587" s="14"/>
      <c r="M587" s="14">
        <f t="shared" si="9"/>
        <v>0</v>
      </c>
      <c r="N587" s="7" t="s">
        <v>709</v>
      </c>
      <c r="O587" s="12"/>
      <c r="P587" s="12" t="s">
        <v>130</v>
      </c>
    </row>
    <row r="588" spans="1:16" ht="23.25" hidden="1" customHeight="1" x14ac:dyDescent="0.35">
      <c r="A588" s="12">
        <v>5363</v>
      </c>
      <c r="B588" s="12" t="s">
        <v>100</v>
      </c>
      <c r="C588" s="12" t="s">
        <v>103</v>
      </c>
      <c r="D588" s="12" t="s">
        <v>104</v>
      </c>
      <c r="E588" s="12" t="s">
        <v>126</v>
      </c>
      <c r="F588" s="12" t="s">
        <v>66</v>
      </c>
      <c r="G588" s="12" t="s">
        <v>69</v>
      </c>
      <c r="H588" s="12">
        <v>1400100</v>
      </c>
      <c r="I588" s="13">
        <v>45888.597708333298</v>
      </c>
      <c r="J588" s="12" t="s">
        <v>127</v>
      </c>
      <c r="K588" s="12" t="s">
        <v>135</v>
      </c>
      <c r="L588" s="14"/>
      <c r="M588" s="14">
        <f t="shared" si="9"/>
        <v>0</v>
      </c>
      <c r="N588" s="7" t="s">
        <v>710</v>
      </c>
      <c r="O588" s="12"/>
      <c r="P588" s="12" t="s">
        <v>130</v>
      </c>
    </row>
    <row r="589" spans="1:16" ht="23.25" hidden="1" customHeight="1" x14ac:dyDescent="0.35">
      <c r="A589" s="12">
        <v>5364</v>
      </c>
      <c r="B589" s="12" t="s">
        <v>100</v>
      </c>
      <c r="C589" s="12" t="s">
        <v>103</v>
      </c>
      <c r="D589" s="12" t="s">
        <v>104</v>
      </c>
      <c r="E589" s="12" t="s">
        <v>131</v>
      </c>
      <c r="F589" s="12" t="s">
        <v>66</v>
      </c>
      <c r="G589" s="12" t="s">
        <v>69</v>
      </c>
      <c r="H589" s="12">
        <v>1400100</v>
      </c>
      <c r="I589" s="13">
        <v>45888.597708333298</v>
      </c>
      <c r="J589" s="12" t="s">
        <v>127</v>
      </c>
      <c r="K589" s="12" t="s">
        <v>135</v>
      </c>
      <c r="L589" s="14"/>
      <c r="M589" s="14">
        <f t="shared" si="9"/>
        <v>0</v>
      </c>
      <c r="N589" s="7" t="s">
        <v>710</v>
      </c>
      <c r="O589" s="12"/>
      <c r="P589" s="12" t="s">
        <v>130</v>
      </c>
    </row>
    <row r="590" spans="1:16" ht="23.25" hidden="1" customHeight="1" x14ac:dyDescent="0.35">
      <c r="A590" s="12">
        <v>5461</v>
      </c>
      <c r="B590" s="12" t="s">
        <v>100</v>
      </c>
      <c r="C590" s="12" t="s">
        <v>103</v>
      </c>
      <c r="D590" s="12" t="s">
        <v>104</v>
      </c>
      <c r="E590" s="12" t="s">
        <v>134</v>
      </c>
      <c r="F590" s="12" t="s">
        <v>66</v>
      </c>
      <c r="G590" s="12" t="s">
        <v>69</v>
      </c>
      <c r="H590" s="12">
        <v>1400100</v>
      </c>
      <c r="I590" s="13">
        <v>45888.597708333298</v>
      </c>
      <c r="J590" s="12" t="s">
        <v>127</v>
      </c>
      <c r="K590" s="12" t="s">
        <v>135</v>
      </c>
      <c r="L590" s="14"/>
      <c r="M590" s="14">
        <f t="shared" si="9"/>
        <v>0</v>
      </c>
      <c r="N590" s="7" t="s">
        <v>710</v>
      </c>
      <c r="O590" s="12"/>
      <c r="P590" s="12" t="s">
        <v>130</v>
      </c>
    </row>
    <row r="591" spans="1:16" ht="23.25" hidden="1" customHeight="1" x14ac:dyDescent="0.35">
      <c r="A591" s="12">
        <v>5462</v>
      </c>
      <c r="B591" s="12" t="s">
        <v>100</v>
      </c>
      <c r="C591" s="12" t="s">
        <v>105</v>
      </c>
      <c r="D591" s="12" t="s">
        <v>106</v>
      </c>
      <c r="E591" s="12" t="s">
        <v>126</v>
      </c>
      <c r="F591" s="12" t="s">
        <v>66</v>
      </c>
      <c r="G591" s="12" t="s">
        <v>69</v>
      </c>
      <c r="H591" s="12">
        <v>1400100</v>
      </c>
      <c r="I591" s="13">
        <v>45888.597708333298</v>
      </c>
      <c r="J591" s="12" t="s">
        <v>127</v>
      </c>
      <c r="K591" s="12" t="s">
        <v>135</v>
      </c>
      <c r="L591" s="14"/>
      <c r="M591" s="14">
        <f t="shared" si="9"/>
        <v>0</v>
      </c>
      <c r="N591" s="7" t="s">
        <v>711</v>
      </c>
      <c r="O591" s="12"/>
      <c r="P591" s="12" t="s">
        <v>130</v>
      </c>
    </row>
    <row r="592" spans="1:16" ht="23.25" hidden="1" customHeight="1" x14ac:dyDescent="0.35">
      <c r="A592" s="12">
        <v>5463</v>
      </c>
      <c r="B592" s="12" t="s">
        <v>100</v>
      </c>
      <c r="C592" s="12" t="s">
        <v>105</v>
      </c>
      <c r="D592" s="12" t="s">
        <v>106</v>
      </c>
      <c r="E592" s="12" t="s">
        <v>131</v>
      </c>
      <c r="F592" s="12" t="s">
        <v>66</v>
      </c>
      <c r="G592" s="12" t="s">
        <v>69</v>
      </c>
      <c r="H592" s="12">
        <v>1400100</v>
      </c>
      <c r="I592" s="13">
        <v>45888.597708333298</v>
      </c>
      <c r="J592" s="12" t="s">
        <v>127</v>
      </c>
      <c r="K592" s="12" t="s">
        <v>135</v>
      </c>
      <c r="L592" s="14"/>
      <c r="M592" s="14">
        <f t="shared" si="9"/>
        <v>0</v>
      </c>
      <c r="N592" s="7" t="s">
        <v>711</v>
      </c>
      <c r="O592" s="12"/>
      <c r="P592" s="12" t="s">
        <v>130</v>
      </c>
    </row>
    <row r="593" spans="1:16" ht="34.5" hidden="1" customHeight="1" x14ac:dyDescent="0.35">
      <c r="A593" s="12">
        <v>5464</v>
      </c>
      <c r="B593" s="12" t="s">
        <v>100</v>
      </c>
      <c r="C593" s="12" t="s">
        <v>107</v>
      </c>
      <c r="D593" s="12" t="s">
        <v>108</v>
      </c>
      <c r="E593" s="12" t="s">
        <v>126</v>
      </c>
      <c r="F593" s="12" t="s">
        <v>66</v>
      </c>
      <c r="G593" s="12" t="s">
        <v>69</v>
      </c>
      <c r="H593" s="12">
        <v>1400100</v>
      </c>
      <c r="I593" s="13">
        <v>45888.597708333298</v>
      </c>
      <c r="J593" s="12" t="s">
        <v>127</v>
      </c>
      <c r="K593" s="12" t="s">
        <v>135</v>
      </c>
      <c r="L593" s="14"/>
      <c r="M593" s="14">
        <f t="shared" si="9"/>
        <v>0</v>
      </c>
      <c r="N593" s="7" t="s">
        <v>712</v>
      </c>
      <c r="O593" s="12"/>
      <c r="P593" s="12" t="s">
        <v>130</v>
      </c>
    </row>
    <row r="594" spans="1:16" ht="34.5" hidden="1" customHeight="1" x14ac:dyDescent="0.35">
      <c r="A594" s="12">
        <v>5454</v>
      </c>
      <c r="B594" s="12" t="s">
        <v>100</v>
      </c>
      <c r="C594" s="12" t="s">
        <v>107</v>
      </c>
      <c r="D594" s="12" t="s">
        <v>108</v>
      </c>
      <c r="E594" s="12" t="s">
        <v>131</v>
      </c>
      <c r="F594" s="12" t="s">
        <v>66</v>
      </c>
      <c r="G594" s="12" t="s">
        <v>69</v>
      </c>
      <c r="H594" s="12">
        <v>1400100</v>
      </c>
      <c r="I594" s="13">
        <v>45888.597708333298</v>
      </c>
      <c r="J594" s="12" t="s">
        <v>127</v>
      </c>
      <c r="K594" s="12" t="s">
        <v>135</v>
      </c>
      <c r="L594" s="14"/>
      <c r="M594" s="14">
        <f t="shared" si="9"/>
        <v>0</v>
      </c>
      <c r="N594" s="7" t="s">
        <v>713</v>
      </c>
      <c r="O594" s="12"/>
      <c r="P594" s="12" t="s">
        <v>130</v>
      </c>
    </row>
    <row r="595" spans="1:16" ht="34.5" hidden="1" customHeight="1" x14ac:dyDescent="0.35">
      <c r="A595" s="12">
        <v>5456</v>
      </c>
      <c r="B595" s="12" t="s">
        <v>100</v>
      </c>
      <c r="C595" s="12" t="s">
        <v>107</v>
      </c>
      <c r="D595" s="12" t="s">
        <v>108</v>
      </c>
      <c r="E595" s="12" t="s">
        <v>134</v>
      </c>
      <c r="F595" s="12" t="s">
        <v>66</v>
      </c>
      <c r="G595" s="12" t="s">
        <v>69</v>
      </c>
      <c r="H595" s="12">
        <v>1400100</v>
      </c>
      <c r="I595" s="13">
        <v>45888.597708333298</v>
      </c>
      <c r="J595" s="12" t="s">
        <v>127</v>
      </c>
      <c r="K595" s="12" t="s">
        <v>135</v>
      </c>
      <c r="L595" s="14"/>
      <c r="M595" s="14">
        <f t="shared" si="9"/>
        <v>0</v>
      </c>
      <c r="N595" s="7" t="s">
        <v>714</v>
      </c>
      <c r="O595" s="12"/>
      <c r="P595" s="12" t="s">
        <v>130</v>
      </c>
    </row>
    <row r="596" spans="1:16" ht="34.5" hidden="1" customHeight="1" x14ac:dyDescent="0.35">
      <c r="A596" s="12">
        <v>5466</v>
      </c>
      <c r="B596" s="12" t="s">
        <v>100</v>
      </c>
      <c r="C596" s="12" t="s">
        <v>109</v>
      </c>
      <c r="D596" s="12" t="s">
        <v>110</v>
      </c>
      <c r="E596" s="12" t="s">
        <v>126</v>
      </c>
      <c r="F596" s="12" t="s">
        <v>66</v>
      </c>
      <c r="G596" s="12" t="s">
        <v>69</v>
      </c>
      <c r="H596" s="12">
        <v>1400100</v>
      </c>
      <c r="I596" s="13">
        <v>45888.597708333298</v>
      </c>
      <c r="J596" s="12" t="s">
        <v>127</v>
      </c>
      <c r="K596" s="12" t="s">
        <v>135</v>
      </c>
      <c r="L596" s="14"/>
      <c r="M596" s="14">
        <f t="shared" si="9"/>
        <v>0</v>
      </c>
      <c r="N596" s="7" t="s">
        <v>715</v>
      </c>
      <c r="O596" s="12"/>
      <c r="P596" s="12" t="s">
        <v>130</v>
      </c>
    </row>
    <row r="597" spans="1:16" ht="34.5" hidden="1" customHeight="1" x14ac:dyDescent="0.35">
      <c r="A597" s="12">
        <v>5457</v>
      </c>
      <c r="B597" s="12" t="s">
        <v>100</v>
      </c>
      <c r="C597" s="12" t="s">
        <v>109</v>
      </c>
      <c r="D597" s="12" t="s">
        <v>110</v>
      </c>
      <c r="E597" s="12" t="s">
        <v>131</v>
      </c>
      <c r="F597" s="12" t="s">
        <v>66</v>
      </c>
      <c r="G597" s="12" t="s">
        <v>69</v>
      </c>
      <c r="H597" s="12">
        <v>1400100</v>
      </c>
      <c r="I597" s="13">
        <v>45888.597708333298</v>
      </c>
      <c r="J597" s="12" t="s">
        <v>127</v>
      </c>
      <c r="K597" s="12" t="s">
        <v>135</v>
      </c>
      <c r="L597" s="14"/>
      <c r="M597" s="14">
        <f t="shared" si="9"/>
        <v>0</v>
      </c>
      <c r="N597" s="7" t="s">
        <v>715</v>
      </c>
      <c r="O597" s="12"/>
      <c r="P597" s="12" t="s">
        <v>130</v>
      </c>
    </row>
    <row r="598" spans="1:16" ht="34.5" hidden="1" customHeight="1" x14ac:dyDescent="0.35">
      <c r="A598" s="12">
        <v>5467</v>
      </c>
      <c r="B598" s="12" t="s">
        <v>100</v>
      </c>
      <c r="C598" s="12" t="s">
        <v>111</v>
      </c>
      <c r="D598" s="12" t="s">
        <v>112</v>
      </c>
      <c r="E598" s="12" t="s">
        <v>126</v>
      </c>
      <c r="F598" s="12" t="s">
        <v>66</v>
      </c>
      <c r="G598" s="12" t="s">
        <v>69</v>
      </c>
      <c r="H598" s="12">
        <v>1400100</v>
      </c>
      <c r="I598" s="13">
        <v>45888.597708333298</v>
      </c>
      <c r="J598" s="12" t="s">
        <v>127</v>
      </c>
      <c r="K598" s="12" t="s">
        <v>135</v>
      </c>
      <c r="L598" s="14"/>
      <c r="M598" s="14">
        <f t="shared" si="9"/>
        <v>0</v>
      </c>
      <c r="N598" s="7" t="s">
        <v>716</v>
      </c>
      <c r="O598" s="12"/>
      <c r="P598" s="12" t="s">
        <v>130</v>
      </c>
    </row>
    <row r="599" spans="1:16" ht="34.5" hidden="1" customHeight="1" x14ac:dyDescent="0.35">
      <c r="A599" s="12">
        <v>5468</v>
      </c>
      <c r="B599" s="12" t="s">
        <v>100</v>
      </c>
      <c r="C599" s="12" t="s">
        <v>111</v>
      </c>
      <c r="D599" s="12" t="s">
        <v>112</v>
      </c>
      <c r="E599" s="12" t="s">
        <v>131</v>
      </c>
      <c r="F599" s="12" t="s">
        <v>66</v>
      </c>
      <c r="G599" s="12" t="s">
        <v>69</v>
      </c>
      <c r="H599" s="12">
        <v>1400100</v>
      </c>
      <c r="I599" s="13">
        <v>45888.597708333298</v>
      </c>
      <c r="J599" s="12" t="s">
        <v>127</v>
      </c>
      <c r="K599" s="12" t="s">
        <v>135</v>
      </c>
      <c r="L599" s="14"/>
      <c r="M599" s="14">
        <f t="shared" si="9"/>
        <v>0</v>
      </c>
      <c r="N599" s="7" t="s">
        <v>716</v>
      </c>
      <c r="O599" s="12"/>
      <c r="P599" s="12" t="s">
        <v>130</v>
      </c>
    </row>
    <row r="600" spans="1:16" ht="34.5" hidden="1" customHeight="1" x14ac:dyDescent="0.35">
      <c r="A600" s="12">
        <v>5469</v>
      </c>
      <c r="B600" s="12" t="s">
        <v>100</v>
      </c>
      <c r="C600" s="12" t="s">
        <v>111</v>
      </c>
      <c r="D600" s="12" t="s">
        <v>112</v>
      </c>
      <c r="E600" s="12" t="s">
        <v>134</v>
      </c>
      <c r="F600" s="12" t="s">
        <v>66</v>
      </c>
      <c r="G600" s="12" t="s">
        <v>69</v>
      </c>
      <c r="H600" s="12">
        <v>1400100</v>
      </c>
      <c r="I600" s="13">
        <v>45888.597708333298</v>
      </c>
      <c r="J600" s="12" t="s">
        <v>127</v>
      </c>
      <c r="K600" s="12" t="s">
        <v>135</v>
      </c>
      <c r="L600" s="14"/>
      <c r="M600" s="14">
        <f t="shared" si="9"/>
        <v>0</v>
      </c>
      <c r="N600" s="7" t="s">
        <v>717</v>
      </c>
      <c r="O600" s="12"/>
      <c r="P600" s="12" t="s">
        <v>130</v>
      </c>
    </row>
    <row r="601" spans="1:16" ht="45.75" hidden="1" customHeight="1" x14ac:dyDescent="0.35">
      <c r="A601" s="12">
        <v>5470</v>
      </c>
      <c r="B601" s="12" t="s">
        <v>100</v>
      </c>
      <c r="C601" s="12" t="s">
        <v>113</v>
      </c>
      <c r="D601" s="12" t="s">
        <v>114</v>
      </c>
      <c r="E601" s="12" t="s">
        <v>126</v>
      </c>
      <c r="F601" s="12" t="s">
        <v>66</v>
      </c>
      <c r="G601" s="12" t="s">
        <v>69</v>
      </c>
      <c r="H601" s="12">
        <v>1400100</v>
      </c>
      <c r="I601" s="13">
        <v>45888.597708333298</v>
      </c>
      <c r="J601" s="12" t="s">
        <v>127</v>
      </c>
      <c r="K601" s="12" t="s">
        <v>142</v>
      </c>
      <c r="L601" s="14">
        <v>0.33300000000000002</v>
      </c>
      <c r="M601" s="14">
        <f t="shared" si="9"/>
        <v>0.33300000000000002</v>
      </c>
      <c r="N601" s="7" t="s">
        <v>718</v>
      </c>
      <c r="O601" s="12"/>
      <c r="P601" s="12" t="s">
        <v>130</v>
      </c>
    </row>
    <row r="602" spans="1:16" ht="23.25" hidden="1" customHeight="1" x14ac:dyDescent="0.35">
      <c r="A602" s="12">
        <v>5458</v>
      </c>
      <c r="B602" s="12" t="s">
        <v>100</v>
      </c>
      <c r="C602" s="12" t="s">
        <v>113</v>
      </c>
      <c r="D602" s="12" t="s">
        <v>114</v>
      </c>
      <c r="E602" s="12" t="s">
        <v>131</v>
      </c>
      <c r="F602" s="12" t="s">
        <v>66</v>
      </c>
      <c r="G602" s="12" t="s">
        <v>69</v>
      </c>
      <c r="H602" s="12">
        <v>1400100</v>
      </c>
      <c r="I602" s="13">
        <v>45888.597708333298</v>
      </c>
      <c r="J602" s="12" t="s">
        <v>127</v>
      </c>
      <c r="K602" s="12" t="s">
        <v>135</v>
      </c>
      <c r="L602" s="14"/>
      <c r="M602" s="14">
        <f t="shared" si="9"/>
        <v>0</v>
      </c>
      <c r="N602" s="7" t="s">
        <v>719</v>
      </c>
      <c r="O602" s="12"/>
      <c r="P602" s="12" t="s">
        <v>130</v>
      </c>
    </row>
    <row r="603" spans="1:16" ht="15" hidden="1" customHeight="1" x14ac:dyDescent="0.35">
      <c r="A603" s="12">
        <v>5459</v>
      </c>
      <c r="B603" s="12" t="s">
        <v>100</v>
      </c>
      <c r="C603" s="12" t="s">
        <v>113</v>
      </c>
      <c r="D603" s="12" t="s">
        <v>114</v>
      </c>
      <c r="E603" s="12" t="s">
        <v>134</v>
      </c>
      <c r="F603" s="12" t="s">
        <v>66</v>
      </c>
      <c r="G603" s="12" t="s">
        <v>69</v>
      </c>
      <c r="H603" s="12">
        <v>1400100</v>
      </c>
      <c r="I603" s="13">
        <v>45888.597708333298</v>
      </c>
      <c r="J603" s="12" t="s">
        <v>127</v>
      </c>
      <c r="K603" s="12" t="s">
        <v>688</v>
      </c>
      <c r="L603" s="14"/>
      <c r="M603" s="14" t="str">
        <f t="shared" si="9"/>
        <v/>
      </c>
      <c r="N603" s="7" t="s">
        <v>720</v>
      </c>
      <c r="O603" s="12"/>
      <c r="P603" s="12" t="s">
        <v>130</v>
      </c>
    </row>
    <row r="604" spans="1:16" ht="124.5" hidden="1" customHeight="1" x14ac:dyDescent="0.35">
      <c r="A604" s="12">
        <v>4497</v>
      </c>
      <c r="B604" s="12" t="s">
        <v>100</v>
      </c>
      <c r="C604" s="12" t="s">
        <v>101</v>
      </c>
      <c r="D604" s="12" t="s">
        <v>102</v>
      </c>
      <c r="E604" s="12" t="s">
        <v>126</v>
      </c>
      <c r="F604" s="12" t="s">
        <v>66</v>
      </c>
      <c r="G604" s="12" t="s">
        <v>70</v>
      </c>
      <c r="H604" s="12">
        <v>5002704</v>
      </c>
      <c r="I604" s="13">
        <v>45899.601481481499</v>
      </c>
      <c r="J604" s="12" t="s">
        <v>127</v>
      </c>
      <c r="K604" s="12" t="s">
        <v>142</v>
      </c>
      <c r="L604" s="14">
        <v>0.33300000000000002</v>
      </c>
      <c r="M604" s="14">
        <f t="shared" si="9"/>
        <v>0.33300000000000002</v>
      </c>
      <c r="N604" s="7" t="s">
        <v>721</v>
      </c>
      <c r="O604" s="12"/>
      <c r="P604" s="12" t="s">
        <v>130</v>
      </c>
    </row>
    <row r="605" spans="1:16" ht="202.5" hidden="1" customHeight="1" x14ac:dyDescent="0.35">
      <c r="A605" s="12">
        <v>5501</v>
      </c>
      <c r="B605" s="12" t="s">
        <v>100</v>
      </c>
      <c r="C605" s="12" t="s">
        <v>101</v>
      </c>
      <c r="D605" s="12" t="s">
        <v>102</v>
      </c>
      <c r="E605" s="12" t="s">
        <v>131</v>
      </c>
      <c r="F605" s="12" t="s">
        <v>66</v>
      </c>
      <c r="G605" s="12" t="s">
        <v>70</v>
      </c>
      <c r="H605" s="12">
        <v>5002704</v>
      </c>
      <c r="I605" s="13">
        <v>45899.601481481499</v>
      </c>
      <c r="J605" s="12" t="s">
        <v>127</v>
      </c>
      <c r="K605" s="12" t="s">
        <v>142</v>
      </c>
      <c r="L605" s="14">
        <v>0.33300000000000002</v>
      </c>
      <c r="M605" s="14">
        <f t="shared" si="9"/>
        <v>0.33300000000000002</v>
      </c>
      <c r="N605" s="7" t="s">
        <v>722</v>
      </c>
      <c r="O605" s="12"/>
      <c r="P605" s="12" t="s">
        <v>130</v>
      </c>
    </row>
    <row r="606" spans="1:16" ht="180" hidden="1" customHeight="1" x14ac:dyDescent="0.35">
      <c r="A606" s="12">
        <v>5522</v>
      </c>
      <c r="B606" s="12" t="s">
        <v>100</v>
      </c>
      <c r="C606" s="12" t="s">
        <v>101</v>
      </c>
      <c r="D606" s="12" t="s">
        <v>102</v>
      </c>
      <c r="E606" s="12" t="s">
        <v>134</v>
      </c>
      <c r="F606" s="12" t="s">
        <v>66</v>
      </c>
      <c r="G606" s="12" t="s">
        <v>70</v>
      </c>
      <c r="H606" s="12">
        <v>5002704</v>
      </c>
      <c r="I606" s="13">
        <v>45899.601481481499</v>
      </c>
      <c r="J606" s="12" t="s">
        <v>127</v>
      </c>
      <c r="K606" s="12" t="s">
        <v>142</v>
      </c>
      <c r="L606" s="14">
        <v>0.33300000000000002</v>
      </c>
      <c r="M606" s="14">
        <f t="shared" si="9"/>
        <v>0.33300000000000002</v>
      </c>
      <c r="N606" s="7" t="s">
        <v>723</v>
      </c>
      <c r="O606" s="12"/>
      <c r="P606" s="12" t="s">
        <v>130</v>
      </c>
    </row>
    <row r="607" spans="1:16" ht="90.75" hidden="1" customHeight="1" x14ac:dyDescent="0.35">
      <c r="A607" s="12">
        <v>5444</v>
      </c>
      <c r="B607" s="12" t="s">
        <v>100</v>
      </c>
      <c r="C607" s="12" t="s">
        <v>103</v>
      </c>
      <c r="D607" s="12" t="s">
        <v>104</v>
      </c>
      <c r="E607" s="12" t="s">
        <v>126</v>
      </c>
      <c r="F607" s="12" t="s">
        <v>66</v>
      </c>
      <c r="G607" s="12" t="s">
        <v>70</v>
      </c>
      <c r="H607" s="12">
        <v>5002704</v>
      </c>
      <c r="I607" s="13">
        <v>45899.601481481499</v>
      </c>
      <c r="J607" s="12" t="s">
        <v>127</v>
      </c>
      <c r="K607" s="12" t="s">
        <v>132</v>
      </c>
      <c r="L607" s="14">
        <v>0.66600000000000004</v>
      </c>
      <c r="M607" s="14">
        <f t="shared" si="9"/>
        <v>0.66600000000000004</v>
      </c>
      <c r="N607" s="7" t="s">
        <v>724</v>
      </c>
      <c r="O607" s="12"/>
      <c r="P607" s="12" t="s">
        <v>130</v>
      </c>
    </row>
    <row r="608" spans="1:16" ht="135.75" hidden="1" customHeight="1" x14ac:dyDescent="0.35">
      <c r="A608" s="12">
        <v>5583</v>
      </c>
      <c r="B608" s="12" t="s">
        <v>100</v>
      </c>
      <c r="C608" s="12" t="s">
        <v>103</v>
      </c>
      <c r="D608" s="12" t="s">
        <v>104</v>
      </c>
      <c r="E608" s="12" t="s">
        <v>131</v>
      </c>
      <c r="F608" s="12" t="s">
        <v>66</v>
      </c>
      <c r="G608" s="12" t="s">
        <v>70</v>
      </c>
      <c r="H608" s="12">
        <v>5002704</v>
      </c>
      <c r="I608" s="13">
        <v>45899.601481481499</v>
      </c>
      <c r="J608" s="12" t="s">
        <v>127</v>
      </c>
      <c r="K608" s="12" t="s">
        <v>142</v>
      </c>
      <c r="L608" s="14">
        <v>0.33300000000000002</v>
      </c>
      <c r="M608" s="14">
        <f t="shared" si="9"/>
        <v>0.33300000000000002</v>
      </c>
      <c r="N608" s="7" t="s">
        <v>725</v>
      </c>
      <c r="O608" s="12"/>
      <c r="P608" s="12" t="s">
        <v>130</v>
      </c>
    </row>
    <row r="609" spans="1:16" ht="57" hidden="1" customHeight="1" x14ac:dyDescent="0.35">
      <c r="A609" s="12">
        <v>5562</v>
      </c>
      <c r="B609" s="12" t="s">
        <v>100</v>
      </c>
      <c r="C609" s="12" t="s">
        <v>103</v>
      </c>
      <c r="D609" s="12" t="s">
        <v>104</v>
      </c>
      <c r="E609" s="12" t="s">
        <v>134</v>
      </c>
      <c r="F609" s="12" t="s">
        <v>66</v>
      </c>
      <c r="G609" s="12" t="s">
        <v>70</v>
      </c>
      <c r="H609" s="12">
        <v>5002704</v>
      </c>
      <c r="I609" s="13">
        <v>45899.601481481499</v>
      </c>
      <c r="J609" s="12" t="s">
        <v>127</v>
      </c>
      <c r="K609" s="12" t="s">
        <v>142</v>
      </c>
      <c r="L609" s="14">
        <v>0.33300000000000002</v>
      </c>
      <c r="M609" s="14">
        <f t="shared" si="9"/>
        <v>0.33300000000000002</v>
      </c>
      <c r="N609" s="7" t="s">
        <v>726</v>
      </c>
      <c r="O609" s="12"/>
      <c r="P609" s="12" t="s">
        <v>130</v>
      </c>
    </row>
    <row r="610" spans="1:16" ht="79.5" hidden="1" customHeight="1" x14ac:dyDescent="0.35">
      <c r="A610" s="12">
        <v>5603</v>
      </c>
      <c r="B610" s="12" t="s">
        <v>100</v>
      </c>
      <c r="C610" s="12" t="s">
        <v>105</v>
      </c>
      <c r="D610" s="12" t="s">
        <v>106</v>
      </c>
      <c r="E610" s="12" t="s">
        <v>126</v>
      </c>
      <c r="F610" s="12" t="s">
        <v>66</v>
      </c>
      <c r="G610" s="12" t="s">
        <v>70</v>
      </c>
      <c r="H610" s="12">
        <v>5002704</v>
      </c>
      <c r="I610" s="13">
        <v>45899.601481481499</v>
      </c>
      <c r="J610" s="12" t="s">
        <v>127</v>
      </c>
      <c r="K610" s="12" t="s">
        <v>142</v>
      </c>
      <c r="L610" s="14">
        <v>0.33300000000000002</v>
      </c>
      <c r="M610" s="14">
        <f t="shared" si="9"/>
        <v>0.33300000000000002</v>
      </c>
      <c r="N610" s="7" t="s">
        <v>727</v>
      </c>
      <c r="O610" s="12"/>
      <c r="P610" s="12" t="s">
        <v>130</v>
      </c>
    </row>
    <row r="611" spans="1:16" ht="57" hidden="1" customHeight="1" x14ac:dyDescent="0.35">
      <c r="A611" s="12">
        <v>5647</v>
      </c>
      <c r="B611" s="12" t="s">
        <v>100</v>
      </c>
      <c r="C611" s="12" t="s">
        <v>105</v>
      </c>
      <c r="D611" s="12" t="s">
        <v>106</v>
      </c>
      <c r="E611" s="12" t="s">
        <v>131</v>
      </c>
      <c r="F611" s="12" t="s">
        <v>66</v>
      </c>
      <c r="G611" s="12" t="s">
        <v>70</v>
      </c>
      <c r="H611" s="12">
        <v>5002704</v>
      </c>
      <c r="I611" s="13">
        <v>45899.601481481499</v>
      </c>
      <c r="J611" s="12" t="s">
        <v>127</v>
      </c>
      <c r="K611" s="12" t="s">
        <v>142</v>
      </c>
      <c r="L611" s="14">
        <v>0.33300000000000002</v>
      </c>
      <c r="M611" s="14">
        <f t="shared" si="9"/>
        <v>0.33300000000000002</v>
      </c>
      <c r="N611" s="7" t="s">
        <v>728</v>
      </c>
      <c r="O611" s="12"/>
      <c r="P611" s="12"/>
    </row>
    <row r="612" spans="1:16" ht="79.5" hidden="1" customHeight="1" x14ac:dyDescent="0.35">
      <c r="A612" s="12">
        <v>5621</v>
      </c>
      <c r="B612" s="12" t="s">
        <v>100</v>
      </c>
      <c r="C612" s="12" t="s">
        <v>107</v>
      </c>
      <c r="D612" s="12" t="s">
        <v>108</v>
      </c>
      <c r="E612" s="12" t="s">
        <v>126</v>
      </c>
      <c r="F612" s="12" t="s">
        <v>66</v>
      </c>
      <c r="G612" s="12" t="s">
        <v>70</v>
      </c>
      <c r="H612" s="12">
        <v>5002704</v>
      </c>
      <c r="I612" s="13">
        <v>45899.601481481499</v>
      </c>
      <c r="J612" s="12" t="s">
        <v>127</v>
      </c>
      <c r="K612" s="12" t="s">
        <v>132</v>
      </c>
      <c r="L612" s="14">
        <v>0.66600000000000004</v>
      </c>
      <c r="M612" s="14">
        <f t="shared" si="9"/>
        <v>0.66600000000000004</v>
      </c>
      <c r="N612" s="7" t="s">
        <v>729</v>
      </c>
      <c r="O612" s="12"/>
      <c r="P612" s="12" t="s">
        <v>130</v>
      </c>
    </row>
    <row r="613" spans="1:16" ht="124.5" hidden="1" customHeight="1" x14ac:dyDescent="0.35">
      <c r="A613" s="12">
        <v>5649</v>
      </c>
      <c r="B613" s="12" t="s">
        <v>100</v>
      </c>
      <c r="C613" s="12" t="s">
        <v>107</v>
      </c>
      <c r="D613" s="12" t="s">
        <v>108</v>
      </c>
      <c r="E613" s="12" t="s">
        <v>131</v>
      </c>
      <c r="F613" s="12" t="s">
        <v>66</v>
      </c>
      <c r="G613" s="12" t="s">
        <v>70</v>
      </c>
      <c r="H613" s="12">
        <v>5002704</v>
      </c>
      <c r="I613" s="13">
        <v>45899.601481481499</v>
      </c>
      <c r="J613" s="12" t="s">
        <v>127</v>
      </c>
      <c r="K613" s="12" t="s">
        <v>142</v>
      </c>
      <c r="L613" s="14">
        <v>0.33300000000000002</v>
      </c>
      <c r="M613" s="14">
        <f t="shared" si="9"/>
        <v>0.33300000000000002</v>
      </c>
      <c r="N613" s="7" t="s">
        <v>730</v>
      </c>
      <c r="O613" s="12"/>
      <c r="P613" s="12" t="s">
        <v>130</v>
      </c>
    </row>
    <row r="614" spans="1:16" ht="90.75" hidden="1" customHeight="1" x14ac:dyDescent="0.35">
      <c r="A614" s="12">
        <v>5650</v>
      </c>
      <c r="B614" s="12" t="s">
        <v>100</v>
      </c>
      <c r="C614" s="12" t="s">
        <v>107</v>
      </c>
      <c r="D614" s="12" t="s">
        <v>108</v>
      </c>
      <c r="E614" s="12" t="s">
        <v>134</v>
      </c>
      <c r="F614" s="12" t="s">
        <v>66</v>
      </c>
      <c r="G614" s="12" t="s">
        <v>70</v>
      </c>
      <c r="H614" s="12">
        <v>5002704</v>
      </c>
      <c r="I614" s="13">
        <v>45899.601481481499</v>
      </c>
      <c r="J614" s="12" t="s">
        <v>127</v>
      </c>
      <c r="K614" s="12" t="s">
        <v>132</v>
      </c>
      <c r="L614" s="14">
        <v>0.66600000000000004</v>
      </c>
      <c r="M614" s="14">
        <f t="shared" si="9"/>
        <v>0.66600000000000004</v>
      </c>
      <c r="N614" s="7" t="s">
        <v>731</v>
      </c>
      <c r="O614" s="12"/>
      <c r="P614" s="12" t="s">
        <v>130</v>
      </c>
    </row>
    <row r="615" spans="1:16" ht="68.25" hidden="1" customHeight="1" x14ac:dyDescent="0.35">
      <c r="A615" s="12">
        <v>5651</v>
      </c>
      <c r="B615" s="12" t="s">
        <v>100</v>
      </c>
      <c r="C615" s="12" t="s">
        <v>109</v>
      </c>
      <c r="D615" s="12" t="s">
        <v>110</v>
      </c>
      <c r="E615" s="12" t="s">
        <v>126</v>
      </c>
      <c r="F615" s="12" t="s">
        <v>66</v>
      </c>
      <c r="G615" s="12" t="s">
        <v>70</v>
      </c>
      <c r="H615" s="12">
        <v>5002704</v>
      </c>
      <c r="I615" s="13">
        <v>45899.601481481499</v>
      </c>
      <c r="J615" s="12" t="s">
        <v>127</v>
      </c>
      <c r="K615" s="12" t="s">
        <v>132</v>
      </c>
      <c r="L615" s="14">
        <v>0.66600000000000004</v>
      </c>
      <c r="M615" s="14">
        <f t="shared" si="9"/>
        <v>0.66600000000000004</v>
      </c>
      <c r="N615" s="7" t="s">
        <v>732</v>
      </c>
      <c r="O615" s="12"/>
      <c r="P615" s="12" t="s">
        <v>130</v>
      </c>
    </row>
    <row r="616" spans="1:16" ht="113.25" hidden="1" customHeight="1" x14ac:dyDescent="0.35">
      <c r="A616" s="12">
        <v>5652</v>
      </c>
      <c r="B616" s="12" t="s">
        <v>100</v>
      </c>
      <c r="C616" s="12" t="s">
        <v>109</v>
      </c>
      <c r="D616" s="12" t="s">
        <v>110</v>
      </c>
      <c r="E616" s="12" t="s">
        <v>131</v>
      </c>
      <c r="F616" s="12" t="s">
        <v>66</v>
      </c>
      <c r="G616" s="12" t="s">
        <v>70</v>
      </c>
      <c r="H616" s="12">
        <v>5002704</v>
      </c>
      <c r="I616" s="13">
        <v>45899.601481481499</v>
      </c>
      <c r="J616" s="12" t="s">
        <v>127</v>
      </c>
      <c r="K616" s="12" t="s">
        <v>132</v>
      </c>
      <c r="L616" s="14">
        <v>0.66600000000000004</v>
      </c>
      <c r="M616" s="14">
        <f t="shared" si="9"/>
        <v>0.66600000000000004</v>
      </c>
      <c r="N616" s="7" t="s">
        <v>733</v>
      </c>
      <c r="O616" s="12"/>
      <c r="P616" s="12" t="s">
        <v>130</v>
      </c>
    </row>
    <row r="617" spans="1:16" ht="113.25" hidden="1" customHeight="1" x14ac:dyDescent="0.35">
      <c r="A617" s="12">
        <v>5744</v>
      </c>
      <c r="B617" s="12" t="s">
        <v>100</v>
      </c>
      <c r="C617" s="12" t="s">
        <v>111</v>
      </c>
      <c r="D617" s="12" t="s">
        <v>112</v>
      </c>
      <c r="E617" s="12" t="s">
        <v>126</v>
      </c>
      <c r="F617" s="12" t="s">
        <v>66</v>
      </c>
      <c r="G617" s="12" t="s">
        <v>70</v>
      </c>
      <c r="H617" s="12">
        <v>5002704</v>
      </c>
      <c r="I617" s="13">
        <v>45899.601481481499</v>
      </c>
      <c r="J617" s="12" t="s">
        <v>127</v>
      </c>
      <c r="K617" s="12" t="s">
        <v>142</v>
      </c>
      <c r="L617" s="14">
        <v>0.33300000000000002</v>
      </c>
      <c r="M617" s="14">
        <f t="shared" si="9"/>
        <v>0.33300000000000002</v>
      </c>
      <c r="N617" s="7" t="s">
        <v>734</v>
      </c>
      <c r="O617" s="12"/>
      <c r="P617" s="12" t="s">
        <v>130</v>
      </c>
    </row>
    <row r="618" spans="1:16" ht="90.75" hidden="1" customHeight="1" x14ac:dyDescent="0.35">
      <c r="A618" s="12">
        <v>5841</v>
      </c>
      <c r="B618" s="12" t="s">
        <v>100</v>
      </c>
      <c r="C618" s="12" t="s">
        <v>111</v>
      </c>
      <c r="D618" s="12" t="s">
        <v>112</v>
      </c>
      <c r="E618" s="12" t="s">
        <v>131</v>
      </c>
      <c r="F618" s="12" t="s">
        <v>66</v>
      </c>
      <c r="G618" s="12" t="s">
        <v>70</v>
      </c>
      <c r="H618" s="12">
        <v>5002704</v>
      </c>
      <c r="I618" s="13">
        <v>45899.601481481499</v>
      </c>
      <c r="J618" s="12" t="s">
        <v>127</v>
      </c>
      <c r="K618" s="12" t="s">
        <v>142</v>
      </c>
      <c r="L618" s="14">
        <v>0.33300000000000002</v>
      </c>
      <c r="M618" s="14">
        <f t="shared" si="9"/>
        <v>0.33300000000000002</v>
      </c>
      <c r="N618" s="7" t="s">
        <v>735</v>
      </c>
      <c r="O618" s="12"/>
      <c r="P618" s="12" t="s">
        <v>130</v>
      </c>
    </row>
    <row r="619" spans="1:16" ht="45.75" hidden="1" customHeight="1" x14ac:dyDescent="0.35">
      <c r="A619" s="12">
        <v>5842</v>
      </c>
      <c r="B619" s="12" t="s">
        <v>100</v>
      </c>
      <c r="C619" s="12" t="s">
        <v>111</v>
      </c>
      <c r="D619" s="12" t="s">
        <v>112</v>
      </c>
      <c r="E619" s="12" t="s">
        <v>134</v>
      </c>
      <c r="F619" s="12" t="s">
        <v>66</v>
      </c>
      <c r="G619" s="12" t="s">
        <v>70</v>
      </c>
      <c r="H619" s="12">
        <v>5002704</v>
      </c>
      <c r="I619" s="13">
        <v>45899.601481481499</v>
      </c>
      <c r="J619" s="12" t="s">
        <v>127</v>
      </c>
      <c r="K619" s="12" t="s">
        <v>135</v>
      </c>
      <c r="L619" s="14"/>
      <c r="M619" s="14">
        <f t="shared" si="9"/>
        <v>0</v>
      </c>
      <c r="N619" s="7" t="s">
        <v>736</v>
      </c>
      <c r="O619" s="12"/>
      <c r="P619" s="12" t="s">
        <v>130</v>
      </c>
    </row>
    <row r="620" spans="1:16" ht="45.75" hidden="1" customHeight="1" x14ac:dyDescent="0.35">
      <c r="A620" s="12">
        <v>5946</v>
      </c>
      <c r="B620" s="12" t="s">
        <v>100</v>
      </c>
      <c r="C620" s="12" t="s">
        <v>113</v>
      </c>
      <c r="D620" s="12" t="s">
        <v>114</v>
      </c>
      <c r="E620" s="12" t="s">
        <v>126</v>
      </c>
      <c r="F620" s="12" t="s">
        <v>66</v>
      </c>
      <c r="G620" s="12" t="s">
        <v>70</v>
      </c>
      <c r="H620" s="12">
        <v>5002704</v>
      </c>
      <c r="I620" s="13">
        <v>45899.601481481499</v>
      </c>
      <c r="J620" s="12" t="s">
        <v>127</v>
      </c>
      <c r="K620" s="12" t="s">
        <v>132</v>
      </c>
      <c r="L620" s="14">
        <v>0.66600000000000004</v>
      </c>
      <c r="M620" s="14">
        <f t="shared" si="9"/>
        <v>0.66600000000000004</v>
      </c>
      <c r="N620" s="7" t="s">
        <v>737</v>
      </c>
      <c r="O620" s="12"/>
      <c r="P620" s="12" t="s">
        <v>130</v>
      </c>
    </row>
    <row r="621" spans="1:16" ht="34.5" hidden="1" customHeight="1" x14ac:dyDescent="0.35">
      <c r="A621" s="12">
        <v>5927</v>
      </c>
      <c r="B621" s="12" t="s">
        <v>100</v>
      </c>
      <c r="C621" s="12" t="s">
        <v>113</v>
      </c>
      <c r="D621" s="12" t="s">
        <v>114</v>
      </c>
      <c r="E621" s="12" t="s">
        <v>131</v>
      </c>
      <c r="F621" s="12" t="s">
        <v>66</v>
      </c>
      <c r="G621" s="12" t="s">
        <v>70</v>
      </c>
      <c r="H621" s="12">
        <v>5002704</v>
      </c>
      <c r="I621" s="13">
        <v>45899.601481481499</v>
      </c>
      <c r="J621" s="12" t="s">
        <v>127</v>
      </c>
      <c r="K621" s="12" t="s">
        <v>135</v>
      </c>
      <c r="L621" s="14"/>
      <c r="M621" s="14">
        <f t="shared" si="9"/>
        <v>0</v>
      </c>
      <c r="N621" s="7" t="s">
        <v>738</v>
      </c>
      <c r="O621" s="12"/>
      <c r="P621" s="12" t="s">
        <v>130</v>
      </c>
    </row>
    <row r="622" spans="1:16" ht="15" hidden="1" customHeight="1" x14ac:dyDescent="0.35">
      <c r="A622" s="12">
        <v>5821</v>
      </c>
      <c r="B622" s="12" t="s">
        <v>100</v>
      </c>
      <c r="C622" s="12" t="s">
        <v>113</v>
      </c>
      <c r="D622" s="12" t="s">
        <v>114</v>
      </c>
      <c r="E622" s="12" t="s">
        <v>134</v>
      </c>
      <c r="F622" s="12" t="s">
        <v>66</v>
      </c>
      <c r="G622" s="12" t="s">
        <v>70</v>
      </c>
      <c r="H622" s="12">
        <v>5002704</v>
      </c>
      <c r="I622" s="13">
        <v>45899.601481481499</v>
      </c>
      <c r="J622" s="12" t="s">
        <v>127</v>
      </c>
      <c r="K622" s="12" t="s">
        <v>688</v>
      </c>
      <c r="L622" s="14"/>
      <c r="M622" s="14" t="str">
        <f t="shared" si="9"/>
        <v/>
      </c>
      <c r="N622" s="7" t="s">
        <v>739</v>
      </c>
      <c r="O622" s="12"/>
      <c r="P622" s="12" t="s">
        <v>130</v>
      </c>
    </row>
    <row r="623" spans="1:16" ht="124.5" hidden="1" customHeight="1" x14ac:dyDescent="0.35">
      <c r="A623" s="12">
        <v>6322</v>
      </c>
      <c r="B623" s="12" t="s">
        <v>100</v>
      </c>
      <c r="C623" s="12" t="s">
        <v>101</v>
      </c>
      <c r="D623" s="12" t="s">
        <v>102</v>
      </c>
      <c r="E623" s="12" t="s">
        <v>126</v>
      </c>
      <c r="F623" s="12" t="s">
        <v>39</v>
      </c>
      <c r="G623" s="12" t="s">
        <v>45</v>
      </c>
      <c r="H623" s="12">
        <v>23</v>
      </c>
      <c r="I623" s="13">
        <v>45918.555115740703</v>
      </c>
      <c r="J623" s="12" t="s">
        <v>127</v>
      </c>
      <c r="K623" s="12" t="s">
        <v>128</v>
      </c>
      <c r="L623" s="14">
        <v>1</v>
      </c>
      <c r="M623" s="14">
        <f t="shared" si="9"/>
        <v>1</v>
      </c>
      <c r="N623" s="7" t="s">
        <v>740</v>
      </c>
      <c r="O623" s="12"/>
      <c r="P623" s="12" t="s">
        <v>130</v>
      </c>
    </row>
    <row r="624" spans="1:16" ht="102" hidden="1" customHeight="1" x14ac:dyDescent="0.35">
      <c r="A624" s="12">
        <v>1363</v>
      </c>
      <c r="B624" s="12" t="s">
        <v>100</v>
      </c>
      <c r="C624" s="12" t="s">
        <v>101</v>
      </c>
      <c r="D624" s="12" t="s">
        <v>102</v>
      </c>
      <c r="E624" s="12" t="s">
        <v>131</v>
      </c>
      <c r="F624" s="12" t="s">
        <v>39</v>
      </c>
      <c r="G624" s="12" t="s">
        <v>45</v>
      </c>
      <c r="H624" s="12">
        <v>23</v>
      </c>
      <c r="I624" s="13">
        <v>45918.555115740703</v>
      </c>
      <c r="J624" s="12" t="s">
        <v>127</v>
      </c>
      <c r="K624" s="12" t="s">
        <v>132</v>
      </c>
      <c r="L624" s="14">
        <v>0.66600000000000004</v>
      </c>
      <c r="M624" s="14">
        <f t="shared" si="9"/>
        <v>0.66600000000000004</v>
      </c>
      <c r="N624" s="7" t="s">
        <v>741</v>
      </c>
      <c r="O624" s="12"/>
      <c r="P624" s="12" t="s">
        <v>130</v>
      </c>
    </row>
    <row r="625" spans="1:16" ht="147" hidden="1" customHeight="1" x14ac:dyDescent="0.35">
      <c r="A625" s="12">
        <v>6323</v>
      </c>
      <c r="B625" s="12" t="s">
        <v>100</v>
      </c>
      <c r="C625" s="12" t="s">
        <v>101</v>
      </c>
      <c r="D625" s="12" t="s">
        <v>102</v>
      </c>
      <c r="E625" s="12" t="s">
        <v>134</v>
      </c>
      <c r="F625" s="12" t="s">
        <v>39</v>
      </c>
      <c r="G625" s="12" t="s">
        <v>45</v>
      </c>
      <c r="H625" s="12">
        <v>23</v>
      </c>
      <c r="I625" s="13">
        <v>45918.555115740703</v>
      </c>
      <c r="J625" s="12" t="s">
        <v>127</v>
      </c>
      <c r="K625" s="12" t="s">
        <v>128</v>
      </c>
      <c r="L625" s="14">
        <v>1</v>
      </c>
      <c r="M625" s="14">
        <f t="shared" si="9"/>
        <v>1</v>
      </c>
      <c r="N625" s="7" t="s">
        <v>742</v>
      </c>
      <c r="O625" s="12"/>
      <c r="P625" s="12" t="s">
        <v>130</v>
      </c>
    </row>
    <row r="626" spans="1:16" ht="147" hidden="1" customHeight="1" x14ac:dyDescent="0.35">
      <c r="A626" s="12">
        <v>6302</v>
      </c>
      <c r="B626" s="12" t="s">
        <v>100</v>
      </c>
      <c r="C626" s="12" t="s">
        <v>103</v>
      </c>
      <c r="D626" s="12" t="s">
        <v>104</v>
      </c>
      <c r="E626" s="12" t="s">
        <v>126</v>
      </c>
      <c r="F626" s="12" t="s">
        <v>39</v>
      </c>
      <c r="G626" s="12" t="s">
        <v>45</v>
      </c>
      <c r="H626" s="12">
        <v>23</v>
      </c>
      <c r="I626" s="13">
        <v>45918.555115740703</v>
      </c>
      <c r="J626" s="12" t="s">
        <v>127</v>
      </c>
      <c r="K626" s="12" t="s">
        <v>128</v>
      </c>
      <c r="L626" s="14">
        <v>1</v>
      </c>
      <c r="M626" s="14">
        <f t="shared" si="9"/>
        <v>1</v>
      </c>
      <c r="N626" s="7" t="s">
        <v>743</v>
      </c>
      <c r="O626" s="12"/>
      <c r="P626" s="12" t="s">
        <v>130</v>
      </c>
    </row>
    <row r="627" spans="1:16" ht="102" hidden="1" customHeight="1" x14ac:dyDescent="0.35">
      <c r="A627" s="12">
        <v>6327</v>
      </c>
      <c r="B627" s="12" t="s">
        <v>100</v>
      </c>
      <c r="C627" s="12" t="s">
        <v>103</v>
      </c>
      <c r="D627" s="12" t="s">
        <v>104</v>
      </c>
      <c r="E627" s="12" t="s">
        <v>131</v>
      </c>
      <c r="F627" s="12" t="s">
        <v>39</v>
      </c>
      <c r="G627" s="12" t="s">
        <v>45</v>
      </c>
      <c r="H627" s="12">
        <v>23</v>
      </c>
      <c r="I627" s="13">
        <v>45918.555115740703</v>
      </c>
      <c r="J627" s="12" t="s">
        <v>127</v>
      </c>
      <c r="K627" s="12" t="s">
        <v>128</v>
      </c>
      <c r="L627" s="14">
        <v>1</v>
      </c>
      <c r="M627" s="14">
        <f t="shared" si="9"/>
        <v>1</v>
      </c>
      <c r="N627" s="7" t="s">
        <v>744</v>
      </c>
      <c r="O627" s="12"/>
      <c r="P627" s="12" t="s">
        <v>130</v>
      </c>
    </row>
    <row r="628" spans="1:16" ht="79.5" hidden="1" customHeight="1" x14ac:dyDescent="0.35">
      <c r="A628" s="12">
        <v>6303</v>
      </c>
      <c r="B628" s="12" t="s">
        <v>100</v>
      </c>
      <c r="C628" s="12" t="s">
        <v>103</v>
      </c>
      <c r="D628" s="12" t="s">
        <v>104</v>
      </c>
      <c r="E628" s="12" t="s">
        <v>134</v>
      </c>
      <c r="F628" s="12" t="s">
        <v>39</v>
      </c>
      <c r="G628" s="12" t="s">
        <v>45</v>
      </c>
      <c r="H628" s="12">
        <v>23</v>
      </c>
      <c r="I628" s="13">
        <v>45918.555115740703</v>
      </c>
      <c r="J628" s="12" t="s">
        <v>127</v>
      </c>
      <c r="K628" s="12" t="s">
        <v>128</v>
      </c>
      <c r="L628" s="14">
        <v>1</v>
      </c>
      <c r="M628" s="14">
        <f t="shared" si="9"/>
        <v>1</v>
      </c>
      <c r="N628" s="7" t="s">
        <v>745</v>
      </c>
      <c r="O628" s="12"/>
      <c r="P628" s="12" t="s">
        <v>130</v>
      </c>
    </row>
    <row r="629" spans="1:16" ht="102" hidden="1" customHeight="1" x14ac:dyDescent="0.35">
      <c r="A629" s="12">
        <v>6304</v>
      </c>
      <c r="B629" s="12" t="s">
        <v>100</v>
      </c>
      <c r="C629" s="12" t="s">
        <v>105</v>
      </c>
      <c r="D629" s="12" t="s">
        <v>106</v>
      </c>
      <c r="E629" s="12" t="s">
        <v>126</v>
      </c>
      <c r="F629" s="12" t="s">
        <v>39</v>
      </c>
      <c r="G629" s="12" t="s">
        <v>45</v>
      </c>
      <c r="H629" s="12">
        <v>23</v>
      </c>
      <c r="I629" s="13">
        <v>45918.555115740703</v>
      </c>
      <c r="J629" s="12" t="s">
        <v>127</v>
      </c>
      <c r="K629" s="12" t="s">
        <v>142</v>
      </c>
      <c r="L629" s="14">
        <v>0.33300000000000002</v>
      </c>
      <c r="M629" s="14">
        <f t="shared" si="9"/>
        <v>0.33300000000000002</v>
      </c>
      <c r="N629" s="7" t="s">
        <v>746</v>
      </c>
      <c r="O629" s="12"/>
      <c r="P629" s="12" t="s">
        <v>130</v>
      </c>
    </row>
    <row r="630" spans="1:16" ht="79.5" hidden="1" customHeight="1" x14ac:dyDescent="0.35">
      <c r="A630" s="12">
        <v>6330</v>
      </c>
      <c r="B630" s="12" t="s">
        <v>100</v>
      </c>
      <c r="C630" s="12" t="s">
        <v>105</v>
      </c>
      <c r="D630" s="12" t="s">
        <v>106</v>
      </c>
      <c r="E630" s="12" t="s">
        <v>131</v>
      </c>
      <c r="F630" s="12" t="s">
        <v>39</v>
      </c>
      <c r="G630" s="12" t="s">
        <v>45</v>
      </c>
      <c r="H630" s="12">
        <v>23</v>
      </c>
      <c r="I630" s="13">
        <v>45918.555115740703</v>
      </c>
      <c r="J630" s="12" t="s">
        <v>127</v>
      </c>
      <c r="K630" s="12" t="s">
        <v>132</v>
      </c>
      <c r="L630" s="14">
        <v>0.66600000000000004</v>
      </c>
      <c r="M630" s="14">
        <f t="shared" si="9"/>
        <v>0.66600000000000004</v>
      </c>
      <c r="N630" s="7" t="s">
        <v>747</v>
      </c>
      <c r="O630" s="12"/>
      <c r="P630" s="12" t="s">
        <v>130</v>
      </c>
    </row>
    <row r="631" spans="1:16" ht="113.25" hidden="1" customHeight="1" x14ac:dyDescent="0.35">
      <c r="A631" s="12">
        <v>6331</v>
      </c>
      <c r="B631" s="12" t="s">
        <v>100</v>
      </c>
      <c r="C631" s="12" t="s">
        <v>107</v>
      </c>
      <c r="D631" s="12" t="s">
        <v>108</v>
      </c>
      <c r="E631" s="12" t="s">
        <v>126</v>
      </c>
      <c r="F631" s="12" t="s">
        <v>39</v>
      </c>
      <c r="G631" s="12" t="s">
        <v>45</v>
      </c>
      <c r="H631" s="12">
        <v>23</v>
      </c>
      <c r="I631" s="13">
        <v>45918.555115740703</v>
      </c>
      <c r="J631" s="12" t="s">
        <v>127</v>
      </c>
      <c r="K631" s="12" t="s">
        <v>132</v>
      </c>
      <c r="L631" s="14">
        <v>0.66600000000000004</v>
      </c>
      <c r="M631" s="14">
        <f t="shared" si="9"/>
        <v>0.66600000000000004</v>
      </c>
      <c r="N631" s="7" t="s">
        <v>748</v>
      </c>
      <c r="O631" s="12"/>
      <c r="P631" s="12" t="s">
        <v>130</v>
      </c>
    </row>
    <row r="632" spans="1:16" ht="113.25" hidden="1" customHeight="1" x14ac:dyDescent="0.35">
      <c r="A632" s="12">
        <v>6401</v>
      </c>
      <c r="B632" s="12" t="s">
        <v>100</v>
      </c>
      <c r="C632" s="12" t="s">
        <v>107</v>
      </c>
      <c r="D632" s="12" t="s">
        <v>108</v>
      </c>
      <c r="E632" s="12" t="s">
        <v>131</v>
      </c>
      <c r="F632" s="12" t="s">
        <v>39</v>
      </c>
      <c r="G632" s="12" t="s">
        <v>45</v>
      </c>
      <c r="H632" s="12">
        <v>23</v>
      </c>
      <c r="I632" s="13">
        <v>45918.555115740703</v>
      </c>
      <c r="J632" s="12" t="s">
        <v>127</v>
      </c>
      <c r="K632" s="12" t="s">
        <v>128</v>
      </c>
      <c r="L632" s="14">
        <v>1</v>
      </c>
      <c r="M632" s="14">
        <f t="shared" si="9"/>
        <v>1</v>
      </c>
      <c r="N632" s="7" t="s">
        <v>749</v>
      </c>
      <c r="O632" s="12"/>
      <c r="P632" s="12" t="s">
        <v>130</v>
      </c>
    </row>
    <row r="633" spans="1:16" ht="79.5" hidden="1" customHeight="1" x14ac:dyDescent="0.35">
      <c r="A633" s="12">
        <v>6402</v>
      </c>
      <c r="B633" s="12" t="s">
        <v>100</v>
      </c>
      <c r="C633" s="12" t="s">
        <v>107</v>
      </c>
      <c r="D633" s="12" t="s">
        <v>108</v>
      </c>
      <c r="E633" s="12" t="s">
        <v>134</v>
      </c>
      <c r="F633" s="12" t="s">
        <v>39</v>
      </c>
      <c r="G633" s="12" t="s">
        <v>45</v>
      </c>
      <c r="H633" s="12">
        <v>23</v>
      </c>
      <c r="I633" s="13">
        <v>45918.555115740703</v>
      </c>
      <c r="J633" s="12" t="s">
        <v>127</v>
      </c>
      <c r="K633" s="12" t="s">
        <v>128</v>
      </c>
      <c r="L633" s="14">
        <v>1</v>
      </c>
      <c r="M633" s="14">
        <f t="shared" si="9"/>
        <v>1</v>
      </c>
      <c r="N633" s="7" t="s">
        <v>750</v>
      </c>
      <c r="O633" s="12"/>
      <c r="P633" s="12" t="s">
        <v>130</v>
      </c>
    </row>
    <row r="634" spans="1:16" ht="147" hidden="1" customHeight="1" x14ac:dyDescent="0.35">
      <c r="A634" s="12">
        <v>6425</v>
      </c>
      <c r="B634" s="12" t="s">
        <v>100</v>
      </c>
      <c r="C634" s="12" t="s">
        <v>109</v>
      </c>
      <c r="D634" s="12" t="s">
        <v>110</v>
      </c>
      <c r="E634" s="12" t="s">
        <v>126</v>
      </c>
      <c r="F634" s="12" t="s">
        <v>39</v>
      </c>
      <c r="G634" s="12" t="s">
        <v>45</v>
      </c>
      <c r="H634" s="12">
        <v>23</v>
      </c>
      <c r="I634" s="13">
        <v>45918.555115740703</v>
      </c>
      <c r="J634" s="12" t="s">
        <v>127</v>
      </c>
      <c r="K634" s="12" t="s">
        <v>132</v>
      </c>
      <c r="L634" s="14">
        <v>0.66600000000000004</v>
      </c>
      <c r="M634" s="14">
        <f t="shared" si="9"/>
        <v>0.66600000000000004</v>
      </c>
      <c r="N634" s="7" t="s">
        <v>751</v>
      </c>
      <c r="O634" s="12"/>
      <c r="P634" s="12" t="s">
        <v>130</v>
      </c>
    </row>
    <row r="635" spans="1:16" ht="79.5" hidden="1" customHeight="1" x14ac:dyDescent="0.35">
      <c r="A635" s="12">
        <v>6409</v>
      </c>
      <c r="B635" s="12" t="s">
        <v>100</v>
      </c>
      <c r="C635" s="12" t="s">
        <v>109</v>
      </c>
      <c r="D635" s="12" t="s">
        <v>110</v>
      </c>
      <c r="E635" s="12" t="s">
        <v>131</v>
      </c>
      <c r="F635" s="12" t="s">
        <v>39</v>
      </c>
      <c r="G635" s="12" t="s">
        <v>45</v>
      </c>
      <c r="H635" s="12">
        <v>23</v>
      </c>
      <c r="I635" s="13">
        <v>45918.555115740703</v>
      </c>
      <c r="J635" s="12" t="s">
        <v>127</v>
      </c>
      <c r="K635" s="12" t="s">
        <v>132</v>
      </c>
      <c r="L635" s="14">
        <v>0.66600000000000004</v>
      </c>
      <c r="M635" s="14">
        <f t="shared" si="9"/>
        <v>0.66600000000000004</v>
      </c>
      <c r="N635" s="7" t="s">
        <v>752</v>
      </c>
      <c r="O635" s="12"/>
      <c r="P635" s="12" t="s">
        <v>130</v>
      </c>
    </row>
    <row r="636" spans="1:16" ht="102" hidden="1" customHeight="1" x14ac:dyDescent="0.35">
      <c r="A636" s="12">
        <v>6414</v>
      </c>
      <c r="B636" s="12" t="s">
        <v>100</v>
      </c>
      <c r="C636" s="12" t="s">
        <v>111</v>
      </c>
      <c r="D636" s="12" t="s">
        <v>112</v>
      </c>
      <c r="E636" s="12" t="s">
        <v>126</v>
      </c>
      <c r="F636" s="12" t="s">
        <v>39</v>
      </c>
      <c r="G636" s="12" t="s">
        <v>45</v>
      </c>
      <c r="H636" s="12">
        <v>23</v>
      </c>
      <c r="I636" s="13">
        <v>45918.555115740703</v>
      </c>
      <c r="J636" s="12" t="s">
        <v>127</v>
      </c>
      <c r="K636" s="12" t="s">
        <v>132</v>
      </c>
      <c r="L636" s="14">
        <v>0.66600000000000004</v>
      </c>
      <c r="M636" s="14">
        <f t="shared" si="9"/>
        <v>0.66600000000000004</v>
      </c>
      <c r="N636" s="7" t="s">
        <v>753</v>
      </c>
      <c r="O636" s="12"/>
      <c r="P636" s="12" t="s">
        <v>130</v>
      </c>
    </row>
    <row r="637" spans="1:16" ht="34.5" hidden="1" customHeight="1" x14ac:dyDescent="0.35">
      <c r="A637" s="12">
        <v>6436</v>
      </c>
      <c r="B637" s="12" t="s">
        <v>100</v>
      </c>
      <c r="C637" s="12" t="s">
        <v>111</v>
      </c>
      <c r="D637" s="12" t="s">
        <v>112</v>
      </c>
      <c r="E637" s="12" t="s">
        <v>131</v>
      </c>
      <c r="F637" s="12" t="s">
        <v>39</v>
      </c>
      <c r="G637" s="12" t="s">
        <v>45</v>
      </c>
      <c r="H637" s="12">
        <v>23</v>
      </c>
      <c r="I637" s="13">
        <v>45918.555115740703</v>
      </c>
      <c r="J637" s="12" t="s">
        <v>127</v>
      </c>
      <c r="K637" s="12" t="s">
        <v>132</v>
      </c>
      <c r="L637" s="14">
        <v>0.66600000000000004</v>
      </c>
      <c r="M637" s="14">
        <f t="shared" si="9"/>
        <v>0.66600000000000004</v>
      </c>
      <c r="N637" s="7" t="s">
        <v>754</v>
      </c>
      <c r="O637" s="12"/>
      <c r="P637" s="12"/>
    </row>
    <row r="638" spans="1:16" ht="57" hidden="1" customHeight="1" x14ac:dyDescent="0.35">
      <c r="A638" s="12">
        <v>6417</v>
      </c>
      <c r="B638" s="12" t="s">
        <v>100</v>
      </c>
      <c r="C638" s="12" t="s">
        <v>111</v>
      </c>
      <c r="D638" s="12" t="s">
        <v>112</v>
      </c>
      <c r="E638" s="12" t="s">
        <v>134</v>
      </c>
      <c r="F638" s="12" t="s">
        <v>39</v>
      </c>
      <c r="G638" s="12" t="s">
        <v>45</v>
      </c>
      <c r="H638" s="12">
        <v>23</v>
      </c>
      <c r="I638" s="13">
        <v>45918.555115740703</v>
      </c>
      <c r="J638" s="12" t="s">
        <v>127</v>
      </c>
      <c r="K638" s="12" t="s">
        <v>142</v>
      </c>
      <c r="L638" s="14">
        <v>0.33300000000000002</v>
      </c>
      <c r="M638" s="14">
        <f t="shared" si="9"/>
        <v>0.33300000000000002</v>
      </c>
      <c r="N638" s="7" t="s">
        <v>755</v>
      </c>
      <c r="O638" s="12"/>
      <c r="P638" s="12" t="s">
        <v>130</v>
      </c>
    </row>
    <row r="639" spans="1:16" ht="180" hidden="1" customHeight="1" x14ac:dyDescent="0.35">
      <c r="A639" s="12">
        <v>6483</v>
      </c>
      <c r="B639" s="12" t="s">
        <v>100</v>
      </c>
      <c r="C639" s="12" t="s">
        <v>113</v>
      </c>
      <c r="D639" s="12" t="s">
        <v>114</v>
      </c>
      <c r="E639" s="12" t="s">
        <v>126</v>
      </c>
      <c r="F639" s="12" t="s">
        <v>39</v>
      </c>
      <c r="G639" s="12" t="s">
        <v>45</v>
      </c>
      <c r="H639" s="12">
        <v>23</v>
      </c>
      <c r="I639" s="13">
        <v>45918.555115740703</v>
      </c>
      <c r="J639" s="12" t="s">
        <v>127</v>
      </c>
      <c r="K639" s="12" t="s">
        <v>132</v>
      </c>
      <c r="L639" s="14">
        <v>0.66600000000000004</v>
      </c>
      <c r="M639" s="14">
        <f t="shared" si="9"/>
        <v>0.66600000000000004</v>
      </c>
      <c r="N639" s="7" t="s">
        <v>756</v>
      </c>
      <c r="O639" s="12"/>
      <c r="P639" s="12" t="s">
        <v>130</v>
      </c>
    </row>
    <row r="640" spans="1:16" ht="135.75" hidden="1" customHeight="1" x14ac:dyDescent="0.35">
      <c r="A640" s="12">
        <v>6502</v>
      </c>
      <c r="B640" s="12" t="s">
        <v>100</v>
      </c>
      <c r="C640" s="12" t="s">
        <v>113</v>
      </c>
      <c r="D640" s="12" t="s">
        <v>114</v>
      </c>
      <c r="E640" s="12" t="s">
        <v>131</v>
      </c>
      <c r="F640" s="12" t="s">
        <v>39</v>
      </c>
      <c r="G640" s="12" t="s">
        <v>45</v>
      </c>
      <c r="H640" s="12">
        <v>23</v>
      </c>
      <c r="I640" s="13">
        <v>45918.555115740703</v>
      </c>
      <c r="J640" s="12" t="s">
        <v>127</v>
      </c>
      <c r="K640" s="12" t="s">
        <v>128</v>
      </c>
      <c r="L640" s="14">
        <v>1</v>
      </c>
      <c r="M640" s="14">
        <f t="shared" si="9"/>
        <v>1</v>
      </c>
      <c r="N640" s="7" t="s">
        <v>757</v>
      </c>
      <c r="O640" s="12"/>
      <c r="P640" s="12" t="s">
        <v>130</v>
      </c>
    </row>
    <row r="641" spans="1:16" ht="236.25" hidden="1" customHeight="1" x14ac:dyDescent="0.35">
      <c r="A641" s="12">
        <v>6503</v>
      </c>
      <c r="B641" s="12" t="s">
        <v>100</v>
      </c>
      <c r="C641" s="12" t="s">
        <v>113</v>
      </c>
      <c r="D641" s="12" t="s">
        <v>114</v>
      </c>
      <c r="E641" s="12" t="s">
        <v>134</v>
      </c>
      <c r="F641" s="12" t="s">
        <v>39</v>
      </c>
      <c r="G641" s="12" t="s">
        <v>45</v>
      </c>
      <c r="H641" s="12">
        <v>23</v>
      </c>
      <c r="I641" s="13">
        <v>45918.555115740703</v>
      </c>
      <c r="J641" s="12" t="s">
        <v>127</v>
      </c>
      <c r="K641" s="12" t="s">
        <v>135</v>
      </c>
      <c r="L641" s="14"/>
      <c r="M641" s="14">
        <f t="shared" si="9"/>
        <v>0</v>
      </c>
      <c r="N641" s="7" t="s">
        <v>758</v>
      </c>
      <c r="O641" s="12"/>
      <c r="P641" s="12" t="s">
        <v>130</v>
      </c>
    </row>
    <row r="642" spans="1:16" ht="124.5" hidden="1" customHeight="1" x14ac:dyDescent="0.35">
      <c r="A642" s="12">
        <v>4862</v>
      </c>
      <c r="B642" s="12" t="s">
        <v>100</v>
      </c>
      <c r="C642" s="12" t="s">
        <v>101</v>
      </c>
      <c r="D642" s="12" t="s">
        <v>102</v>
      </c>
      <c r="E642" s="12" t="s">
        <v>126</v>
      </c>
      <c r="F642" s="12" t="s">
        <v>66</v>
      </c>
      <c r="G642" s="12" t="s">
        <v>71</v>
      </c>
      <c r="H642" s="12">
        <v>5103403</v>
      </c>
      <c r="I642" s="13">
        <v>45905.603287037004</v>
      </c>
      <c r="J642" s="12" t="s">
        <v>127</v>
      </c>
      <c r="K642" s="12" t="s">
        <v>135</v>
      </c>
      <c r="L642" s="14"/>
      <c r="M642" s="14">
        <f t="shared" ref="M642:M705" si="10">IF(K642="Sem progresso",0,IF(OR(K642="Não avaliado",K642="Não se aplica",K642=""),"",L642))</f>
        <v>0</v>
      </c>
      <c r="N642" s="7" t="s">
        <v>759</v>
      </c>
      <c r="O642" s="12"/>
      <c r="P642" s="12" t="s">
        <v>130</v>
      </c>
    </row>
    <row r="643" spans="1:16" ht="124.5" hidden="1" customHeight="1" x14ac:dyDescent="0.35">
      <c r="A643" s="12">
        <v>4863</v>
      </c>
      <c r="B643" s="12" t="s">
        <v>100</v>
      </c>
      <c r="C643" s="12" t="s">
        <v>101</v>
      </c>
      <c r="D643" s="12" t="s">
        <v>102</v>
      </c>
      <c r="E643" s="12" t="s">
        <v>131</v>
      </c>
      <c r="F643" s="12" t="s">
        <v>66</v>
      </c>
      <c r="G643" s="12" t="s">
        <v>71</v>
      </c>
      <c r="H643" s="12">
        <v>5103403</v>
      </c>
      <c r="I643" s="13">
        <v>45905.603287037004</v>
      </c>
      <c r="J643" s="12" t="s">
        <v>127</v>
      </c>
      <c r="K643" s="12" t="s">
        <v>135</v>
      </c>
      <c r="L643" s="14"/>
      <c r="M643" s="14">
        <f t="shared" si="10"/>
        <v>0</v>
      </c>
      <c r="N643" s="7" t="s">
        <v>759</v>
      </c>
      <c r="O643" s="12"/>
      <c r="P643" s="12" t="s">
        <v>130</v>
      </c>
    </row>
    <row r="644" spans="1:16" ht="34.5" hidden="1" customHeight="1" x14ac:dyDescent="0.35">
      <c r="A644" s="12">
        <v>4901</v>
      </c>
      <c r="B644" s="12" t="s">
        <v>100</v>
      </c>
      <c r="C644" s="12" t="s">
        <v>101</v>
      </c>
      <c r="D644" s="12" t="s">
        <v>102</v>
      </c>
      <c r="E644" s="12" t="s">
        <v>134</v>
      </c>
      <c r="F644" s="12" t="s">
        <v>66</v>
      </c>
      <c r="G644" s="12" t="s">
        <v>71</v>
      </c>
      <c r="H644" s="12">
        <v>5103403</v>
      </c>
      <c r="I644" s="13">
        <v>45905.603287037004</v>
      </c>
      <c r="J644" s="12" t="s">
        <v>127</v>
      </c>
      <c r="K644" s="12" t="s">
        <v>135</v>
      </c>
      <c r="L644" s="14"/>
      <c r="M644" s="14">
        <f t="shared" si="10"/>
        <v>0</v>
      </c>
      <c r="N644" s="7" t="s">
        <v>760</v>
      </c>
      <c r="O644" s="12"/>
      <c r="P644" s="12" t="s">
        <v>130</v>
      </c>
    </row>
    <row r="645" spans="1:16" ht="79.5" hidden="1" customHeight="1" x14ac:dyDescent="0.35">
      <c r="A645" s="12">
        <v>4902</v>
      </c>
      <c r="B645" s="12" t="s">
        <v>100</v>
      </c>
      <c r="C645" s="12" t="s">
        <v>103</v>
      </c>
      <c r="D645" s="12" t="s">
        <v>104</v>
      </c>
      <c r="E645" s="12" t="s">
        <v>126</v>
      </c>
      <c r="F645" s="12" t="s">
        <v>66</v>
      </c>
      <c r="G645" s="12" t="s">
        <v>71</v>
      </c>
      <c r="H645" s="12">
        <v>5103403</v>
      </c>
      <c r="I645" s="13">
        <v>45905.603287037004</v>
      </c>
      <c r="J645" s="12" t="s">
        <v>127</v>
      </c>
      <c r="K645" s="12" t="s">
        <v>135</v>
      </c>
      <c r="L645" s="14"/>
      <c r="M645" s="14">
        <f t="shared" si="10"/>
        <v>0</v>
      </c>
      <c r="N645" s="7" t="s">
        <v>761</v>
      </c>
      <c r="O645" s="12"/>
      <c r="P645" s="12" t="s">
        <v>130</v>
      </c>
    </row>
    <row r="646" spans="1:16" ht="34.5" hidden="1" customHeight="1" x14ac:dyDescent="0.35">
      <c r="A646" s="12">
        <v>4921</v>
      </c>
      <c r="B646" s="12" t="s">
        <v>100</v>
      </c>
      <c r="C646" s="12" t="s">
        <v>103</v>
      </c>
      <c r="D646" s="12" t="s">
        <v>104</v>
      </c>
      <c r="E646" s="12" t="s">
        <v>131</v>
      </c>
      <c r="F646" s="12" t="s">
        <v>66</v>
      </c>
      <c r="G646" s="12" t="s">
        <v>71</v>
      </c>
      <c r="H646" s="12">
        <v>5103403</v>
      </c>
      <c r="I646" s="13">
        <v>45905.603287037004</v>
      </c>
      <c r="J646" s="12" t="s">
        <v>127</v>
      </c>
      <c r="K646" s="12" t="s">
        <v>135</v>
      </c>
      <c r="L646" s="14"/>
      <c r="M646" s="14">
        <f t="shared" si="10"/>
        <v>0</v>
      </c>
      <c r="N646" s="7" t="s">
        <v>762</v>
      </c>
      <c r="O646" s="12"/>
      <c r="P646" s="12" t="s">
        <v>130</v>
      </c>
    </row>
    <row r="647" spans="1:16" ht="135.75" hidden="1" customHeight="1" x14ac:dyDescent="0.35">
      <c r="A647" s="12">
        <v>4903</v>
      </c>
      <c r="B647" s="12" t="s">
        <v>100</v>
      </c>
      <c r="C647" s="12" t="s">
        <v>103</v>
      </c>
      <c r="D647" s="12" t="s">
        <v>104</v>
      </c>
      <c r="E647" s="12" t="s">
        <v>134</v>
      </c>
      <c r="F647" s="12" t="s">
        <v>66</v>
      </c>
      <c r="G647" s="12" t="s">
        <v>71</v>
      </c>
      <c r="H647" s="12">
        <v>5103403</v>
      </c>
      <c r="I647" s="13">
        <v>45905.603287037004</v>
      </c>
      <c r="J647" s="12" t="s">
        <v>127</v>
      </c>
      <c r="K647" s="12" t="s">
        <v>135</v>
      </c>
      <c r="L647" s="14"/>
      <c r="M647" s="14">
        <f t="shared" si="10"/>
        <v>0</v>
      </c>
      <c r="N647" s="7" t="s">
        <v>763</v>
      </c>
      <c r="O647" s="12"/>
      <c r="P647" s="12" t="s">
        <v>130</v>
      </c>
    </row>
    <row r="648" spans="1:16" ht="147" hidden="1" customHeight="1" x14ac:dyDescent="0.35">
      <c r="A648" s="12">
        <v>4813</v>
      </c>
      <c r="B648" s="12" t="s">
        <v>100</v>
      </c>
      <c r="C648" s="12" t="s">
        <v>105</v>
      </c>
      <c r="D648" s="12" t="s">
        <v>106</v>
      </c>
      <c r="E648" s="12" t="s">
        <v>126</v>
      </c>
      <c r="F648" s="12" t="s">
        <v>66</v>
      </c>
      <c r="G648" s="12" t="s">
        <v>71</v>
      </c>
      <c r="H648" s="12">
        <v>5103403</v>
      </c>
      <c r="I648" s="13">
        <v>45905.603287037004</v>
      </c>
      <c r="J648" s="12" t="s">
        <v>127</v>
      </c>
      <c r="K648" s="12" t="s">
        <v>142</v>
      </c>
      <c r="L648" s="14">
        <v>0.33300000000000002</v>
      </c>
      <c r="M648" s="14">
        <f t="shared" si="10"/>
        <v>0.33300000000000002</v>
      </c>
      <c r="N648" s="7" t="s">
        <v>764</v>
      </c>
      <c r="O648" s="12"/>
      <c r="P648" s="12" t="s">
        <v>130</v>
      </c>
    </row>
    <row r="649" spans="1:16" ht="90.75" hidden="1" customHeight="1" x14ac:dyDescent="0.35">
      <c r="A649" s="12">
        <v>4884</v>
      </c>
      <c r="B649" s="12" t="s">
        <v>100</v>
      </c>
      <c r="C649" s="12" t="s">
        <v>105</v>
      </c>
      <c r="D649" s="12" t="s">
        <v>106</v>
      </c>
      <c r="E649" s="12" t="s">
        <v>131</v>
      </c>
      <c r="F649" s="12" t="s">
        <v>66</v>
      </c>
      <c r="G649" s="12" t="s">
        <v>71</v>
      </c>
      <c r="H649" s="12">
        <v>5103403</v>
      </c>
      <c r="I649" s="13">
        <v>45905.603287037004</v>
      </c>
      <c r="J649" s="12" t="s">
        <v>127</v>
      </c>
      <c r="K649" s="12" t="s">
        <v>135</v>
      </c>
      <c r="L649" s="14"/>
      <c r="M649" s="14">
        <f t="shared" si="10"/>
        <v>0</v>
      </c>
      <c r="N649" s="7" t="s">
        <v>765</v>
      </c>
      <c r="O649" s="12"/>
      <c r="P649" s="12" t="s">
        <v>130</v>
      </c>
    </row>
    <row r="650" spans="1:16" ht="57" hidden="1" customHeight="1" x14ac:dyDescent="0.35">
      <c r="A650" s="12">
        <v>4922</v>
      </c>
      <c r="B650" s="12" t="s">
        <v>100</v>
      </c>
      <c r="C650" s="12" t="s">
        <v>107</v>
      </c>
      <c r="D650" s="12" t="s">
        <v>108</v>
      </c>
      <c r="E650" s="12" t="s">
        <v>126</v>
      </c>
      <c r="F650" s="12" t="s">
        <v>66</v>
      </c>
      <c r="G650" s="12" t="s">
        <v>71</v>
      </c>
      <c r="H650" s="12">
        <v>5103403</v>
      </c>
      <c r="I650" s="13">
        <v>45905.603287037004</v>
      </c>
      <c r="J650" s="12" t="s">
        <v>127</v>
      </c>
      <c r="K650" s="12" t="s">
        <v>135</v>
      </c>
      <c r="L650" s="14"/>
      <c r="M650" s="14">
        <f t="shared" si="10"/>
        <v>0</v>
      </c>
      <c r="N650" s="7" t="s">
        <v>766</v>
      </c>
      <c r="O650" s="12"/>
      <c r="P650" s="12" t="s">
        <v>130</v>
      </c>
    </row>
    <row r="651" spans="1:16" ht="135.75" hidden="1" customHeight="1" x14ac:dyDescent="0.35">
      <c r="A651" s="12">
        <v>4923</v>
      </c>
      <c r="B651" s="12" t="s">
        <v>100</v>
      </c>
      <c r="C651" s="12" t="s">
        <v>107</v>
      </c>
      <c r="D651" s="12" t="s">
        <v>108</v>
      </c>
      <c r="E651" s="12" t="s">
        <v>131</v>
      </c>
      <c r="F651" s="12" t="s">
        <v>66</v>
      </c>
      <c r="G651" s="12" t="s">
        <v>71</v>
      </c>
      <c r="H651" s="12">
        <v>5103403</v>
      </c>
      <c r="I651" s="13">
        <v>45905.603287037004</v>
      </c>
      <c r="J651" s="12" t="s">
        <v>127</v>
      </c>
      <c r="K651" s="12" t="s">
        <v>135</v>
      </c>
      <c r="L651" s="14"/>
      <c r="M651" s="14">
        <f t="shared" si="10"/>
        <v>0</v>
      </c>
      <c r="N651" s="7" t="s">
        <v>767</v>
      </c>
      <c r="O651" s="12"/>
      <c r="P651" s="12" t="s">
        <v>130</v>
      </c>
    </row>
    <row r="652" spans="1:16" ht="124.5" hidden="1" customHeight="1" x14ac:dyDescent="0.35">
      <c r="A652" s="12">
        <v>4924</v>
      </c>
      <c r="B652" s="12" t="s">
        <v>100</v>
      </c>
      <c r="C652" s="12" t="s">
        <v>107</v>
      </c>
      <c r="D652" s="12" t="s">
        <v>108</v>
      </c>
      <c r="E652" s="12" t="s">
        <v>134</v>
      </c>
      <c r="F652" s="12" t="s">
        <v>66</v>
      </c>
      <c r="G652" s="12" t="s">
        <v>71</v>
      </c>
      <c r="H652" s="12">
        <v>5103403</v>
      </c>
      <c r="I652" s="13">
        <v>45905.603287037004</v>
      </c>
      <c r="J652" s="12" t="s">
        <v>127</v>
      </c>
      <c r="K652" s="12" t="s">
        <v>135</v>
      </c>
      <c r="L652" s="14"/>
      <c r="M652" s="14">
        <f t="shared" si="10"/>
        <v>0</v>
      </c>
      <c r="N652" s="7" t="s">
        <v>768</v>
      </c>
      <c r="O652" s="12"/>
      <c r="P652" s="12" t="s">
        <v>130</v>
      </c>
    </row>
    <row r="653" spans="1:16" ht="124.5" hidden="1" customHeight="1" x14ac:dyDescent="0.35">
      <c r="A653" s="12">
        <v>4888</v>
      </c>
      <c r="B653" s="12" t="s">
        <v>100</v>
      </c>
      <c r="C653" s="12" t="s">
        <v>109</v>
      </c>
      <c r="D653" s="12" t="s">
        <v>110</v>
      </c>
      <c r="E653" s="12" t="s">
        <v>126</v>
      </c>
      <c r="F653" s="12" t="s">
        <v>66</v>
      </c>
      <c r="G653" s="12" t="s">
        <v>71</v>
      </c>
      <c r="H653" s="12">
        <v>5103403</v>
      </c>
      <c r="I653" s="13">
        <v>45905.603287037004</v>
      </c>
      <c r="J653" s="12" t="s">
        <v>127</v>
      </c>
      <c r="K653" s="12" t="s">
        <v>142</v>
      </c>
      <c r="L653" s="14">
        <v>0.33300000000000002</v>
      </c>
      <c r="M653" s="14">
        <f t="shared" si="10"/>
        <v>0.33300000000000002</v>
      </c>
      <c r="N653" s="7" t="s">
        <v>769</v>
      </c>
      <c r="O653" s="12"/>
      <c r="P653" s="12" t="s">
        <v>130</v>
      </c>
    </row>
    <row r="654" spans="1:16" ht="113.25" hidden="1" customHeight="1" x14ac:dyDescent="0.35">
      <c r="A654" s="12">
        <v>4889</v>
      </c>
      <c r="B654" s="12" t="s">
        <v>100</v>
      </c>
      <c r="C654" s="12" t="s">
        <v>109</v>
      </c>
      <c r="D654" s="12" t="s">
        <v>110</v>
      </c>
      <c r="E654" s="12" t="s">
        <v>131</v>
      </c>
      <c r="F654" s="12" t="s">
        <v>66</v>
      </c>
      <c r="G654" s="12" t="s">
        <v>71</v>
      </c>
      <c r="H654" s="12">
        <v>5103403</v>
      </c>
      <c r="I654" s="13">
        <v>45905.603287037004</v>
      </c>
      <c r="J654" s="12" t="s">
        <v>127</v>
      </c>
      <c r="K654" s="12" t="s">
        <v>132</v>
      </c>
      <c r="L654" s="14">
        <v>0.66600000000000004</v>
      </c>
      <c r="M654" s="14">
        <f t="shared" si="10"/>
        <v>0.66600000000000004</v>
      </c>
      <c r="N654" s="7" t="s">
        <v>770</v>
      </c>
      <c r="O654" s="12"/>
      <c r="P654" s="12" t="s">
        <v>130</v>
      </c>
    </row>
    <row r="655" spans="1:16" ht="68.25" hidden="1" customHeight="1" x14ac:dyDescent="0.35">
      <c r="A655" s="12">
        <v>4904</v>
      </c>
      <c r="B655" s="12" t="s">
        <v>100</v>
      </c>
      <c r="C655" s="12" t="s">
        <v>111</v>
      </c>
      <c r="D655" s="12" t="s">
        <v>112</v>
      </c>
      <c r="E655" s="12" t="s">
        <v>126</v>
      </c>
      <c r="F655" s="12" t="s">
        <v>66</v>
      </c>
      <c r="G655" s="12" t="s">
        <v>71</v>
      </c>
      <c r="H655" s="12">
        <v>5103403</v>
      </c>
      <c r="I655" s="13">
        <v>45905.603287037004</v>
      </c>
      <c r="J655" s="12" t="s">
        <v>127</v>
      </c>
      <c r="K655" s="12" t="s">
        <v>135</v>
      </c>
      <c r="L655" s="14"/>
      <c r="M655" s="14">
        <f t="shared" si="10"/>
        <v>0</v>
      </c>
      <c r="N655" s="7" t="s">
        <v>771</v>
      </c>
      <c r="O655" s="12"/>
      <c r="P655" s="12" t="s">
        <v>130</v>
      </c>
    </row>
    <row r="656" spans="1:16" ht="113.25" hidden="1" customHeight="1" x14ac:dyDescent="0.35">
      <c r="A656" s="12">
        <v>4905</v>
      </c>
      <c r="B656" s="12" t="s">
        <v>100</v>
      </c>
      <c r="C656" s="12" t="s">
        <v>111</v>
      </c>
      <c r="D656" s="12" t="s">
        <v>112</v>
      </c>
      <c r="E656" s="12" t="s">
        <v>131</v>
      </c>
      <c r="F656" s="12" t="s">
        <v>66</v>
      </c>
      <c r="G656" s="12" t="s">
        <v>71</v>
      </c>
      <c r="H656" s="12">
        <v>5103403</v>
      </c>
      <c r="I656" s="13">
        <v>45905.603287037004</v>
      </c>
      <c r="J656" s="12" t="s">
        <v>127</v>
      </c>
      <c r="K656" s="12" t="s">
        <v>135</v>
      </c>
      <c r="L656" s="14"/>
      <c r="M656" s="14">
        <f t="shared" si="10"/>
        <v>0</v>
      </c>
      <c r="N656" s="7" t="s">
        <v>772</v>
      </c>
      <c r="O656" s="12"/>
      <c r="P656" s="12" t="s">
        <v>130</v>
      </c>
    </row>
    <row r="657" spans="1:16" ht="79.5" hidden="1" customHeight="1" x14ac:dyDescent="0.35">
      <c r="A657" s="12">
        <v>4925</v>
      </c>
      <c r="B657" s="12" t="s">
        <v>100</v>
      </c>
      <c r="C657" s="12" t="s">
        <v>111</v>
      </c>
      <c r="D657" s="12" t="s">
        <v>112</v>
      </c>
      <c r="E657" s="12" t="s">
        <v>134</v>
      </c>
      <c r="F657" s="12" t="s">
        <v>66</v>
      </c>
      <c r="G657" s="12" t="s">
        <v>71</v>
      </c>
      <c r="H657" s="12">
        <v>5103403</v>
      </c>
      <c r="I657" s="13">
        <v>45905.603287037004</v>
      </c>
      <c r="J657" s="12" t="s">
        <v>127</v>
      </c>
      <c r="K657" s="12" t="s">
        <v>135</v>
      </c>
      <c r="L657" s="14"/>
      <c r="M657" s="14">
        <f t="shared" si="10"/>
        <v>0</v>
      </c>
      <c r="N657" s="7" t="s">
        <v>773</v>
      </c>
      <c r="O657" s="12"/>
      <c r="P657" s="12" t="s">
        <v>130</v>
      </c>
    </row>
    <row r="658" spans="1:16" ht="202.5" hidden="1" customHeight="1" x14ac:dyDescent="0.35">
      <c r="A658" s="12">
        <v>4906</v>
      </c>
      <c r="B658" s="12" t="s">
        <v>100</v>
      </c>
      <c r="C658" s="12" t="s">
        <v>113</v>
      </c>
      <c r="D658" s="12" t="s">
        <v>114</v>
      </c>
      <c r="E658" s="12" t="s">
        <v>126</v>
      </c>
      <c r="F658" s="12" t="s">
        <v>66</v>
      </c>
      <c r="G658" s="12" t="s">
        <v>71</v>
      </c>
      <c r="H658" s="12">
        <v>5103403</v>
      </c>
      <c r="I658" s="13">
        <v>45905.603287037004</v>
      </c>
      <c r="J658" s="12" t="s">
        <v>127</v>
      </c>
      <c r="K658" s="12" t="s">
        <v>132</v>
      </c>
      <c r="L658" s="14">
        <v>0.66600000000000004</v>
      </c>
      <c r="M658" s="14">
        <f t="shared" si="10"/>
        <v>0.66600000000000004</v>
      </c>
      <c r="N658" s="7" t="s">
        <v>774</v>
      </c>
      <c r="O658" s="12"/>
      <c r="P658" s="12" t="s">
        <v>130</v>
      </c>
    </row>
    <row r="659" spans="1:16" ht="90.75" hidden="1" customHeight="1" x14ac:dyDescent="0.35">
      <c r="A659" s="12">
        <v>4907</v>
      </c>
      <c r="B659" s="12" t="s">
        <v>100</v>
      </c>
      <c r="C659" s="12" t="s">
        <v>113</v>
      </c>
      <c r="D659" s="12" t="s">
        <v>114</v>
      </c>
      <c r="E659" s="12" t="s">
        <v>131</v>
      </c>
      <c r="F659" s="12" t="s">
        <v>66</v>
      </c>
      <c r="G659" s="12" t="s">
        <v>71</v>
      </c>
      <c r="H659" s="12">
        <v>5103403</v>
      </c>
      <c r="I659" s="13">
        <v>45905.603287037004</v>
      </c>
      <c r="J659" s="12" t="s">
        <v>127</v>
      </c>
      <c r="K659" s="12" t="s">
        <v>135</v>
      </c>
      <c r="L659" s="14"/>
      <c r="M659" s="14">
        <f t="shared" si="10"/>
        <v>0</v>
      </c>
      <c r="N659" s="7" t="s">
        <v>775</v>
      </c>
      <c r="O659" s="12"/>
      <c r="P659" s="12" t="s">
        <v>130</v>
      </c>
    </row>
    <row r="660" spans="1:16" ht="15" hidden="1" customHeight="1" x14ac:dyDescent="0.35">
      <c r="A660" s="12">
        <v>4908</v>
      </c>
      <c r="B660" s="12" t="s">
        <v>100</v>
      </c>
      <c r="C660" s="12" t="s">
        <v>113</v>
      </c>
      <c r="D660" s="12" t="s">
        <v>114</v>
      </c>
      <c r="E660" s="12" t="s">
        <v>134</v>
      </c>
      <c r="F660" s="12" t="s">
        <v>66</v>
      </c>
      <c r="G660" s="12" t="s">
        <v>71</v>
      </c>
      <c r="H660" s="12">
        <v>5103403</v>
      </c>
      <c r="I660" s="13">
        <v>45905.603287037004</v>
      </c>
      <c r="J660" s="12" t="s">
        <v>127</v>
      </c>
      <c r="K660" s="12" t="s">
        <v>688</v>
      </c>
      <c r="L660" s="14"/>
      <c r="M660" s="14" t="str">
        <f t="shared" si="10"/>
        <v/>
      </c>
      <c r="N660" s="7" t="s">
        <v>776</v>
      </c>
      <c r="O660" s="12"/>
      <c r="P660" s="12" t="s">
        <v>130</v>
      </c>
    </row>
    <row r="661" spans="1:16" ht="90.75" hidden="1" customHeight="1" x14ac:dyDescent="0.35">
      <c r="A661" s="12">
        <v>7495</v>
      </c>
      <c r="B661" s="12" t="s">
        <v>100</v>
      </c>
      <c r="C661" s="12" t="s">
        <v>101</v>
      </c>
      <c r="D661" s="12" t="s">
        <v>102</v>
      </c>
      <c r="E661" s="12" t="s">
        <v>126</v>
      </c>
      <c r="F661" s="12" t="s">
        <v>66</v>
      </c>
      <c r="G661" s="12" t="s">
        <v>72</v>
      </c>
      <c r="H661" s="12">
        <v>4106902</v>
      </c>
      <c r="I661" s="13">
        <v>45918.9069212963</v>
      </c>
      <c r="J661" s="12" t="s">
        <v>127</v>
      </c>
      <c r="K661" s="12" t="s">
        <v>128</v>
      </c>
      <c r="L661" s="14">
        <v>1</v>
      </c>
      <c r="M661" s="14">
        <f t="shared" si="10"/>
        <v>1</v>
      </c>
      <c r="N661" s="7" t="s">
        <v>777</v>
      </c>
      <c r="O661" s="12"/>
      <c r="P661" s="12" t="s">
        <v>130</v>
      </c>
    </row>
    <row r="662" spans="1:16" ht="23.25" hidden="1" customHeight="1" x14ac:dyDescent="0.35">
      <c r="A662" s="12">
        <v>7531</v>
      </c>
      <c r="B662" s="12" t="s">
        <v>100</v>
      </c>
      <c r="C662" s="12" t="s">
        <v>101</v>
      </c>
      <c r="D662" s="12" t="s">
        <v>102</v>
      </c>
      <c r="E662" s="12" t="s">
        <v>131</v>
      </c>
      <c r="F662" s="12" t="s">
        <v>66</v>
      </c>
      <c r="G662" s="12" t="s">
        <v>72</v>
      </c>
      <c r="H662" s="12">
        <v>4106902</v>
      </c>
      <c r="I662" s="13">
        <v>45918.9069212963</v>
      </c>
      <c r="J662" s="12" t="s">
        <v>127</v>
      </c>
      <c r="K662" s="12" t="s">
        <v>128</v>
      </c>
      <c r="L662" s="14">
        <v>1</v>
      </c>
      <c r="M662" s="14">
        <f t="shared" si="10"/>
        <v>1</v>
      </c>
      <c r="N662" s="7" t="s">
        <v>778</v>
      </c>
      <c r="O662" s="12"/>
      <c r="P662" s="12"/>
    </row>
    <row r="663" spans="1:16" ht="45.75" hidden="1" customHeight="1" x14ac:dyDescent="0.35">
      <c r="A663" s="12">
        <v>7532</v>
      </c>
      <c r="B663" s="12" t="s">
        <v>100</v>
      </c>
      <c r="C663" s="12" t="s">
        <v>101</v>
      </c>
      <c r="D663" s="12" t="s">
        <v>102</v>
      </c>
      <c r="E663" s="12" t="s">
        <v>134</v>
      </c>
      <c r="F663" s="12" t="s">
        <v>66</v>
      </c>
      <c r="G663" s="12" t="s">
        <v>72</v>
      </c>
      <c r="H663" s="12">
        <v>4106902</v>
      </c>
      <c r="I663" s="13">
        <v>45918.9069212963</v>
      </c>
      <c r="J663" s="12" t="s">
        <v>127</v>
      </c>
      <c r="K663" s="12" t="s">
        <v>128</v>
      </c>
      <c r="L663" s="14">
        <v>1</v>
      </c>
      <c r="M663" s="14">
        <f t="shared" si="10"/>
        <v>1</v>
      </c>
      <c r="N663" s="7" t="s">
        <v>779</v>
      </c>
      <c r="O663" s="12"/>
      <c r="P663" s="12"/>
    </row>
    <row r="664" spans="1:16" ht="135.75" hidden="1" customHeight="1" x14ac:dyDescent="0.35">
      <c r="A664" s="12">
        <v>7534</v>
      </c>
      <c r="B664" s="12" t="s">
        <v>100</v>
      </c>
      <c r="C664" s="12" t="s">
        <v>103</v>
      </c>
      <c r="D664" s="12" t="s">
        <v>104</v>
      </c>
      <c r="E664" s="12" t="s">
        <v>126</v>
      </c>
      <c r="F664" s="12" t="s">
        <v>66</v>
      </c>
      <c r="G664" s="12" t="s">
        <v>72</v>
      </c>
      <c r="H664" s="12">
        <v>4106902</v>
      </c>
      <c r="I664" s="13">
        <v>45918.9069212963</v>
      </c>
      <c r="J664" s="12" t="s">
        <v>127</v>
      </c>
      <c r="K664" s="12" t="s">
        <v>128</v>
      </c>
      <c r="L664" s="14">
        <v>1</v>
      </c>
      <c r="M664" s="14">
        <f t="shared" si="10"/>
        <v>1</v>
      </c>
      <c r="N664" s="7" t="s">
        <v>780</v>
      </c>
      <c r="O664" s="12"/>
      <c r="P664" s="12" t="s">
        <v>130</v>
      </c>
    </row>
    <row r="665" spans="1:16" ht="57" hidden="1" customHeight="1" x14ac:dyDescent="0.35">
      <c r="A665" s="12">
        <v>7535</v>
      </c>
      <c r="B665" s="12" t="s">
        <v>100</v>
      </c>
      <c r="C665" s="12" t="s">
        <v>103</v>
      </c>
      <c r="D665" s="12" t="s">
        <v>104</v>
      </c>
      <c r="E665" s="12" t="s">
        <v>131</v>
      </c>
      <c r="F665" s="12" t="s">
        <v>66</v>
      </c>
      <c r="G665" s="12" t="s">
        <v>72</v>
      </c>
      <c r="H665" s="12">
        <v>4106902</v>
      </c>
      <c r="I665" s="13">
        <v>45918.9069212963</v>
      </c>
      <c r="J665" s="12" t="s">
        <v>127</v>
      </c>
      <c r="K665" s="12" t="s">
        <v>128</v>
      </c>
      <c r="L665" s="14">
        <v>1</v>
      </c>
      <c r="M665" s="14">
        <f t="shared" si="10"/>
        <v>1</v>
      </c>
      <c r="N665" s="7" t="s">
        <v>781</v>
      </c>
      <c r="O665" s="12"/>
      <c r="P665" s="12" t="s">
        <v>130</v>
      </c>
    </row>
    <row r="666" spans="1:16" ht="202.5" hidden="1" customHeight="1" x14ac:dyDescent="0.35">
      <c r="A666" s="12">
        <v>7561</v>
      </c>
      <c r="B666" s="12" t="s">
        <v>100</v>
      </c>
      <c r="C666" s="12" t="s">
        <v>103</v>
      </c>
      <c r="D666" s="12" t="s">
        <v>104</v>
      </c>
      <c r="E666" s="12" t="s">
        <v>134</v>
      </c>
      <c r="F666" s="12" t="s">
        <v>66</v>
      </c>
      <c r="G666" s="12" t="s">
        <v>72</v>
      </c>
      <c r="H666" s="12">
        <v>4106902</v>
      </c>
      <c r="I666" s="13">
        <v>45918.9069212963</v>
      </c>
      <c r="J666" s="12" t="s">
        <v>127</v>
      </c>
      <c r="K666" s="12" t="s">
        <v>128</v>
      </c>
      <c r="L666" s="14">
        <v>1</v>
      </c>
      <c r="M666" s="14">
        <f t="shared" si="10"/>
        <v>1</v>
      </c>
      <c r="N666" s="7" t="s">
        <v>782</v>
      </c>
      <c r="O666" s="12"/>
      <c r="P666" s="12" t="s">
        <v>130</v>
      </c>
    </row>
    <row r="667" spans="1:16" ht="124.5" hidden="1" customHeight="1" x14ac:dyDescent="0.35">
      <c r="A667" s="12">
        <v>7822</v>
      </c>
      <c r="B667" s="12" t="s">
        <v>100</v>
      </c>
      <c r="C667" s="12" t="s">
        <v>105</v>
      </c>
      <c r="D667" s="12" t="s">
        <v>106</v>
      </c>
      <c r="E667" s="12" t="s">
        <v>126</v>
      </c>
      <c r="F667" s="12" t="s">
        <v>66</v>
      </c>
      <c r="G667" s="12" t="s">
        <v>72</v>
      </c>
      <c r="H667" s="12">
        <v>4106902</v>
      </c>
      <c r="I667" s="13">
        <v>45918.9069212963</v>
      </c>
      <c r="J667" s="12" t="s">
        <v>127</v>
      </c>
      <c r="K667" s="12" t="s">
        <v>128</v>
      </c>
      <c r="L667" s="14">
        <v>1</v>
      </c>
      <c r="M667" s="14">
        <f t="shared" si="10"/>
        <v>1</v>
      </c>
      <c r="N667" s="7" t="s">
        <v>783</v>
      </c>
      <c r="O667" s="12"/>
      <c r="P667" s="12" t="s">
        <v>130</v>
      </c>
    </row>
    <row r="668" spans="1:16" ht="57" hidden="1" customHeight="1" x14ac:dyDescent="0.35">
      <c r="A668" s="12">
        <v>7802</v>
      </c>
      <c r="B668" s="12" t="s">
        <v>100</v>
      </c>
      <c r="C668" s="12" t="s">
        <v>105</v>
      </c>
      <c r="D668" s="12" t="s">
        <v>106</v>
      </c>
      <c r="E668" s="12" t="s">
        <v>131</v>
      </c>
      <c r="F668" s="12" t="s">
        <v>66</v>
      </c>
      <c r="G668" s="12" t="s">
        <v>72</v>
      </c>
      <c r="H668" s="12">
        <v>4106902</v>
      </c>
      <c r="I668" s="13">
        <v>45918.9069212963</v>
      </c>
      <c r="J668" s="12" t="s">
        <v>127</v>
      </c>
      <c r="K668" s="12" t="s">
        <v>128</v>
      </c>
      <c r="L668" s="14">
        <v>1</v>
      </c>
      <c r="M668" s="14">
        <f t="shared" si="10"/>
        <v>1</v>
      </c>
      <c r="N668" s="7" t="s">
        <v>784</v>
      </c>
      <c r="O668" s="12"/>
      <c r="P668" s="12" t="s">
        <v>130</v>
      </c>
    </row>
    <row r="669" spans="1:16" ht="113.25" hidden="1" customHeight="1" x14ac:dyDescent="0.35">
      <c r="A669" s="12">
        <v>7803</v>
      </c>
      <c r="B669" s="12" t="s">
        <v>100</v>
      </c>
      <c r="C669" s="12" t="s">
        <v>107</v>
      </c>
      <c r="D669" s="12" t="s">
        <v>108</v>
      </c>
      <c r="E669" s="12" t="s">
        <v>126</v>
      </c>
      <c r="F669" s="12" t="s">
        <v>66</v>
      </c>
      <c r="G669" s="12" t="s">
        <v>72</v>
      </c>
      <c r="H669" s="12">
        <v>4106902</v>
      </c>
      <c r="I669" s="13">
        <v>45918.9069212963</v>
      </c>
      <c r="J669" s="12" t="s">
        <v>127</v>
      </c>
      <c r="K669" s="12" t="s">
        <v>128</v>
      </c>
      <c r="L669" s="14">
        <v>1</v>
      </c>
      <c r="M669" s="14">
        <f t="shared" si="10"/>
        <v>1</v>
      </c>
      <c r="N669" s="7" t="s">
        <v>785</v>
      </c>
      <c r="O669" s="12"/>
      <c r="P669" s="12"/>
    </row>
    <row r="670" spans="1:16" ht="102" hidden="1" customHeight="1" x14ac:dyDescent="0.35">
      <c r="A670" s="12">
        <v>7805</v>
      </c>
      <c r="B670" s="12" t="s">
        <v>100</v>
      </c>
      <c r="C670" s="12" t="s">
        <v>107</v>
      </c>
      <c r="D670" s="12" t="s">
        <v>108</v>
      </c>
      <c r="E670" s="12" t="s">
        <v>131</v>
      </c>
      <c r="F670" s="12" t="s">
        <v>66</v>
      </c>
      <c r="G670" s="12" t="s">
        <v>72</v>
      </c>
      <c r="H670" s="12">
        <v>4106902</v>
      </c>
      <c r="I670" s="13">
        <v>45918.9069212963</v>
      </c>
      <c r="J670" s="12" t="s">
        <v>127</v>
      </c>
      <c r="K670" s="12" t="s">
        <v>128</v>
      </c>
      <c r="L670" s="14">
        <v>1</v>
      </c>
      <c r="M670" s="14">
        <f t="shared" si="10"/>
        <v>1</v>
      </c>
      <c r="N670" s="7" t="s">
        <v>786</v>
      </c>
      <c r="O670" s="12"/>
      <c r="P670" s="12" t="s">
        <v>130</v>
      </c>
    </row>
    <row r="671" spans="1:16" ht="34.5" hidden="1" customHeight="1" x14ac:dyDescent="0.35">
      <c r="A671" s="12">
        <v>7823</v>
      </c>
      <c r="B671" s="12" t="s">
        <v>100</v>
      </c>
      <c r="C671" s="12" t="s">
        <v>107</v>
      </c>
      <c r="D671" s="12" t="s">
        <v>108</v>
      </c>
      <c r="E671" s="12" t="s">
        <v>134</v>
      </c>
      <c r="F671" s="12" t="s">
        <v>66</v>
      </c>
      <c r="G671" s="12" t="s">
        <v>72</v>
      </c>
      <c r="H671" s="12">
        <v>4106902</v>
      </c>
      <c r="I671" s="13">
        <v>45918.9069212963</v>
      </c>
      <c r="J671" s="12" t="s">
        <v>127</v>
      </c>
      <c r="K671" s="12" t="s">
        <v>128</v>
      </c>
      <c r="L671" s="14">
        <v>1</v>
      </c>
      <c r="M671" s="14">
        <f t="shared" si="10"/>
        <v>1</v>
      </c>
      <c r="N671" s="7" t="s">
        <v>787</v>
      </c>
      <c r="O671" s="12"/>
      <c r="P671" s="12" t="s">
        <v>130</v>
      </c>
    </row>
    <row r="672" spans="1:16" ht="202.5" hidden="1" customHeight="1" x14ac:dyDescent="0.35">
      <c r="A672" s="12">
        <v>7824</v>
      </c>
      <c r="B672" s="12" t="s">
        <v>100</v>
      </c>
      <c r="C672" s="12" t="s">
        <v>109</v>
      </c>
      <c r="D672" s="12" t="s">
        <v>110</v>
      </c>
      <c r="E672" s="12" t="s">
        <v>126</v>
      </c>
      <c r="F672" s="12" t="s">
        <v>66</v>
      </c>
      <c r="G672" s="12" t="s">
        <v>72</v>
      </c>
      <c r="H672" s="12">
        <v>4106902</v>
      </c>
      <c r="I672" s="13">
        <v>45918.9069212963</v>
      </c>
      <c r="J672" s="12" t="s">
        <v>127</v>
      </c>
      <c r="K672" s="12" t="s">
        <v>128</v>
      </c>
      <c r="L672" s="14">
        <v>1</v>
      </c>
      <c r="M672" s="14">
        <f t="shared" si="10"/>
        <v>1</v>
      </c>
      <c r="N672" s="7" t="s">
        <v>788</v>
      </c>
      <c r="O672" s="12"/>
      <c r="P672" s="12" t="s">
        <v>130</v>
      </c>
    </row>
    <row r="673" spans="1:16" ht="57" hidden="1" customHeight="1" x14ac:dyDescent="0.35">
      <c r="A673" s="12">
        <v>7825</v>
      </c>
      <c r="B673" s="12" t="s">
        <v>100</v>
      </c>
      <c r="C673" s="12" t="s">
        <v>109</v>
      </c>
      <c r="D673" s="12" t="s">
        <v>110</v>
      </c>
      <c r="E673" s="12" t="s">
        <v>131</v>
      </c>
      <c r="F673" s="12" t="s">
        <v>66</v>
      </c>
      <c r="G673" s="12" t="s">
        <v>72</v>
      </c>
      <c r="H673" s="12">
        <v>4106902</v>
      </c>
      <c r="I673" s="13">
        <v>45918.9069212963</v>
      </c>
      <c r="J673" s="12" t="s">
        <v>127</v>
      </c>
      <c r="K673" s="12" t="s">
        <v>128</v>
      </c>
      <c r="L673" s="14">
        <v>1</v>
      </c>
      <c r="M673" s="14">
        <f t="shared" si="10"/>
        <v>1</v>
      </c>
      <c r="N673" s="7" t="s">
        <v>789</v>
      </c>
      <c r="O673" s="12"/>
      <c r="P673" s="12"/>
    </row>
    <row r="674" spans="1:16" ht="270" hidden="1" customHeight="1" x14ac:dyDescent="0.35">
      <c r="A674" s="12">
        <v>7826</v>
      </c>
      <c r="B674" s="12" t="s">
        <v>100</v>
      </c>
      <c r="C674" s="12" t="s">
        <v>111</v>
      </c>
      <c r="D674" s="12" t="s">
        <v>112</v>
      </c>
      <c r="E674" s="12" t="s">
        <v>126</v>
      </c>
      <c r="F674" s="12" t="s">
        <v>66</v>
      </c>
      <c r="G674" s="12" t="s">
        <v>72</v>
      </c>
      <c r="H674" s="12">
        <v>4106902</v>
      </c>
      <c r="I674" s="13">
        <v>45918.9069212963</v>
      </c>
      <c r="J674" s="12" t="s">
        <v>127</v>
      </c>
      <c r="K674" s="12" t="s">
        <v>142</v>
      </c>
      <c r="L674" s="14">
        <v>0.33300000000000002</v>
      </c>
      <c r="M674" s="14">
        <f t="shared" si="10"/>
        <v>0.33300000000000002</v>
      </c>
      <c r="N674" s="7" t="s">
        <v>790</v>
      </c>
      <c r="O674" s="12"/>
      <c r="P674" s="12" t="s">
        <v>130</v>
      </c>
    </row>
    <row r="675" spans="1:16" ht="168.75" hidden="1" customHeight="1" x14ac:dyDescent="0.35">
      <c r="A675" s="12">
        <v>7827</v>
      </c>
      <c r="B675" s="12" t="s">
        <v>100</v>
      </c>
      <c r="C675" s="12" t="s">
        <v>111</v>
      </c>
      <c r="D675" s="12" t="s">
        <v>112</v>
      </c>
      <c r="E675" s="12" t="s">
        <v>131</v>
      </c>
      <c r="F675" s="12" t="s">
        <v>66</v>
      </c>
      <c r="G675" s="12" t="s">
        <v>72</v>
      </c>
      <c r="H675" s="12">
        <v>4106902</v>
      </c>
      <c r="I675" s="13">
        <v>45918.9069212963</v>
      </c>
      <c r="J675" s="12" t="s">
        <v>127</v>
      </c>
      <c r="K675" s="12" t="s">
        <v>142</v>
      </c>
      <c r="L675" s="14">
        <v>0.33300000000000002</v>
      </c>
      <c r="M675" s="14">
        <f t="shared" si="10"/>
        <v>0.33300000000000002</v>
      </c>
      <c r="N675" s="7" t="s">
        <v>791</v>
      </c>
      <c r="O675" s="12"/>
      <c r="P675" s="12" t="s">
        <v>130</v>
      </c>
    </row>
    <row r="676" spans="1:16" ht="202.5" hidden="1" customHeight="1" x14ac:dyDescent="0.35">
      <c r="A676" s="12">
        <v>7828</v>
      </c>
      <c r="B676" s="12" t="s">
        <v>100</v>
      </c>
      <c r="C676" s="12" t="s">
        <v>111</v>
      </c>
      <c r="D676" s="12" t="s">
        <v>112</v>
      </c>
      <c r="E676" s="12" t="s">
        <v>134</v>
      </c>
      <c r="F676" s="12" t="s">
        <v>66</v>
      </c>
      <c r="G676" s="12" t="s">
        <v>72</v>
      </c>
      <c r="H676" s="12">
        <v>4106902</v>
      </c>
      <c r="I676" s="13">
        <v>45918.9069212963</v>
      </c>
      <c r="J676" s="12" t="s">
        <v>127</v>
      </c>
      <c r="K676" s="12" t="s">
        <v>132</v>
      </c>
      <c r="L676" s="14">
        <v>0.66600000000000004</v>
      </c>
      <c r="M676" s="14">
        <f t="shared" si="10"/>
        <v>0.66600000000000004</v>
      </c>
      <c r="N676" s="7" t="s">
        <v>792</v>
      </c>
      <c r="O676" s="12"/>
      <c r="P676" s="12" t="s">
        <v>130</v>
      </c>
    </row>
    <row r="677" spans="1:16" ht="157.5" hidden="1" customHeight="1" x14ac:dyDescent="0.35">
      <c r="A677" s="12">
        <v>7829</v>
      </c>
      <c r="B677" s="12" t="s">
        <v>100</v>
      </c>
      <c r="C677" s="12" t="s">
        <v>113</v>
      </c>
      <c r="D677" s="12" t="s">
        <v>114</v>
      </c>
      <c r="E677" s="12" t="s">
        <v>126</v>
      </c>
      <c r="F677" s="12" t="s">
        <v>66</v>
      </c>
      <c r="G677" s="12" t="s">
        <v>72</v>
      </c>
      <c r="H677" s="12">
        <v>4106902</v>
      </c>
      <c r="I677" s="13">
        <v>45918.9069212963</v>
      </c>
      <c r="J677" s="12" t="s">
        <v>127</v>
      </c>
      <c r="K677" s="12" t="s">
        <v>128</v>
      </c>
      <c r="L677" s="14">
        <v>1</v>
      </c>
      <c r="M677" s="14">
        <f t="shared" si="10"/>
        <v>1</v>
      </c>
      <c r="N677" s="7" t="s">
        <v>793</v>
      </c>
      <c r="O677" s="12"/>
      <c r="P677" s="12" t="s">
        <v>130</v>
      </c>
    </row>
    <row r="678" spans="1:16" ht="213.75" hidden="1" customHeight="1" x14ac:dyDescent="0.35">
      <c r="A678" s="12">
        <v>7830</v>
      </c>
      <c r="B678" s="12" t="s">
        <v>100</v>
      </c>
      <c r="C678" s="12" t="s">
        <v>113</v>
      </c>
      <c r="D678" s="12" t="s">
        <v>114</v>
      </c>
      <c r="E678" s="12" t="s">
        <v>131</v>
      </c>
      <c r="F678" s="12" t="s">
        <v>66</v>
      </c>
      <c r="G678" s="12" t="s">
        <v>72</v>
      </c>
      <c r="H678" s="12">
        <v>4106902</v>
      </c>
      <c r="I678" s="13">
        <v>45918.9069212963</v>
      </c>
      <c r="J678" s="12" t="s">
        <v>127</v>
      </c>
      <c r="K678" s="12" t="s">
        <v>142</v>
      </c>
      <c r="L678" s="14">
        <v>0.33300000000000002</v>
      </c>
      <c r="M678" s="14">
        <f t="shared" si="10"/>
        <v>0.33300000000000002</v>
      </c>
      <c r="N678" s="7" t="s">
        <v>794</v>
      </c>
      <c r="O678" s="12"/>
      <c r="P678" s="12" t="s">
        <v>130</v>
      </c>
    </row>
    <row r="679" spans="1:16" ht="409.6" hidden="1" customHeight="1" x14ac:dyDescent="0.35">
      <c r="A679" s="12">
        <v>7831</v>
      </c>
      <c r="B679" s="12" t="s">
        <v>100</v>
      </c>
      <c r="C679" s="12" t="s">
        <v>113</v>
      </c>
      <c r="D679" s="12" t="s">
        <v>114</v>
      </c>
      <c r="E679" s="12" t="s">
        <v>134</v>
      </c>
      <c r="F679" s="12" t="s">
        <v>66</v>
      </c>
      <c r="G679" s="12" t="s">
        <v>72</v>
      </c>
      <c r="H679" s="12">
        <v>4106902</v>
      </c>
      <c r="I679" s="13">
        <v>45918.9069212963</v>
      </c>
      <c r="J679" s="12" t="s">
        <v>127</v>
      </c>
      <c r="K679" s="12" t="s">
        <v>688</v>
      </c>
      <c r="L679" s="14"/>
      <c r="M679" s="14" t="str">
        <f t="shared" si="10"/>
        <v/>
      </c>
      <c r="N679" s="7" t="s">
        <v>795</v>
      </c>
      <c r="O679" s="12"/>
      <c r="P679" s="12" t="s">
        <v>130</v>
      </c>
    </row>
    <row r="680" spans="1:16" ht="236.25" hidden="1" customHeight="1" x14ac:dyDescent="0.35">
      <c r="A680" s="12">
        <v>1641</v>
      </c>
      <c r="B680" s="12" t="s">
        <v>100</v>
      </c>
      <c r="C680" s="12" t="s">
        <v>101</v>
      </c>
      <c r="D680" s="12" t="s">
        <v>102</v>
      </c>
      <c r="E680" s="12" t="s">
        <v>126</v>
      </c>
      <c r="F680" s="12" t="s">
        <v>39</v>
      </c>
      <c r="G680" s="12" t="s">
        <v>46</v>
      </c>
      <c r="H680" s="12">
        <v>32</v>
      </c>
      <c r="I680" s="13">
        <v>45939.851863425902</v>
      </c>
      <c r="J680" s="12" t="s">
        <v>127</v>
      </c>
      <c r="K680" s="12" t="s">
        <v>132</v>
      </c>
      <c r="L680" s="14">
        <v>0.66600000000000004</v>
      </c>
      <c r="M680" s="14">
        <f t="shared" si="10"/>
        <v>0.66600000000000004</v>
      </c>
      <c r="N680" s="7" t="s">
        <v>796</v>
      </c>
      <c r="O680" s="12"/>
      <c r="P680" s="12" t="s">
        <v>130</v>
      </c>
    </row>
    <row r="681" spans="1:16" ht="213.75" hidden="1" customHeight="1" x14ac:dyDescent="0.35">
      <c r="A681" s="12">
        <v>1655</v>
      </c>
      <c r="B681" s="12" t="s">
        <v>100</v>
      </c>
      <c r="C681" s="12" t="s">
        <v>101</v>
      </c>
      <c r="D681" s="12" t="s">
        <v>102</v>
      </c>
      <c r="E681" s="12" t="s">
        <v>131</v>
      </c>
      <c r="F681" s="12" t="s">
        <v>39</v>
      </c>
      <c r="G681" s="12" t="s">
        <v>46</v>
      </c>
      <c r="H681" s="12">
        <v>32</v>
      </c>
      <c r="I681" s="13">
        <v>45939.851863425902</v>
      </c>
      <c r="J681" s="12" t="s">
        <v>127</v>
      </c>
      <c r="K681" s="12" t="s">
        <v>142</v>
      </c>
      <c r="L681" s="14">
        <v>0.33300000000000002</v>
      </c>
      <c r="M681" s="14">
        <f t="shared" si="10"/>
        <v>0.33300000000000002</v>
      </c>
      <c r="N681" s="7" t="s">
        <v>797</v>
      </c>
      <c r="O681" s="12"/>
      <c r="P681" s="12" t="s">
        <v>130</v>
      </c>
    </row>
    <row r="682" spans="1:16" ht="225" hidden="1" customHeight="1" x14ac:dyDescent="0.35">
      <c r="A682" s="12">
        <v>4661</v>
      </c>
      <c r="B682" s="12" t="s">
        <v>100</v>
      </c>
      <c r="C682" s="12" t="s">
        <v>101</v>
      </c>
      <c r="D682" s="12" t="s">
        <v>102</v>
      </c>
      <c r="E682" s="12" t="s">
        <v>134</v>
      </c>
      <c r="F682" s="12" t="s">
        <v>39</v>
      </c>
      <c r="G682" s="12" t="s">
        <v>46</v>
      </c>
      <c r="H682" s="12">
        <v>32</v>
      </c>
      <c r="I682" s="13">
        <v>45939.851863425902</v>
      </c>
      <c r="J682" s="12" t="s">
        <v>127</v>
      </c>
      <c r="K682" s="12" t="s">
        <v>132</v>
      </c>
      <c r="L682" s="14">
        <v>0.66600000000000004</v>
      </c>
      <c r="M682" s="14">
        <f t="shared" si="10"/>
        <v>0.66600000000000004</v>
      </c>
      <c r="N682" s="7" t="s">
        <v>798</v>
      </c>
      <c r="O682" s="12"/>
      <c r="P682" s="12" t="s">
        <v>130</v>
      </c>
    </row>
    <row r="683" spans="1:16" ht="90.75" hidden="1" customHeight="1" x14ac:dyDescent="0.35">
      <c r="A683" s="12">
        <v>4761</v>
      </c>
      <c r="B683" s="12" t="s">
        <v>100</v>
      </c>
      <c r="C683" s="12" t="s">
        <v>103</v>
      </c>
      <c r="D683" s="12" t="s">
        <v>104</v>
      </c>
      <c r="E683" s="12" t="s">
        <v>126</v>
      </c>
      <c r="F683" s="12" t="s">
        <v>39</v>
      </c>
      <c r="G683" s="12" t="s">
        <v>46</v>
      </c>
      <c r="H683" s="12">
        <v>32</v>
      </c>
      <c r="I683" s="13">
        <v>45939.851863425902</v>
      </c>
      <c r="J683" s="12" t="s">
        <v>127</v>
      </c>
      <c r="K683" s="12" t="s">
        <v>142</v>
      </c>
      <c r="L683" s="14">
        <v>0.33300000000000002</v>
      </c>
      <c r="M683" s="14">
        <f t="shared" si="10"/>
        <v>0.33300000000000002</v>
      </c>
      <c r="N683" s="7" t="s">
        <v>799</v>
      </c>
      <c r="O683" s="12"/>
      <c r="P683" s="12"/>
    </row>
    <row r="684" spans="1:16" ht="213.75" hidden="1" customHeight="1" x14ac:dyDescent="0.35">
      <c r="A684" s="12">
        <v>4887</v>
      </c>
      <c r="B684" s="12" t="s">
        <v>100</v>
      </c>
      <c r="C684" s="12" t="s">
        <v>103</v>
      </c>
      <c r="D684" s="12" t="s">
        <v>104</v>
      </c>
      <c r="E684" s="12" t="s">
        <v>131</v>
      </c>
      <c r="F684" s="12" t="s">
        <v>39</v>
      </c>
      <c r="G684" s="12" t="s">
        <v>46</v>
      </c>
      <c r="H684" s="12">
        <v>32</v>
      </c>
      <c r="I684" s="13">
        <v>45939.851863425902</v>
      </c>
      <c r="J684" s="12" t="s">
        <v>127</v>
      </c>
      <c r="K684" s="12" t="s">
        <v>142</v>
      </c>
      <c r="L684" s="14">
        <v>0.33300000000000002</v>
      </c>
      <c r="M684" s="14">
        <f t="shared" si="10"/>
        <v>0.33300000000000002</v>
      </c>
      <c r="N684" s="7" t="s">
        <v>800</v>
      </c>
      <c r="O684" s="12"/>
      <c r="P684" s="12" t="s">
        <v>130</v>
      </c>
    </row>
    <row r="685" spans="1:16" ht="213.75" hidden="1" customHeight="1" x14ac:dyDescent="0.35">
      <c r="A685" s="12">
        <v>4865</v>
      </c>
      <c r="B685" s="12" t="s">
        <v>100</v>
      </c>
      <c r="C685" s="12" t="s">
        <v>103</v>
      </c>
      <c r="D685" s="12" t="s">
        <v>104</v>
      </c>
      <c r="E685" s="12" t="s">
        <v>134</v>
      </c>
      <c r="F685" s="12" t="s">
        <v>39</v>
      </c>
      <c r="G685" s="12" t="s">
        <v>46</v>
      </c>
      <c r="H685" s="12">
        <v>32</v>
      </c>
      <c r="I685" s="13">
        <v>45939.851863425902</v>
      </c>
      <c r="J685" s="12" t="s">
        <v>127</v>
      </c>
      <c r="K685" s="12" t="s">
        <v>135</v>
      </c>
      <c r="L685" s="14"/>
      <c r="M685" s="14">
        <f t="shared" si="10"/>
        <v>0</v>
      </c>
      <c r="N685" s="7" t="s">
        <v>801</v>
      </c>
      <c r="O685" s="12"/>
      <c r="P685" s="12" t="s">
        <v>130</v>
      </c>
    </row>
    <row r="686" spans="1:16" ht="225" hidden="1" customHeight="1" x14ac:dyDescent="0.35">
      <c r="A686" s="12">
        <v>5122</v>
      </c>
      <c r="B686" s="12" t="s">
        <v>100</v>
      </c>
      <c r="C686" s="12" t="s">
        <v>105</v>
      </c>
      <c r="D686" s="12" t="s">
        <v>106</v>
      </c>
      <c r="E686" s="12" t="s">
        <v>126</v>
      </c>
      <c r="F686" s="12" t="s">
        <v>39</v>
      </c>
      <c r="G686" s="12" t="s">
        <v>46</v>
      </c>
      <c r="H686" s="12">
        <v>32</v>
      </c>
      <c r="I686" s="13">
        <v>45939.851863425902</v>
      </c>
      <c r="J686" s="12" t="s">
        <v>127</v>
      </c>
      <c r="K686" s="12" t="s">
        <v>142</v>
      </c>
      <c r="L686" s="14">
        <v>0.33300000000000002</v>
      </c>
      <c r="M686" s="14">
        <f t="shared" si="10"/>
        <v>0.33300000000000002</v>
      </c>
      <c r="N686" s="7" t="s">
        <v>802</v>
      </c>
      <c r="O686" s="12"/>
      <c r="P686" s="12" t="s">
        <v>130</v>
      </c>
    </row>
    <row r="687" spans="1:16" ht="168.75" hidden="1" customHeight="1" x14ac:dyDescent="0.35">
      <c r="A687" s="12">
        <v>4977</v>
      </c>
      <c r="B687" s="12" t="s">
        <v>100</v>
      </c>
      <c r="C687" s="12" t="s">
        <v>105</v>
      </c>
      <c r="D687" s="12" t="s">
        <v>106</v>
      </c>
      <c r="E687" s="12" t="s">
        <v>131</v>
      </c>
      <c r="F687" s="12" t="s">
        <v>39</v>
      </c>
      <c r="G687" s="12" t="s">
        <v>46</v>
      </c>
      <c r="H687" s="12">
        <v>32</v>
      </c>
      <c r="I687" s="13">
        <v>45939.851863425902</v>
      </c>
      <c r="J687" s="12" t="s">
        <v>127</v>
      </c>
      <c r="K687" s="12" t="s">
        <v>142</v>
      </c>
      <c r="L687" s="14">
        <v>0.33300000000000002</v>
      </c>
      <c r="M687" s="14">
        <f t="shared" si="10"/>
        <v>0.33300000000000002</v>
      </c>
      <c r="N687" s="7" t="s">
        <v>803</v>
      </c>
      <c r="O687" s="12"/>
      <c r="P687" s="12" t="s">
        <v>130</v>
      </c>
    </row>
    <row r="688" spans="1:16" ht="236.25" hidden="1" customHeight="1" x14ac:dyDescent="0.35">
      <c r="A688" s="12">
        <v>4960</v>
      </c>
      <c r="B688" s="12" t="s">
        <v>100</v>
      </c>
      <c r="C688" s="12" t="s">
        <v>107</v>
      </c>
      <c r="D688" s="12" t="s">
        <v>108</v>
      </c>
      <c r="E688" s="12" t="s">
        <v>126</v>
      </c>
      <c r="F688" s="12" t="s">
        <v>39</v>
      </c>
      <c r="G688" s="12" t="s">
        <v>46</v>
      </c>
      <c r="H688" s="12">
        <v>32</v>
      </c>
      <c r="I688" s="13">
        <v>45939.851863425902</v>
      </c>
      <c r="J688" s="12" t="s">
        <v>127</v>
      </c>
      <c r="K688" s="12" t="s">
        <v>132</v>
      </c>
      <c r="L688" s="14">
        <v>0.66600000000000004</v>
      </c>
      <c r="M688" s="14">
        <f t="shared" si="10"/>
        <v>0.66600000000000004</v>
      </c>
      <c r="N688" s="7" t="s">
        <v>804</v>
      </c>
      <c r="O688" s="12"/>
      <c r="P688" s="12" t="s">
        <v>130</v>
      </c>
    </row>
    <row r="689" spans="1:16" ht="168.75" hidden="1" customHeight="1" x14ac:dyDescent="0.35">
      <c r="A689" s="12">
        <v>4981</v>
      </c>
      <c r="B689" s="12" t="s">
        <v>100</v>
      </c>
      <c r="C689" s="12" t="s">
        <v>107</v>
      </c>
      <c r="D689" s="12" t="s">
        <v>108</v>
      </c>
      <c r="E689" s="12" t="s">
        <v>131</v>
      </c>
      <c r="F689" s="12" t="s">
        <v>39</v>
      </c>
      <c r="G689" s="12" t="s">
        <v>46</v>
      </c>
      <c r="H689" s="12">
        <v>32</v>
      </c>
      <c r="I689" s="13">
        <v>45939.851863425902</v>
      </c>
      <c r="J689" s="12" t="s">
        <v>127</v>
      </c>
      <c r="K689" s="12" t="s">
        <v>128</v>
      </c>
      <c r="L689" s="14">
        <v>1</v>
      </c>
      <c r="M689" s="14">
        <f t="shared" si="10"/>
        <v>1</v>
      </c>
      <c r="N689" s="7" t="s">
        <v>805</v>
      </c>
      <c r="O689" s="12"/>
      <c r="P689" s="12" t="s">
        <v>130</v>
      </c>
    </row>
    <row r="690" spans="1:16" ht="236.25" hidden="1" customHeight="1" x14ac:dyDescent="0.35">
      <c r="A690" s="12">
        <v>4978</v>
      </c>
      <c r="B690" s="12" t="s">
        <v>100</v>
      </c>
      <c r="C690" s="12" t="s">
        <v>107</v>
      </c>
      <c r="D690" s="12" t="s">
        <v>108</v>
      </c>
      <c r="E690" s="12" t="s">
        <v>134</v>
      </c>
      <c r="F690" s="12" t="s">
        <v>39</v>
      </c>
      <c r="G690" s="12" t="s">
        <v>46</v>
      </c>
      <c r="H690" s="12">
        <v>32</v>
      </c>
      <c r="I690" s="13">
        <v>45939.851863425902</v>
      </c>
      <c r="J690" s="12" t="s">
        <v>127</v>
      </c>
      <c r="K690" s="12" t="s">
        <v>132</v>
      </c>
      <c r="L690" s="14">
        <v>0.66600000000000004</v>
      </c>
      <c r="M690" s="14">
        <f t="shared" si="10"/>
        <v>0.66600000000000004</v>
      </c>
      <c r="N690" s="7" t="s">
        <v>806</v>
      </c>
      <c r="O690" s="12"/>
      <c r="P690" s="12" t="s">
        <v>130</v>
      </c>
    </row>
    <row r="691" spans="1:16" ht="124.5" hidden="1" customHeight="1" x14ac:dyDescent="0.35">
      <c r="A691" s="12">
        <v>4971</v>
      </c>
      <c r="B691" s="12" t="s">
        <v>100</v>
      </c>
      <c r="C691" s="12" t="s">
        <v>109</v>
      </c>
      <c r="D691" s="12" t="s">
        <v>110</v>
      </c>
      <c r="E691" s="12" t="s">
        <v>126</v>
      </c>
      <c r="F691" s="12" t="s">
        <v>39</v>
      </c>
      <c r="G691" s="12" t="s">
        <v>46</v>
      </c>
      <c r="H691" s="12">
        <v>32</v>
      </c>
      <c r="I691" s="13">
        <v>45939.851863425902</v>
      </c>
      <c r="J691" s="12" t="s">
        <v>127</v>
      </c>
      <c r="K691" s="12" t="s">
        <v>142</v>
      </c>
      <c r="L691" s="14">
        <v>0.33300000000000002</v>
      </c>
      <c r="M691" s="14">
        <f t="shared" si="10"/>
        <v>0.33300000000000002</v>
      </c>
      <c r="N691" s="7" t="s">
        <v>807</v>
      </c>
      <c r="O691" s="12"/>
      <c r="P691" s="12" t="s">
        <v>130</v>
      </c>
    </row>
    <row r="692" spans="1:16" ht="225" hidden="1" customHeight="1" x14ac:dyDescent="0.35">
      <c r="A692" s="12">
        <v>4979</v>
      </c>
      <c r="B692" s="12" t="s">
        <v>100</v>
      </c>
      <c r="C692" s="12" t="s">
        <v>109</v>
      </c>
      <c r="D692" s="12" t="s">
        <v>110</v>
      </c>
      <c r="E692" s="12" t="s">
        <v>131</v>
      </c>
      <c r="F692" s="12" t="s">
        <v>39</v>
      </c>
      <c r="G692" s="12" t="s">
        <v>46</v>
      </c>
      <c r="H692" s="12">
        <v>32</v>
      </c>
      <c r="I692" s="13">
        <v>45939.851863425902</v>
      </c>
      <c r="J692" s="12" t="s">
        <v>127</v>
      </c>
      <c r="K692" s="12" t="s">
        <v>128</v>
      </c>
      <c r="L692" s="14">
        <v>1</v>
      </c>
      <c r="M692" s="14">
        <f t="shared" si="10"/>
        <v>1</v>
      </c>
      <c r="N692" s="7" t="s">
        <v>808</v>
      </c>
      <c r="O692" s="12"/>
      <c r="P692" s="12" t="s">
        <v>130</v>
      </c>
    </row>
    <row r="693" spans="1:16" ht="124.5" hidden="1" customHeight="1" x14ac:dyDescent="0.35">
      <c r="A693" s="12">
        <v>4962</v>
      </c>
      <c r="B693" s="12" t="s">
        <v>100</v>
      </c>
      <c r="C693" s="12" t="s">
        <v>111</v>
      </c>
      <c r="D693" s="12" t="s">
        <v>112</v>
      </c>
      <c r="E693" s="12" t="s">
        <v>126</v>
      </c>
      <c r="F693" s="12" t="s">
        <v>39</v>
      </c>
      <c r="G693" s="12" t="s">
        <v>46</v>
      </c>
      <c r="H693" s="12">
        <v>32</v>
      </c>
      <c r="I693" s="13">
        <v>45939.851863425902</v>
      </c>
      <c r="J693" s="12" t="s">
        <v>127</v>
      </c>
      <c r="K693" s="12" t="s">
        <v>135</v>
      </c>
      <c r="L693" s="14"/>
      <c r="M693" s="14">
        <f t="shared" si="10"/>
        <v>0</v>
      </c>
      <c r="N693" s="7" t="s">
        <v>809</v>
      </c>
      <c r="O693" s="12"/>
      <c r="P693" s="12" t="s">
        <v>130</v>
      </c>
    </row>
    <row r="694" spans="1:16" ht="168.75" hidden="1" customHeight="1" x14ac:dyDescent="0.35">
      <c r="A694" s="12">
        <v>4953</v>
      </c>
      <c r="B694" s="12" t="s">
        <v>100</v>
      </c>
      <c r="C694" s="12" t="s">
        <v>111</v>
      </c>
      <c r="D694" s="12" t="s">
        <v>112</v>
      </c>
      <c r="E694" s="12" t="s">
        <v>131</v>
      </c>
      <c r="F694" s="12" t="s">
        <v>39</v>
      </c>
      <c r="G694" s="12" t="s">
        <v>46</v>
      </c>
      <c r="H694" s="12">
        <v>32</v>
      </c>
      <c r="I694" s="13">
        <v>45939.851863425902</v>
      </c>
      <c r="J694" s="12" t="s">
        <v>127</v>
      </c>
      <c r="K694" s="12" t="s">
        <v>142</v>
      </c>
      <c r="L694" s="14">
        <v>0.33300000000000002</v>
      </c>
      <c r="M694" s="14">
        <f t="shared" si="10"/>
        <v>0.33300000000000002</v>
      </c>
      <c r="N694" s="7" t="s">
        <v>810</v>
      </c>
      <c r="O694" s="12"/>
      <c r="P694" s="12" t="s">
        <v>130</v>
      </c>
    </row>
    <row r="695" spans="1:16" ht="180" hidden="1" customHeight="1" x14ac:dyDescent="0.35">
      <c r="A695" s="12">
        <v>4967</v>
      </c>
      <c r="B695" s="12" t="s">
        <v>100</v>
      </c>
      <c r="C695" s="12" t="s">
        <v>111</v>
      </c>
      <c r="D695" s="12" t="s">
        <v>112</v>
      </c>
      <c r="E695" s="12" t="s">
        <v>134</v>
      </c>
      <c r="F695" s="12" t="s">
        <v>39</v>
      </c>
      <c r="G695" s="12" t="s">
        <v>46</v>
      </c>
      <c r="H695" s="12">
        <v>32</v>
      </c>
      <c r="I695" s="13">
        <v>45939.851863425902</v>
      </c>
      <c r="J695" s="12" t="s">
        <v>127</v>
      </c>
      <c r="K695" s="12" t="s">
        <v>142</v>
      </c>
      <c r="L695" s="14">
        <v>0.33300000000000002</v>
      </c>
      <c r="M695" s="14">
        <f t="shared" si="10"/>
        <v>0.33300000000000002</v>
      </c>
      <c r="N695" s="7" t="s">
        <v>811</v>
      </c>
      <c r="O695" s="12"/>
      <c r="P695" s="12" t="s">
        <v>130</v>
      </c>
    </row>
    <row r="696" spans="1:16" ht="157.5" hidden="1" customHeight="1" x14ac:dyDescent="0.35">
      <c r="A696" s="12">
        <v>5357</v>
      </c>
      <c r="B696" s="12" t="s">
        <v>100</v>
      </c>
      <c r="C696" s="12" t="s">
        <v>113</v>
      </c>
      <c r="D696" s="12" t="s">
        <v>114</v>
      </c>
      <c r="E696" s="12" t="s">
        <v>126</v>
      </c>
      <c r="F696" s="12" t="s">
        <v>39</v>
      </c>
      <c r="G696" s="12" t="s">
        <v>46</v>
      </c>
      <c r="H696" s="12">
        <v>32</v>
      </c>
      <c r="I696" s="13">
        <v>45939.851863425902</v>
      </c>
      <c r="J696" s="12" t="s">
        <v>127</v>
      </c>
      <c r="K696" s="12" t="s">
        <v>142</v>
      </c>
      <c r="L696" s="14">
        <v>0.33300000000000002</v>
      </c>
      <c r="M696" s="14">
        <f t="shared" si="10"/>
        <v>0.33300000000000002</v>
      </c>
      <c r="N696" s="7" t="s">
        <v>812</v>
      </c>
      <c r="O696" s="12"/>
      <c r="P696" s="12" t="s">
        <v>130</v>
      </c>
    </row>
    <row r="697" spans="1:16" ht="180" hidden="1" customHeight="1" x14ac:dyDescent="0.35">
      <c r="A697" s="12">
        <v>4881</v>
      </c>
      <c r="B697" s="12" t="s">
        <v>100</v>
      </c>
      <c r="C697" s="12" t="s">
        <v>113</v>
      </c>
      <c r="D697" s="12" t="s">
        <v>114</v>
      </c>
      <c r="E697" s="12" t="s">
        <v>131</v>
      </c>
      <c r="F697" s="12" t="s">
        <v>39</v>
      </c>
      <c r="G697" s="12" t="s">
        <v>46</v>
      </c>
      <c r="H697" s="12">
        <v>32</v>
      </c>
      <c r="I697" s="13">
        <v>45939.851863425902</v>
      </c>
      <c r="J697" s="12" t="s">
        <v>127</v>
      </c>
      <c r="K697" s="12" t="s">
        <v>128</v>
      </c>
      <c r="L697" s="14">
        <v>1</v>
      </c>
      <c r="M697" s="14">
        <f t="shared" si="10"/>
        <v>1</v>
      </c>
      <c r="N697" s="7" t="s">
        <v>813</v>
      </c>
      <c r="O697" s="12"/>
      <c r="P697" s="12" t="s">
        <v>130</v>
      </c>
    </row>
    <row r="698" spans="1:16" ht="409.6" hidden="1" customHeight="1" x14ac:dyDescent="0.35">
      <c r="A698" s="12">
        <v>4820</v>
      </c>
      <c r="B698" s="12" t="s">
        <v>100</v>
      </c>
      <c r="C698" s="12" t="s">
        <v>113</v>
      </c>
      <c r="D698" s="12" t="s">
        <v>114</v>
      </c>
      <c r="E698" s="12" t="s">
        <v>134</v>
      </c>
      <c r="F698" s="12" t="s">
        <v>39</v>
      </c>
      <c r="G698" s="12" t="s">
        <v>46</v>
      </c>
      <c r="H698" s="12">
        <v>32</v>
      </c>
      <c r="I698" s="13">
        <v>45939.851863425902</v>
      </c>
      <c r="J698" s="12" t="s">
        <v>127</v>
      </c>
      <c r="K698" s="12" t="s">
        <v>142</v>
      </c>
      <c r="L698" s="14">
        <v>0.33300000000000002</v>
      </c>
      <c r="M698" s="14">
        <f t="shared" si="10"/>
        <v>0.33300000000000002</v>
      </c>
      <c r="N698" s="7" t="s">
        <v>814</v>
      </c>
      <c r="O698" s="12"/>
      <c r="P698" s="12" t="s">
        <v>130</v>
      </c>
    </row>
    <row r="699" spans="1:16" ht="124.5" hidden="1" customHeight="1" x14ac:dyDescent="0.35">
      <c r="A699" s="12">
        <v>7195</v>
      </c>
      <c r="B699" s="12" t="s">
        <v>100</v>
      </c>
      <c r="C699" s="12" t="s">
        <v>101</v>
      </c>
      <c r="D699" s="12" t="s">
        <v>102</v>
      </c>
      <c r="E699" s="12" t="s">
        <v>126</v>
      </c>
      <c r="F699" s="12" t="s">
        <v>66</v>
      </c>
      <c r="G699" s="12" t="s">
        <v>73</v>
      </c>
      <c r="H699" s="12">
        <v>4205407</v>
      </c>
      <c r="I699" s="13">
        <v>45903.808310185203</v>
      </c>
      <c r="J699" s="12" t="s">
        <v>127</v>
      </c>
      <c r="K699" s="12" t="s">
        <v>132</v>
      </c>
      <c r="L699" s="14">
        <v>0.66600000000000004</v>
      </c>
      <c r="M699" s="14">
        <f t="shared" si="10"/>
        <v>0.66600000000000004</v>
      </c>
      <c r="N699" s="7" t="s">
        <v>815</v>
      </c>
      <c r="O699" s="12"/>
      <c r="P699" s="12" t="s">
        <v>130</v>
      </c>
    </row>
    <row r="700" spans="1:16" ht="135.75" hidden="1" customHeight="1" x14ac:dyDescent="0.35">
      <c r="A700" s="12">
        <v>7223</v>
      </c>
      <c r="B700" s="12" t="s">
        <v>100</v>
      </c>
      <c r="C700" s="12" t="s">
        <v>101</v>
      </c>
      <c r="D700" s="12" t="s">
        <v>102</v>
      </c>
      <c r="E700" s="12" t="s">
        <v>131</v>
      </c>
      <c r="F700" s="12" t="s">
        <v>66</v>
      </c>
      <c r="G700" s="12" t="s">
        <v>73</v>
      </c>
      <c r="H700" s="12">
        <v>4205407</v>
      </c>
      <c r="I700" s="13">
        <v>45903.808310185203</v>
      </c>
      <c r="J700" s="12" t="s">
        <v>127</v>
      </c>
      <c r="K700" s="12" t="s">
        <v>132</v>
      </c>
      <c r="L700" s="14">
        <v>0.66600000000000004</v>
      </c>
      <c r="M700" s="14">
        <f t="shared" si="10"/>
        <v>0.66600000000000004</v>
      </c>
      <c r="N700" s="7" t="s">
        <v>816</v>
      </c>
      <c r="O700" s="12"/>
      <c r="P700" s="12" t="s">
        <v>130</v>
      </c>
    </row>
    <row r="701" spans="1:16" ht="79.5" hidden="1" customHeight="1" x14ac:dyDescent="0.35">
      <c r="A701" s="12">
        <v>7247</v>
      </c>
      <c r="B701" s="12" t="s">
        <v>100</v>
      </c>
      <c r="C701" s="12" t="s">
        <v>101</v>
      </c>
      <c r="D701" s="12" t="s">
        <v>102</v>
      </c>
      <c r="E701" s="12" t="s">
        <v>134</v>
      </c>
      <c r="F701" s="12" t="s">
        <v>66</v>
      </c>
      <c r="G701" s="12" t="s">
        <v>73</v>
      </c>
      <c r="H701" s="12">
        <v>4205407</v>
      </c>
      <c r="I701" s="13">
        <v>45903.808310185203</v>
      </c>
      <c r="J701" s="12" t="s">
        <v>127</v>
      </c>
      <c r="K701" s="12" t="s">
        <v>132</v>
      </c>
      <c r="L701" s="14">
        <v>0.66600000000000004</v>
      </c>
      <c r="M701" s="14">
        <f t="shared" si="10"/>
        <v>0.66600000000000004</v>
      </c>
      <c r="N701" s="7" t="s">
        <v>817</v>
      </c>
      <c r="O701" s="12"/>
      <c r="P701" s="12" t="s">
        <v>130</v>
      </c>
    </row>
    <row r="702" spans="1:16" ht="157.5" hidden="1" customHeight="1" x14ac:dyDescent="0.35">
      <c r="A702" s="12">
        <v>7249</v>
      </c>
      <c r="B702" s="12" t="s">
        <v>100</v>
      </c>
      <c r="C702" s="12" t="s">
        <v>103</v>
      </c>
      <c r="D702" s="12" t="s">
        <v>104</v>
      </c>
      <c r="E702" s="12" t="s">
        <v>126</v>
      </c>
      <c r="F702" s="12" t="s">
        <v>66</v>
      </c>
      <c r="G702" s="12" t="s">
        <v>73</v>
      </c>
      <c r="H702" s="12">
        <v>4205407</v>
      </c>
      <c r="I702" s="13">
        <v>45903.808310185203</v>
      </c>
      <c r="J702" s="12" t="s">
        <v>127</v>
      </c>
      <c r="K702" s="12" t="s">
        <v>142</v>
      </c>
      <c r="L702" s="14">
        <v>0.33300000000000002</v>
      </c>
      <c r="M702" s="14">
        <f t="shared" si="10"/>
        <v>0.33300000000000002</v>
      </c>
      <c r="N702" s="7" t="s">
        <v>818</v>
      </c>
      <c r="O702" s="12"/>
      <c r="P702" s="12" t="s">
        <v>130</v>
      </c>
    </row>
    <row r="703" spans="1:16" ht="45.75" hidden="1" customHeight="1" x14ac:dyDescent="0.35">
      <c r="A703" s="12">
        <v>7250</v>
      </c>
      <c r="B703" s="12" t="s">
        <v>100</v>
      </c>
      <c r="C703" s="12" t="s">
        <v>103</v>
      </c>
      <c r="D703" s="12" t="s">
        <v>104</v>
      </c>
      <c r="E703" s="12" t="s">
        <v>131</v>
      </c>
      <c r="F703" s="12" t="s">
        <v>66</v>
      </c>
      <c r="G703" s="12" t="s">
        <v>73</v>
      </c>
      <c r="H703" s="12">
        <v>4205407</v>
      </c>
      <c r="I703" s="13">
        <v>45903.808310185203</v>
      </c>
      <c r="J703" s="12" t="s">
        <v>127</v>
      </c>
      <c r="K703" s="12" t="s">
        <v>135</v>
      </c>
      <c r="L703" s="14"/>
      <c r="M703" s="14">
        <f t="shared" si="10"/>
        <v>0</v>
      </c>
      <c r="N703" s="7" t="s">
        <v>819</v>
      </c>
      <c r="O703" s="12"/>
      <c r="P703" s="12" t="s">
        <v>130</v>
      </c>
    </row>
    <row r="704" spans="1:16" ht="45.75" hidden="1" customHeight="1" x14ac:dyDescent="0.35">
      <c r="A704" s="12">
        <v>7252</v>
      </c>
      <c r="B704" s="12" t="s">
        <v>100</v>
      </c>
      <c r="C704" s="12" t="s">
        <v>103</v>
      </c>
      <c r="D704" s="12" t="s">
        <v>104</v>
      </c>
      <c r="E704" s="12" t="s">
        <v>134</v>
      </c>
      <c r="F704" s="12" t="s">
        <v>66</v>
      </c>
      <c r="G704" s="12" t="s">
        <v>73</v>
      </c>
      <c r="H704" s="12">
        <v>4205407</v>
      </c>
      <c r="I704" s="13">
        <v>45903.808310185203</v>
      </c>
      <c r="J704" s="12" t="s">
        <v>127</v>
      </c>
      <c r="K704" s="12" t="s">
        <v>135</v>
      </c>
      <c r="L704" s="14"/>
      <c r="M704" s="14">
        <f t="shared" si="10"/>
        <v>0</v>
      </c>
      <c r="N704" s="7" t="s">
        <v>820</v>
      </c>
      <c r="O704" s="12"/>
      <c r="P704" s="12" t="s">
        <v>130</v>
      </c>
    </row>
    <row r="705" spans="1:16" ht="57" hidden="1" customHeight="1" x14ac:dyDescent="0.35">
      <c r="A705" s="12">
        <v>7254</v>
      </c>
      <c r="B705" s="12" t="s">
        <v>100</v>
      </c>
      <c r="C705" s="12" t="s">
        <v>105</v>
      </c>
      <c r="D705" s="12" t="s">
        <v>106</v>
      </c>
      <c r="E705" s="12" t="s">
        <v>126</v>
      </c>
      <c r="F705" s="12" t="s">
        <v>66</v>
      </c>
      <c r="G705" s="12" t="s">
        <v>73</v>
      </c>
      <c r="H705" s="12">
        <v>4205407</v>
      </c>
      <c r="I705" s="13">
        <v>45903.808310185203</v>
      </c>
      <c r="J705" s="12" t="s">
        <v>127</v>
      </c>
      <c r="K705" s="12" t="s">
        <v>132</v>
      </c>
      <c r="L705" s="14">
        <v>0.66600000000000004</v>
      </c>
      <c r="M705" s="14">
        <f t="shared" si="10"/>
        <v>0.66600000000000004</v>
      </c>
      <c r="N705" s="7" t="s">
        <v>821</v>
      </c>
      <c r="O705" s="12"/>
      <c r="P705" s="12" t="s">
        <v>130</v>
      </c>
    </row>
    <row r="706" spans="1:16" ht="102" hidden="1" customHeight="1" x14ac:dyDescent="0.35">
      <c r="A706" s="12">
        <v>7256</v>
      </c>
      <c r="B706" s="12" t="s">
        <v>100</v>
      </c>
      <c r="C706" s="12" t="s">
        <v>105</v>
      </c>
      <c r="D706" s="12" t="s">
        <v>106</v>
      </c>
      <c r="E706" s="12" t="s">
        <v>131</v>
      </c>
      <c r="F706" s="12" t="s">
        <v>66</v>
      </c>
      <c r="G706" s="12" t="s">
        <v>73</v>
      </c>
      <c r="H706" s="12">
        <v>4205407</v>
      </c>
      <c r="I706" s="13">
        <v>45903.808310185203</v>
      </c>
      <c r="J706" s="12" t="s">
        <v>127</v>
      </c>
      <c r="K706" s="12" t="s">
        <v>135</v>
      </c>
      <c r="L706" s="14"/>
      <c r="M706" s="14">
        <f t="shared" ref="M706:M769" si="11">IF(K706="Sem progresso",0,IF(OR(K706="Não avaliado",K706="Não se aplica",K706=""),"",L706))</f>
        <v>0</v>
      </c>
      <c r="N706" s="7" t="s">
        <v>822</v>
      </c>
      <c r="O706" s="12"/>
      <c r="P706" s="12" t="s">
        <v>130</v>
      </c>
    </row>
    <row r="707" spans="1:16" ht="79.5" hidden="1" customHeight="1" x14ac:dyDescent="0.35">
      <c r="A707" s="12">
        <v>7364</v>
      </c>
      <c r="B707" s="12" t="s">
        <v>100</v>
      </c>
      <c r="C707" s="12" t="s">
        <v>107</v>
      </c>
      <c r="D707" s="12" t="s">
        <v>108</v>
      </c>
      <c r="E707" s="12" t="s">
        <v>126</v>
      </c>
      <c r="F707" s="12" t="s">
        <v>66</v>
      </c>
      <c r="G707" s="12" t="s">
        <v>73</v>
      </c>
      <c r="H707" s="12">
        <v>4205407</v>
      </c>
      <c r="I707" s="13">
        <v>45903.808310185203</v>
      </c>
      <c r="J707" s="12" t="s">
        <v>127</v>
      </c>
      <c r="K707" s="12" t="s">
        <v>135</v>
      </c>
      <c r="L707" s="14"/>
      <c r="M707" s="14">
        <f t="shared" si="11"/>
        <v>0</v>
      </c>
      <c r="N707" s="7" t="s">
        <v>823</v>
      </c>
      <c r="O707" s="12"/>
      <c r="P707" s="12" t="s">
        <v>130</v>
      </c>
    </row>
    <row r="708" spans="1:16" ht="45.75" hidden="1" customHeight="1" x14ac:dyDescent="0.35">
      <c r="A708" s="12">
        <v>7383</v>
      </c>
      <c r="B708" s="12" t="s">
        <v>100</v>
      </c>
      <c r="C708" s="12" t="s">
        <v>107</v>
      </c>
      <c r="D708" s="12" t="s">
        <v>108</v>
      </c>
      <c r="E708" s="12" t="s">
        <v>131</v>
      </c>
      <c r="F708" s="12" t="s">
        <v>66</v>
      </c>
      <c r="G708" s="12" t="s">
        <v>73</v>
      </c>
      <c r="H708" s="12">
        <v>4205407</v>
      </c>
      <c r="I708" s="13">
        <v>45903.808310185203</v>
      </c>
      <c r="J708" s="12" t="s">
        <v>127</v>
      </c>
      <c r="K708" s="12" t="s">
        <v>135</v>
      </c>
      <c r="L708" s="14"/>
      <c r="M708" s="14">
        <f t="shared" si="11"/>
        <v>0</v>
      </c>
      <c r="N708" s="7" t="s">
        <v>824</v>
      </c>
      <c r="O708" s="12"/>
      <c r="P708" s="12" t="s">
        <v>130</v>
      </c>
    </row>
    <row r="709" spans="1:16" ht="45.75" hidden="1" customHeight="1" x14ac:dyDescent="0.35">
      <c r="A709" s="12">
        <v>7366</v>
      </c>
      <c r="B709" s="12" t="s">
        <v>100</v>
      </c>
      <c r="C709" s="12" t="s">
        <v>107</v>
      </c>
      <c r="D709" s="12" t="s">
        <v>108</v>
      </c>
      <c r="E709" s="12" t="s">
        <v>134</v>
      </c>
      <c r="F709" s="12" t="s">
        <v>66</v>
      </c>
      <c r="G709" s="12" t="s">
        <v>73</v>
      </c>
      <c r="H709" s="12">
        <v>4205407</v>
      </c>
      <c r="I709" s="13">
        <v>45903.808310185203</v>
      </c>
      <c r="J709" s="12" t="s">
        <v>127</v>
      </c>
      <c r="K709" s="12" t="s">
        <v>135</v>
      </c>
      <c r="L709" s="14"/>
      <c r="M709" s="14">
        <f t="shared" si="11"/>
        <v>0</v>
      </c>
      <c r="N709" s="7" t="s">
        <v>824</v>
      </c>
      <c r="O709" s="12"/>
      <c r="P709" s="12" t="s">
        <v>130</v>
      </c>
    </row>
    <row r="710" spans="1:16" ht="191.25" hidden="1" customHeight="1" x14ac:dyDescent="0.35">
      <c r="A710" s="12">
        <v>7367</v>
      </c>
      <c r="B710" s="12" t="s">
        <v>100</v>
      </c>
      <c r="C710" s="12" t="s">
        <v>109</v>
      </c>
      <c r="D710" s="12" t="s">
        <v>110</v>
      </c>
      <c r="E710" s="12" t="s">
        <v>126</v>
      </c>
      <c r="F710" s="12" t="s">
        <v>66</v>
      </c>
      <c r="G710" s="12" t="s">
        <v>73</v>
      </c>
      <c r="H710" s="12">
        <v>4205407</v>
      </c>
      <c r="I710" s="13">
        <v>45903.808310185203</v>
      </c>
      <c r="J710" s="12" t="s">
        <v>127</v>
      </c>
      <c r="K710" s="12" t="s">
        <v>132</v>
      </c>
      <c r="L710" s="14">
        <v>0.66600000000000004</v>
      </c>
      <c r="M710" s="14">
        <f t="shared" si="11"/>
        <v>0.66600000000000004</v>
      </c>
      <c r="N710" s="7" t="s">
        <v>825</v>
      </c>
      <c r="O710" s="12"/>
      <c r="P710" s="12"/>
    </row>
    <row r="711" spans="1:16" ht="102" hidden="1" customHeight="1" x14ac:dyDescent="0.35">
      <c r="A711" s="12">
        <v>7386</v>
      </c>
      <c r="B711" s="12" t="s">
        <v>100</v>
      </c>
      <c r="C711" s="12" t="s">
        <v>109</v>
      </c>
      <c r="D711" s="12" t="s">
        <v>110</v>
      </c>
      <c r="E711" s="12" t="s">
        <v>131</v>
      </c>
      <c r="F711" s="12" t="s">
        <v>66</v>
      </c>
      <c r="G711" s="12" t="s">
        <v>73</v>
      </c>
      <c r="H711" s="12">
        <v>4205407</v>
      </c>
      <c r="I711" s="13">
        <v>45903.808310185203</v>
      </c>
      <c r="J711" s="12" t="s">
        <v>127</v>
      </c>
      <c r="K711" s="12" t="s">
        <v>132</v>
      </c>
      <c r="L711" s="14">
        <v>0.66600000000000004</v>
      </c>
      <c r="M711" s="14">
        <f t="shared" si="11"/>
        <v>0.66600000000000004</v>
      </c>
      <c r="N711" s="7" t="s">
        <v>826</v>
      </c>
      <c r="O711" s="12"/>
      <c r="P711" s="12" t="s">
        <v>130</v>
      </c>
    </row>
    <row r="712" spans="1:16" ht="90.75" hidden="1" customHeight="1" x14ac:dyDescent="0.35">
      <c r="A712" s="12">
        <v>7403</v>
      </c>
      <c r="B712" s="12" t="s">
        <v>100</v>
      </c>
      <c r="C712" s="12" t="s">
        <v>111</v>
      </c>
      <c r="D712" s="12" t="s">
        <v>112</v>
      </c>
      <c r="E712" s="12" t="s">
        <v>126</v>
      </c>
      <c r="F712" s="12" t="s">
        <v>66</v>
      </c>
      <c r="G712" s="12" t="s">
        <v>73</v>
      </c>
      <c r="H712" s="12">
        <v>4205407</v>
      </c>
      <c r="I712" s="13">
        <v>45903.808310185203</v>
      </c>
      <c r="J712" s="12" t="s">
        <v>127</v>
      </c>
      <c r="K712" s="12" t="s">
        <v>142</v>
      </c>
      <c r="L712" s="14">
        <v>0.33300000000000002</v>
      </c>
      <c r="M712" s="14">
        <f t="shared" si="11"/>
        <v>0.33300000000000002</v>
      </c>
      <c r="N712" s="7" t="s">
        <v>827</v>
      </c>
      <c r="O712" s="12"/>
      <c r="P712" s="12"/>
    </row>
    <row r="713" spans="1:16" ht="147" hidden="1" customHeight="1" x14ac:dyDescent="0.35">
      <c r="A713" s="12">
        <v>7405</v>
      </c>
      <c r="B713" s="12" t="s">
        <v>100</v>
      </c>
      <c r="C713" s="12" t="s">
        <v>111</v>
      </c>
      <c r="D713" s="12" t="s">
        <v>112</v>
      </c>
      <c r="E713" s="12" t="s">
        <v>131</v>
      </c>
      <c r="F713" s="12" t="s">
        <v>66</v>
      </c>
      <c r="G713" s="12" t="s">
        <v>73</v>
      </c>
      <c r="H713" s="12">
        <v>4205407</v>
      </c>
      <c r="I713" s="13">
        <v>45903.808310185203</v>
      </c>
      <c r="J713" s="12" t="s">
        <v>127</v>
      </c>
      <c r="K713" s="12" t="s">
        <v>142</v>
      </c>
      <c r="L713" s="14">
        <v>0.33300000000000002</v>
      </c>
      <c r="M713" s="14">
        <f t="shared" si="11"/>
        <v>0.33300000000000002</v>
      </c>
      <c r="N713" s="7" t="s">
        <v>828</v>
      </c>
      <c r="O713" s="12"/>
      <c r="P713" s="12" t="s">
        <v>130</v>
      </c>
    </row>
    <row r="714" spans="1:16" ht="191.25" hidden="1" customHeight="1" x14ac:dyDescent="0.35">
      <c r="A714" s="12">
        <v>7441</v>
      </c>
      <c r="B714" s="12" t="s">
        <v>100</v>
      </c>
      <c r="C714" s="12" t="s">
        <v>111</v>
      </c>
      <c r="D714" s="12" t="s">
        <v>112</v>
      </c>
      <c r="E714" s="12" t="s">
        <v>134</v>
      </c>
      <c r="F714" s="12" t="s">
        <v>66</v>
      </c>
      <c r="G714" s="12" t="s">
        <v>73</v>
      </c>
      <c r="H714" s="12">
        <v>4205407</v>
      </c>
      <c r="I714" s="13">
        <v>45903.808310185203</v>
      </c>
      <c r="J714" s="12" t="s">
        <v>127</v>
      </c>
      <c r="K714" s="12" t="s">
        <v>142</v>
      </c>
      <c r="L714" s="14">
        <v>0.33300000000000002</v>
      </c>
      <c r="M714" s="14">
        <f t="shared" si="11"/>
        <v>0.33300000000000002</v>
      </c>
      <c r="N714" s="7" t="s">
        <v>829</v>
      </c>
      <c r="O714" s="12"/>
      <c r="P714" s="12" t="s">
        <v>130</v>
      </c>
    </row>
    <row r="715" spans="1:16" ht="90.75" hidden="1" customHeight="1" x14ac:dyDescent="0.35">
      <c r="A715" s="12">
        <v>7442</v>
      </c>
      <c r="B715" s="12" t="s">
        <v>100</v>
      </c>
      <c r="C715" s="12" t="s">
        <v>113</v>
      </c>
      <c r="D715" s="12" t="s">
        <v>114</v>
      </c>
      <c r="E715" s="12" t="s">
        <v>126</v>
      </c>
      <c r="F715" s="12" t="s">
        <v>66</v>
      </c>
      <c r="G715" s="12" t="s">
        <v>73</v>
      </c>
      <c r="H715" s="12">
        <v>4205407</v>
      </c>
      <c r="I715" s="13">
        <v>45903.808310185203</v>
      </c>
      <c r="J715" s="12" t="s">
        <v>127</v>
      </c>
      <c r="K715" s="12" t="s">
        <v>142</v>
      </c>
      <c r="L715" s="14">
        <v>0.33300000000000002</v>
      </c>
      <c r="M715" s="14">
        <f t="shared" si="11"/>
        <v>0.33300000000000002</v>
      </c>
      <c r="N715" s="7" t="s">
        <v>830</v>
      </c>
      <c r="O715" s="12"/>
      <c r="P715" s="12" t="s">
        <v>130</v>
      </c>
    </row>
    <row r="716" spans="1:16" ht="79.5" hidden="1" customHeight="1" x14ac:dyDescent="0.35">
      <c r="A716" s="12">
        <v>7430</v>
      </c>
      <c r="B716" s="12" t="s">
        <v>100</v>
      </c>
      <c r="C716" s="12" t="s">
        <v>113</v>
      </c>
      <c r="D716" s="12" t="s">
        <v>114</v>
      </c>
      <c r="E716" s="12" t="s">
        <v>131</v>
      </c>
      <c r="F716" s="12" t="s">
        <v>66</v>
      </c>
      <c r="G716" s="12" t="s">
        <v>73</v>
      </c>
      <c r="H716" s="12">
        <v>4205407</v>
      </c>
      <c r="I716" s="13">
        <v>45903.808310185203</v>
      </c>
      <c r="J716" s="12" t="s">
        <v>127</v>
      </c>
      <c r="K716" s="12" t="s">
        <v>135</v>
      </c>
      <c r="L716" s="14"/>
      <c r="M716" s="14">
        <f t="shared" si="11"/>
        <v>0</v>
      </c>
      <c r="N716" s="7" t="s">
        <v>831</v>
      </c>
      <c r="O716" s="12"/>
      <c r="P716" s="12" t="s">
        <v>130</v>
      </c>
    </row>
    <row r="717" spans="1:16" ht="15" hidden="1" customHeight="1" x14ac:dyDescent="0.35">
      <c r="A717" s="12">
        <v>7431</v>
      </c>
      <c r="B717" s="12" t="s">
        <v>100</v>
      </c>
      <c r="C717" s="12" t="s">
        <v>113</v>
      </c>
      <c r="D717" s="12" t="s">
        <v>114</v>
      </c>
      <c r="E717" s="12" t="s">
        <v>134</v>
      </c>
      <c r="F717" s="12" t="s">
        <v>66</v>
      </c>
      <c r="G717" s="12" t="s">
        <v>73</v>
      </c>
      <c r="H717" s="12">
        <v>4205407</v>
      </c>
      <c r="I717" s="13">
        <v>45903.808310185203</v>
      </c>
      <c r="J717" s="12" t="s">
        <v>127</v>
      </c>
      <c r="K717" s="12" t="s">
        <v>688</v>
      </c>
      <c r="L717" s="14"/>
      <c r="M717" s="14" t="str">
        <f t="shared" si="11"/>
        <v/>
      </c>
      <c r="N717" s="7" t="s">
        <v>832</v>
      </c>
      <c r="O717" s="12"/>
      <c r="P717" s="12" t="s">
        <v>130</v>
      </c>
    </row>
    <row r="718" spans="1:16" ht="202.5" hidden="1" customHeight="1" x14ac:dyDescent="0.35">
      <c r="A718" s="12">
        <v>3062</v>
      </c>
      <c r="B718" s="12" t="s">
        <v>100</v>
      </c>
      <c r="C718" s="12" t="s">
        <v>101</v>
      </c>
      <c r="D718" s="12" t="s">
        <v>102</v>
      </c>
      <c r="E718" s="12" t="s">
        <v>126</v>
      </c>
      <c r="F718" s="12" t="s">
        <v>66</v>
      </c>
      <c r="G718" s="12" t="s">
        <v>74</v>
      </c>
      <c r="H718" s="12">
        <v>2304400</v>
      </c>
      <c r="I718" s="13">
        <v>45918.555289351898</v>
      </c>
      <c r="J718" s="12" t="s">
        <v>127</v>
      </c>
      <c r="K718" s="12" t="s">
        <v>128</v>
      </c>
      <c r="L718" s="14">
        <v>1</v>
      </c>
      <c r="M718" s="14">
        <f t="shared" si="11"/>
        <v>1</v>
      </c>
      <c r="N718" s="7" t="s">
        <v>833</v>
      </c>
      <c r="O718" s="12"/>
      <c r="P718" s="12" t="s">
        <v>130</v>
      </c>
    </row>
    <row r="719" spans="1:16" ht="180" hidden="1" customHeight="1" x14ac:dyDescent="0.35">
      <c r="A719" s="12">
        <v>7371</v>
      </c>
      <c r="B719" s="12" t="s">
        <v>100</v>
      </c>
      <c r="C719" s="12" t="s">
        <v>101</v>
      </c>
      <c r="D719" s="12" t="s">
        <v>102</v>
      </c>
      <c r="E719" s="12" t="s">
        <v>131</v>
      </c>
      <c r="F719" s="12" t="s">
        <v>66</v>
      </c>
      <c r="G719" s="12" t="s">
        <v>74</v>
      </c>
      <c r="H719" s="12">
        <v>2304400</v>
      </c>
      <c r="I719" s="13">
        <v>45918.555289351898</v>
      </c>
      <c r="J719" s="12" t="s">
        <v>127</v>
      </c>
      <c r="K719" s="12" t="s">
        <v>128</v>
      </c>
      <c r="L719" s="14">
        <v>1</v>
      </c>
      <c r="M719" s="14">
        <f t="shared" si="11"/>
        <v>1</v>
      </c>
      <c r="N719" s="7" t="s">
        <v>834</v>
      </c>
      <c r="O719" s="12"/>
      <c r="P719" s="12" t="s">
        <v>130</v>
      </c>
    </row>
    <row r="720" spans="1:16" ht="90.75" hidden="1" customHeight="1" x14ac:dyDescent="0.35">
      <c r="A720" s="12">
        <v>7372</v>
      </c>
      <c r="B720" s="12" t="s">
        <v>100</v>
      </c>
      <c r="C720" s="12" t="s">
        <v>101</v>
      </c>
      <c r="D720" s="12" t="s">
        <v>102</v>
      </c>
      <c r="E720" s="12" t="s">
        <v>134</v>
      </c>
      <c r="F720" s="12" t="s">
        <v>66</v>
      </c>
      <c r="G720" s="12" t="s">
        <v>74</v>
      </c>
      <c r="H720" s="12">
        <v>2304400</v>
      </c>
      <c r="I720" s="13">
        <v>45918.555289351898</v>
      </c>
      <c r="J720" s="12" t="s">
        <v>127</v>
      </c>
      <c r="K720" s="12" t="s">
        <v>142</v>
      </c>
      <c r="L720" s="14">
        <v>0.33300000000000002</v>
      </c>
      <c r="M720" s="14">
        <f t="shared" si="11"/>
        <v>0.33300000000000002</v>
      </c>
      <c r="N720" s="7" t="s">
        <v>835</v>
      </c>
      <c r="O720" s="12"/>
      <c r="P720" s="12" t="s">
        <v>130</v>
      </c>
    </row>
    <row r="721" spans="1:16" ht="157.5" hidden="1" customHeight="1" x14ac:dyDescent="0.35">
      <c r="A721" s="12">
        <v>7377</v>
      </c>
      <c r="B721" s="12" t="s">
        <v>100</v>
      </c>
      <c r="C721" s="12" t="s">
        <v>103</v>
      </c>
      <c r="D721" s="12" t="s">
        <v>104</v>
      </c>
      <c r="E721" s="12" t="s">
        <v>126</v>
      </c>
      <c r="F721" s="12" t="s">
        <v>66</v>
      </c>
      <c r="G721" s="12" t="s">
        <v>74</v>
      </c>
      <c r="H721" s="12">
        <v>2304400</v>
      </c>
      <c r="I721" s="13">
        <v>45918.555289351898</v>
      </c>
      <c r="J721" s="12" t="s">
        <v>127</v>
      </c>
      <c r="K721" s="12" t="s">
        <v>132</v>
      </c>
      <c r="L721" s="14">
        <v>0.66600000000000004</v>
      </c>
      <c r="M721" s="14">
        <f t="shared" si="11"/>
        <v>0.66600000000000004</v>
      </c>
      <c r="N721" s="7" t="s">
        <v>836</v>
      </c>
      <c r="O721" s="12"/>
      <c r="P721" s="12" t="s">
        <v>130</v>
      </c>
    </row>
    <row r="722" spans="1:16" ht="102" hidden="1" customHeight="1" x14ac:dyDescent="0.35">
      <c r="A722" s="12">
        <v>7378</v>
      </c>
      <c r="B722" s="12" t="s">
        <v>100</v>
      </c>
      <c r="C722" s="12" t="s">
        <v>103</v>
      </c>
      <c r="D722" s="12" t="s">
        <v>104</v>
      </c>
      <c r="E722" s="12" t="s">
        <v>131</v>
      </c>
      <c r="F722" s="12" t="s">
        <v>66</v>
      </c>
      <c r="G722" s="12" t="s">
        <v>74</v>
      </c>
      <c r="H722" s="12">
        <v>2304400</v>
      </c>
      <c r="I722" s="13">
        <v>45918.555289351898</v>
      </c>
      <c r="J722" s="12" t="s">
        <v>127</v>
      </c>
      <c r="K722" s="12" t="s">
        <v>128</v>
      </c>
      <c r="L722" s="14">
        <v>1</v>
      </c>
      <c r="M722" s="14">
        <f t="shared" si="11"/>
        <v>1</v>
      </c>
      <c r="N722" s="7" t="s">
        <v>837</v>
      </c>
      <c r="O722" s="12"/>
      <c r="P722" s="12" t="s">
        <v>130</v>
      </c>
    </row>
    <row r="723" spans="1:16" ht="168.75" hidden="1" customHeight="1" x14ac:dyDescent="0.35">
      <c r="A723" s="12">
        <v>7380</v>
      </c>
      <c r="B723" s="12" t="s">
        <v>100</v>
      </c>
      <c r="C723" s="12" t="s">
        <v>103</v>
      </c>
      <c r="D723" s="12" t="s">
        <v>104</v>
      </c>
      <c r="E723" s="12" t="s">
        <v>134</v>
      </c>
      <c r="F723" s="12" t="s">
        <v>66</v>
      </c>
      <c r="G723" s="12" t="s">
        <v>74</v>
      </c>
      <c r="H723" s="12">
        <v>2304400</v>
      </c>
      <c r="I723" s="13">
        <v>45918.555289351898</v>
      </c>
      <c r="J723" s="12" t="s">
        <v>127</v>
      </c>
      <c r="K723" s="12" t="s">
        <v>142</v>
      </c>
      <c r="L723" s="14">
        <v>0.33300000000000002</v>
      </c>
      <c r="M723" s="14">
        <f t="shared" si="11"/>
        <v>0.33300000000000002</v>
      </c>
      <c r="N723" s="7" t="s">
        <v>838</v>
      </c>
      <c r="O723" s="12"/>
      <c r="P723" s="12" t="s">
        <v>130</v>
      </c>
    </row>
    <row r="724" spans="1:16" ht="236.25" hidden="1" customHeight="1" x14ac:dyDescent="0.35">
      <c r="A724" s="12">
        <v>7806</v>
      </c>
      <c r="B724" s="12" t="s">
        <v>100</v>
      </c>
      <c r="C724" s="12" t="s">
        <v>105</v>
      </c>
      <c r="D724" s="12" t="s">
        <v>106</v>
      </c>
      <c r="E724" s="12" t="s">
        <v>126</v>
      </c>
      <c r="F724" s="12" t="s">
        <v>66</v>
      </c>
      <c r="G724" s="12" t="s">
        <v>74</v>
      </c>
      <c r="H724" s="12">
        <v>2304400</v>
      </c>
      <c r="I724" s="13">
        <v>45918.555289351898</v>
      </c>
      <c r="J724" s="12" t="s">
        <v>127</v>
      </c>
      <c r="K724" s="12" t="s">
        <v>132</v>
      </c>
      <c r="L724" s="14">
        <v>0.66600000000000004</v>
      </c>
      <c r="M724" s="14">
        <f t="shared" si="11"/>
        <v>0.66600000000000004</v>
      </c>
      <c r="N724" s="7" t="s">
        <v>839</v>
      </c>
      <c r="O724" s="12"/>
      <c r="P724" s="12" t="s">
        <v>130</v>
      </c>
    </row>
    <row r="725" spans="1:16" ht="202.5" hidden="1" customHeight="1" x14ac:dyDescent="0.35">
      <c r="A725" s="12">
        <v>7807</v>
      </c>
      <c r="B725" s="12" t="s">
        <v>100</v>
      </c>
      <c r="C725" s="12" t="s">
        <v>105</v>
      </c>
      <c r="D725" s="12" t="s">
        <v>106</v>
      </c>
      <c r="E725" s="12" t="s">
        <v>131</v>
      </c>
      <c r="F725" s="12" t="s">
        <v>66</v>
      </c>
      <c r="G725" s="12" t="s">
        <v>74</v>
      </c>
      <c r="H725" s="12">
        <v>2304400</v>
      </c>
      <c r="I725" s="13">
        <v>45918.555289351898</v>
      </c>
      <c r="J725" s="12" t="s">
        <v>127</v>
      </c>
      <c r="K725" s="12" t="s">
        <v>132</v>
      </c>
      <c r="L725" s="14">
        <v>0.66600000000000004</v>
      </c>
      <c r="M725" s="14">
        <f t="shared" si="11"/>
        <v>0.66600000000000004</v>
      </c>
      <c r="N725" s="7" t="s">
        <v>840</v>
      </c>
      <c r="O725" s="12"/>
      <c r="P725" s="12" t="s">
        <v>130</v>
      </c>
    </row>
    <row r="726" spans="1:16" ht="168.75" hidden="1" customHeight="1" x14ac:dyDescent="0.35">
      <c r="A726" s="12">
        <v>7808</v>
      </c>
      <c r="B726" s="12" t="s">
        <v>100</v>
      </c>
      <c r="C726" s="12" t="s">
        <v>107</v>
      </c>
      <c r="D726" s="12" t="s">
        <v>108</v>
      </c>
      <c r="E726" s="12" t="s">
        <v>126</v>
      </c>
      <c r="F726" s="12" t="s">
        <v>66</v>
      </c>
      <c r="G726" s="12" t="s">
        <v>74</v>
      </c>
      <c r="H726" s="12">
        <v>2304400</v>
      </c>
      <c r="I726" s="13">
        <v>45918.555289351898</v>
      </c>
      <c r="J726" s="12" t="s">
        <v>127</v>
      </c>
      <c r="K726" s="12" t="s">
        <v>128</v>
      </c>
      <c r="L726" s="14">
        <v>1</v>
      </c>
      <c r="M726" s="14">
        <f t="shared" si="11"/>
        <v>1</v>
      </c>
      <c r="N726" s="7" t="s">
        <v>841</v>
      </c>
      <c r="O726" s="12"/>
      <c r="P726" s="12" t="s">
        <v>130</v>
      </c>
    </row>
    <row r="727" spans="1:16" ht="113.25" hidden="1" customHeight="1" x14ac:dyDescent="0.35">
      <c r="A727" s="12">
        <v>7809</v>
      </c>
      <c r="B727" s="12" t="s">
        <v>100</v>
      </c>
      <c r="C727" s="12" t="s">
        <v>107</v>
      </c>
      <c r="D727" s="12" t="s">
        <v>108</v>
      </c>
      <c r="E727" s="12" t="s">
        <v>131</v>
      </c>
      <c r="F727" s="12" t="s">
        <v>66</v>
      </c>
      <c r="G727" s="12" t="s">
        <v>74</v>
      </c>
      <c r="H727" s="12">
        <v>2304400</v>
      </c>
      <c r="I727" s="13">
        <v>45918.555289351898</v>
      </c>
      <c r="J727" s="12" t="s">
        <v>127</v>
      </c>
      <c r="K727" s="12" t="s">
        <v>128</v>
      </c>
      <c r="L727" s="14">
        <v>1</v>
      </c>
      <c r="M727" s="14">
        <f t="shared" si="11"/>
        <v>1</v>
      </c>
      <c r="N727" s="7" t="s">
        <v>842</v>
      </c>
      <c r="O727" s="12"/>
      <c r="P727" s="12" t="s">
        <v>130</v>
      </c>
    </row>
    <row r="728" spans="1:16" ht="168.75" hidden="1" customHeight="1" x14ac:dyDescent="0.35">
      <c r="A728" s="12">
        <v>7858</v>
      </c>
      <c r="B728" s="12" t="s">
        <v>100</v>
      </c>
      <c r="C728" s="12" t="s">
        <v>107</v>
      </c>
      <c r="D728" s="12" t="s">
        <v>108</v>
      </c>
      <c r="E728" s="12" t="s">
        <v>134</v>
      </c>
      <c r="F728" s="12" t="s">
        <v>66</v>
      </c>
      <c r="G728" s="12" t="s">
        <v>74</v>
      </c>
      <c r="H728" s="12">
        <v>2304400</v>
      </c>
      <c r="I728" s="13">
        <v>45918.555289351898</v>
      </c>
      <c r="J728" s="12" t="s">
        <v>127</v>
      </c>
      <c r="K728" s="12" t="s">
        <v>128</v>
      </c>
      <c r="L728" s="14">
        <v>1</v>
      </c>
      <c r="M728" s="14">
        <f t="shared" si="11"/>
        <v>1</v>
      </c>
      <c r="N728" s="7" t="s">
        <v>843</v>
      </c>
      <c r="O728" s="12"/>
      <c r="P728" s="12" t="s">
        <v>130</v>
      </c>
    </row>
    <row r="729" spans="1:16" ht="168.75" hidden="1" customHeight="1" x14ac:dyDescent="0.35">
      <c r="A729" s="12">
        <v>7859</v>
      </c>
      <c r="B729" s="12" t="s">
        <v>100</v>
      </c>
      <c r="C729" s="12" t="s">
        <v>109</v>
      </c>
      <c r="D729" s="12" t="s">
        <v>110</v>
      </c>
      <c r="E729" s="12" t="s">
        <v>126</v>
      </c>
      <c r="F729" s="12" t="s">
        <v>66</v>
      </c>
      <c r="G729" s="12" t="s">
        <v>74</v>
      </c>
      <c r="H729" s="12">
        <v>2304400</v>
      </c>
      <c r="I729" s="13">
        <v>45918.555289351898</v>
      </c>
      <c r="J729" s="12" t="s">
        <v>127</v>
      </c>
      <c r="K729" s="12" t="s">
        <v>128</v>
      </c>
      <c r="L729" s="14">
        <v>1</v>
      </c>
      <c r="M729" s="14">
        <f t="shared" si="11"/>
        <v>1</v>
      </c>
      <c r="N729" s="7" t="s">
        <v>844</v>
      </c>
      <c r="O729" s="12"/>
      <c r="P729" s="12" t="s">
        <v>130</v>
      </c>
    </row>
    <row r="730" spans="1:16" ht="135.75" hidden="1" customHeight="1" x14ac:dyDescent="0.35">
      <c r="A730" s="12">
        <v>7860</v>
      </c>
      <c r="B730" s="12" t="s">
        <v>100</v>
      </c>
      <c r="C730" s="12" t="s">
        <v>109</v>
      </c>
      <c r="D730" s="12" t="s">
        <v>110</v>
      </c>
      <c r="E730" s="12" t="s">
        <v>131</v>
      </c>
      <c r="F730" s="12" t="s">
        <v>66</v>
      </c>
      <c r="G730" s="12" t="s">
        <v>74</v>
      </c>
      <c r="H730" s="12">
        <v>2304400</v>
      </c>
      <c r="I730" s="13">
        <v>45918.555289351898</v>
      </c>
      <c r="J730" s="12" t="s">
        <v>127</v>
      </c>
      <c r="K730" s="12" t="s">
        <v>132</v>
      </c>
      <c r="L730" s="14">
        <v>0.66600000000000004</v>
      </c>
      <c r="M730" s="14">
        <f t="shared" si="11"/>
        <v>0.66600000000000004</v>
      </c>
      <c r="N730" s="7" t="s">
        <v>845</v>
      </c>
      <c r="O730" s="12"/>
      <c r="P730" s="12" t="s">
        <v>130</v>
      </c>
    </row>
    <row r="731" spans="1:16" ht="191.25" hidden="1" customHeight="1" x14ac:dyDescent="0.35">
      <c r="A731" s="12">
        <v>7861</v>
      </c>
      <c r="B731" s="12" t="s">
        <v>100</v>
      </c>
      <c r="C731" s="12" t="s">
        <v>111</v>
      </c>
      <c r="D731" s="12" t="s">
        <v>112</v>
      </c>
      <c r="E731" s="12" t="s">
        <v>126</v>
      </c>
      <c r="F731" s="12" t="s">
        <v>66</v>
      </c>
      <c r="G731" s="12" t="s">
        <v>74</v>
      </c>
      <c r="H731" s="12">
        <v>2304400</v>
      </c>
      <c r="I731" s="13">
        <v>45918.555289351898</v>
      </c>
      <c r="J731" s="12" t="s">
        <v>127</v>
      </c>
      <c r="K731" s="12" t="s">
        <v>128</v>
      </c>
      <c r="L731" s="14">
        <v>1</v>
      </c>
      <c r="M731" s="14">
        <f t="shared" si="11"/>
        <v>1</v>
      </c>
      <c r="N731" s="7" t="s">
        <v>846</v>
      </c>
      <c r="O731" s="12"/>
      <c r="P731" s="12" t="s">
        <v>130</v>
      </c>
    </row>
    <row r="732" spans="1:16" ht="113.25" hidden="1" customHeight="1" x14ac:dyDescent="0.35">
      <c r="A732" s="12">
        <v>7810</v>
      </c>
      <c r="B732" s="12" t="s">
        <v>100</v>
      </c>
      <c r="C732" s="12" t="s">
        <v>111</v>
      </c>
      <c r="D732" s="12" t="s">
        <v>112</v>
      </c>
      <c r="E732" s="12" t="s">
        <v>131</v>
      </c>
      <c r="F732" s="12" t="s">
        <v>66</v>
      </c>
      <c r="G732" s="12" t="s">
        <v>74</v>
      </c>
      <c r="H732" s="12">
        <v>2304400</v>
      </c>
      <c r="I732" s="13">
        <v>45918.555289351898</v>
      </c>
      <c r="J732" s="12" t="s">
        <v>127</v>
      </c>
      <c r="K732" s="12" t="s">
        <v>128</v>
      </c>
      <c r="L732" s="14">
        <v>1</v>
      </c>
      <c r="M732" s="14">
        <f t="shared" si="11"/>
        <v>1</v>
      </c>
      <c r="N732" s="7" t="s">
        <v>847</v>
      </c>
      <c r="O732" s="12"/>
      <c r="P732" s="12" t="s">
        <v>130</v>
      </c>
    </row>
    <row r="733" spans="1:16" ht="180" hidden="1" customHeight="1" x14ac:dyDescent="0.35">
      <c r="A733" s="12">
        <v>7862</v>
      </c>
      <c r="B733" s="12" t="s">
        <v>100</v>
      </c>
      <c r="C733" s="12" t="s">
        <v>111</v>
      </c>
      <c r="D733" s="12" t="s">
        <v>112</v>
      </c>
      <c r="E733" s="12" t="s">
        <v>134</v>
      </c>
      <c r="F733" s="12" t="s">
        <v>66</v>
      </c>
      <c r="G733" s="12" t="s">
        <v>74</v>
      </c>
      <c r="H733" s="12">
        <v>2304400</v>
      </c>
      <c r="I733" s="13">
        <v>45918.555289351898</v>
      </c>
      <c r="J733" s="12" t="s">
        <v>127</v>
      </c>
      <c r="K733" s="12" t="s">
        <v>132</v>
      </c>
      <c r="L733" s="14">
        <v>0.66600000000000004</v>
      </c>
      <c r="M733" s="14">
        <f t="shared" si="11"/>
        <v>0.66600000000000004</v>
      </c>
      <c r="N733" s="7" t="s">
        <v>848</v>
      </c>
      <c r="O733" s="12"/>
      <c r="P733" s="12" t="s">
        <v>130</v>
      </c>
    </row>
    <row r="734" spans="1:16" ht="225" hidden="1" customHeight="1" x14ac:dyDescent="0.35">
      <c r="A734" s="12">
        <v>7863</v>
      </c>
      <c r="B734" s="12" t="s">
        <v>100</v>
      </c>
      <c r="C734" s="12" t="s">
        <v>113</v>
      </c>
      <c r="D734" s="12" t="s">
        <v>114</v>
      </c>
      <c r="E734" s="12" t="s">
        <v>126</v>
      </c>
      <c r="F734" s="12" t="s">
        <v>66</v>
      </c>
      <c r="G734" s="12" t="s">
        <v>74</v>
      </c>
      <c r="H734" s="12">
        <v>2304400</v>
      </c>
      <c r="I734" s="13">
        <v>45918.555289351898</v>
      </c>
      <c r="J734" s="12" t="s">
        <v>127</v>
      </c>
      <c r="K734" s="12" t="s">
        <v>142</v>
      </c>
      <c r="L734" s="14">
        <v>0.33300000000000002</v>
      </c>
      <c r="M734" s="14">
        <f t="shared" si="11"/>
        <v>0.33300000000000002</v>
      </c>
      <c r="N734" s="7" t="s">
        <v>849</v>
      </c>
      <c r="O734" s="12"/>
      <c r="P734" s="12" t="s">
        <v>130</v>
      </c>
    </row>
    <row r="735" spans="1:16" ht="34.5" hidden="1" customHeight="1" x14ac:dyDescent="0.35">
      <c r="A735" s="12">
        <v>6504</v>
      </c>
      <c r="B735" s="12" t="s">
        <v>100</v>
      </c>
      <c r="C735" s="12" t="s">
        <v>113</v>
      </c>
      <c r="D735" s="12" t="s">
        <v>114</v>
      </c>
      <c r="E735" s="12" t="s">
        <v>131</v>
      </c>
      <c r="F735" s="12" t="s">
        <v>66</v>
      </c>
      <c r="G735" s="12" t="s">
        <v>74</v>
      </c>
      <c r="H735" s="12">
        <v>2304400</v>
      </c>
      <c r="I735" s="13">
        <v>45918.555289351898</v>
      </c>
      <c r="J735" s="12" t="s">
        <v>127</v>
      </c>
      <c r="K735" s="12" t="s">
        <v>135</v>
      </c>
      <c r="L735" s="14"/>
      <c r="M735" s="14">
        <f t="shared" si="11"/>
        <v>0</v>
      </c>
      <c r="N735" s="7" t="s">
        <v>850</v>
      </c>
      <c r="O735" s="12"/>
      <c r="P735" s="12" t="s">
        <v>130</v>
      </c>
    </row>
    <row r="736" spans="1:16" ht="15" hidden="1" customHeight="1" x14ac:dyDescent="0.35">
      <c r="A736" s="12">
        <v>6508</v>
      </c>
      <c r="B736" s="12" t="s">
        <v>100</v>
      </c>
      <c r="C736" s="12" t="s">
        <v>113</v>
      </c>
      <c r="D736" s="12" t="s">
        <v>114</v>
      </c>
      <c r="E736" s="12" t="s">
        <v>134</v>
      </c>
      <c r="F736" s="12" t="s">
        <v>66</v>
      </c>
      <c r="G736" s="12" t="s">
        <v>74</v>
      </c>
      <c r="H736" s="12">
        <v>2304400</v>
      </c>
      <c r="I736" s="13">
        <v>45918.555289351898</v>
      </c>
      <c r="J736" s="12" t="s">
        <v>127</v>
      </c>
      <c r="K736" s="12" t="s">
        <v>688</v>
      </c>
      <c r="L736" s="14"/>
      <c r="M736" s="14" t="str">
        <f t="shared" si="11"/>
        <v/>
      </c>
      <c r="N736" s="7" t="s">
        <v>851</v>
      </c>
      <c r="O736" s="12"/>
      <c r="P736" s="12" t="s">
        <v>130</v>
      </c>
    </row>
    <row r="737" spans="1:16" ht="213.75" hidden="1" customHeight="1" x14ac:dyDescent="0.35">
      <c r="A737" s="12">
        <v>1651</v>
      </c>
      <c r="B737" s="12" t="s">
        <v>100</v>
      </c>
      <c r="C737" s="12" t="s">
        <v>101</v>
      </c>
      <c r="D737" s="12" t="s">
        <v>102</v>
      </c>
      <c r="E737" s="12" t="s">
        <v>126</v>
      </c>
      <c r="F737" s="12" t="s">
        <v>39</v>
      </c>
      <c r="G737" s="12" t="s">
        <v>47</v>
      </c>
      <c r="H737" s="12">
        <v>52</v>
      </c>
      <c r="I737" s="13">
        <v>45909.439201388901</v>
      </c>
      <c r="J737" s="12" t="s">
        <v>127</v>
      </c>
      <c r="K737" s="12" t="s">
        <v>128</v>
      </c>
      <c r="L737" s="14">
        <v>1</v>
      </c>
      <c r="M737" s="14">
        <f t="shared" si="11"/>
        <v>1</v>
      </c>
      <c r="N737" s="7" t="s">
        <v>852</v>
      </c>
      <c r="O737" s="12"/>
      <c r="P737" s="12" t="s">
        <v>130</v>
      </c>
    </row>
    <row r="738" spans="1:16" ht="225" hidden="1" customHeight="1" x14ac:dyDescent="0.35">
      <c r="A738" s="12">
        <v>5981</v>
      </c>
      <c r="B738" s="12" t="s">
        <v>100</v>
      </c>
      <c r="C738" s="12" t="s">
        <v>101</v>
      </c>
      <c r="D738" s="12" t="s">
        <v>102</v>
      </c>
      <c r="E738" s="12" t="s">
        <v>131</v>
      </c>
      <c r="F738" s="12" t="s">
        <v>39</v>
      </c>
      <c r="G738" s="12" t="s">
        <v>47</v>
      </c>
      <c r="H738" s="12">
        <v>52</v>
      </c>
      <c r="I738" s="13">
        <v>45909.439201388901</v>
      </c>
      <c r="J738" s="12" t="s">
        <v>127</v>
      </c>
      <c r="K738" s="12" t="s">
        <v>142</v>
      </c>
      <c r="L738" s="14">
        <v>0.33300000000000002</v>
      </c>
      <c r="M738" s="14">
        <f t="shared" si="11"/>
        <v>0.33300000000000002</v>
      </c>
      <c r="N738" s="7" t="s">
        <v>853</v>
      </c>
      <c r="O738" s="12"/>
      <c r="P738" s="12" t="s">
        <v>130</v>
      </c>
    </row>
    <row r="739" spans="1:16" ht="180" hidden="1" customHeight="1" x14ac:dyDescent="0.35">
      <c r="A739" s="12">
        <v>6207</v>
      </c>
      <c r="B739" s="12" t="s">
        <v>100</v>
      </c>
      <c r="C739" s="12" t="s">
        <v>101</v>
      </c>
      <c r="D739" s="12" t="s">
        <v>102</v>
      </c>
      <c r="E739" s="12" t="s">
        <v>134</v>
      </c>
      <c r="F739" s="12" t="s">
        <v>39</v>
      </c>
      <c r="G739" s="12" t="s">
        <v>47</v>
      </c>
      <c r="H739" s="12">
        <v>52</v>
      </c>
      <c r="I739" s="13">
        <v>45909.439201388901</v>
      </c>
      <c r="J739" s="12" t="s">
        <v>127</v>
      </c>
      <c r="K739" s="12" t="s">
        <v>132</v>
      </c>
      <c r="L739" s="14">
        <v>0.66600000000000004</v>
      </c>
      <c r="M739" s="14">
        <f t="shared" si="11"/>
        <v>0.66600000000000004</v>
      </c>
      <c r="N739" s="7" t="s">
        <v>854</v>
      </c>
      <c r="O739" s="12"/>
      <c r="P739" s="12" t="s">
        <v>130</v>
      </c>
    </row>
    <row r="740" spans="1:16" ht="213.75" hidden="1" customHeight="1" x14ac:dyDescent="0.35">
      <c r="A740" s="12">
        <v>3843</v>
      </c>
      <c r="B740" s="12" t="s">
        <v>100</v>
      </c>
      <c r="C740" s="12" t="s">
        <v>103</v>
      </c>
      <c r="D740" s="12" t="s">
        <v>104</v>
      </c>
      <c r="E740" s="12" t="s">
        <v>126</v>
      </c>
      <c r="F740" s="12" t="s">
        <v>39</v>
      </c>
      <c r="G740" s="12" t="s">
        <v>47</v>
      </c>
      <c r="H740" s="12">
        <v>52</v>
      </c>
      <c r="I740" s="13">
        <v>45909.439201388901</v>
      </c>
      <c r="J740" s="12" t="s">
        <v>127</v>
      </c>
      <c r="K740" s="12" t="s">
        <v>128</v>
      </c>
      <c r="L740" s="14">
        <v>1</v>
      </c>
      <c r="M740" s="14">
        <f t="shared" si="11"/>
        <v>1</v>
      </c>
      <c r="N740" s="7" t="s">
        <v>855</v>
      </c>
      <c r="O740" s="12"/>
      <c r="P740" s="12" t="s">
        <v>130</v>
      </c>
    </row>
    <row r="741" spans="1:16" ht="191.25" hidden="1" customHeight="1" x14ac:dyDescent="0.35">
      <c r="A741" s="12">
        <v>4487</v>
      </c>
      <c r="B741" s="12" t="s">
        <v>100</v>
      </c>
      <c r="C741" s="12" t="s">
        <v>103</v>
      </c>
      <c r="D741" s="12" t="s">
        <v>104</v>
      </c>
      <c r="E741" s="12" t="s">
        <v>131</v>
      </c>
      <c r="F741" s="12" t="s">
        <v>39</v>
      </c>
      <c r="G741" s="12" t="s">
        <v>47</v>
      </c>
      <c r="H741" s="12">
        <v>52</v>
      </c>
      <c r="I741" s="13">
        <v>45909.439201388901</v>
      </c>
      <c r="J741" s="12" t="s">
        <v>127</v>
      </c>
      <c r="K741" s="12" t="s">
        <v>132</v>
      </c>
      <c r="L741" s="14">
        <v>0.66600000000000004</v>
      </c>
      <c r="M741" s="14">
        <f t="shared" si="11"/>
        <v>0.66600000000000004</v>
      </c>
      <c r="N741" s="7" t="s">
        <v>856</v>
      </c>
      <c r="O741" s="12"/>
      <c r="P741" s="12" t="s">
        <v>130</v>
      </c>
    </row>
    <row r="742" spans="1:16" ht="180" hidden="1" customHeight="1" x14ac:dyDescent="0.35">
      <c r="A742" s="12">
        <v>4502</v>
      </c>
      <c r="B742" s="12" t="s">
        <v>100</v>
      </c>
      <c r="C742" s="12" t="s">
        <v>103</v>
      </c>
      <c r="D742" s="12" t="s">
        <v>104</v>
      </c>
      <c r="E742" s="12" t="s">
        <v>134</v>
      </c>
      <c r="F742" s="12" t="s">
        <v>39</v>
      </c>
      <c r="G742" s="12" t="s">
        <v>47</v>
      </c>
      <c r="H742" s="12">
        <v>52</v>
      </c>
      <c r="I742" s="13">
        <v>45909.439201388901</v>
      </c>
      <c r="J742" s="12" t="s">
        <v>127</v>
      </c>
      <c r="K742" s="12" t="s">
        <v>128</v>
      </c>
      <c r="L742" s="14">
        <v>1</v>
      </c>
      <c r="M742" s="14">
        <f t="shared" si="11"/>
        <v>1</v>
      </c>
      <c r="N742" s="7" t="s">
        <v>857</v>
      </c>
      <c r="O742" s="12"/>
      <c r="P742" s="12" t="s">
        <v>130</v>
      </c>
    </row>
    <row r="743" spans="1:16" ht="202.5" hidden="1" customHeight="1" x14ac:dyDescent="0.35">
      <c r="A743" s="12">
        <v>6321</v>
      </c>
      <c r="B743" s="12" t="s">
        <v>100</v>
      </c>
      <c r="C743" s="12" t="s">
        <v>105</v>
      </c>
      <c r="D743" s="12" t="s">
        <v>106</v>
      </c>
      <c r="E743" s="12" t="s">
        <v>126</v>
      </c>
      <c r="F743" s="12" t="s">
        <v>39</v>
      </c>
      <c r="G743" s="12" t="s">
        <v>47</v>
      </c>
      <c r="H743" s="12">
        <v>52</v>
      </c>
      <c r="I743" s="13">
        <v>45909.439201388901</v>
      </c>
      <c r="J743" s="12" t="s">
        <v>127</v>
      </c>
      <c r="K743" s="12" t="s">
        <v>135</v>
      </c>
      <c r="L743" s="14"/>
      <c r="M743" s="14">
        <f t="shared" si="11"/>
        <v>0</v>
      </c>
      <c r="N743" s="7" t="s">
        <v>858</v>
      </c>
      <c r="O743" s="12"/>
      <c r="P743" s="12" t="s">
        <v>130</v>
      </c>
    </row>
    <row r="744" spans="1:16" ht="258.75" hidden="1" customHeight="1" x14ac:dyDescent="0.35">
      <c r="A744" s="12">
        <v>6326</v>
      </c>
      <c r="B744" s="12" t="s">
        <v>100</v>
      </c>
      <c r="C744" s="12" t="s">
        <v>105</v>
      </c>
      <c r="D744" s="12" t="s">
        <v>106</v>
      </c>
      <c r="E744" s="12" t="s">
        <v>131</v>
      </c>
      <c r="F744" s="12" t="s">
        <v>39</v>
      </c>
      <c r="G744" s="12" t="s">
        <v>47</v>
      </c>
      <c r="H744" s="12">
        <v>52</v>
      </c>
      <c r="I744" s="13">
        <v>45909.439201388901</v>
      </c>
      <c r="J744" s="12" t="s">
        <v>127</v>
      </c>
      <c r="K744" s="12" t="s">
        <v>135</v>
      </c>
      <c r="L744" s="14"/>
      <c r="M744" s="14">
        <f t="shared" si="11"/>
        <v>0</v>
      </c>
      <c r="N744" s="7" t="s">
        <v>859</v>
      </c>
      <c r="O744" s="12"/>
      <c r="P744" s="12" t="s">
        <v>130</v>
      </c>
    </row>
    <row r="745" spans="1:16" ht="202.5" hidden="1" customHeight="1" x14ac:dyDescent="0.35">
      <c r="A745" s="12">
        <v>5341</v>
      </c>
      <c r="B745" s="12" t="s">
        <v>100</v>
      </c>
      <c r="C745" s="12" t="s">
        <v>107</v>
      </c>
      <c r="D745" s="12" t="s">
        <v>108</v>
      </c>
      <c r="E745" s="12" t="s">
        <v>126</v>
      </c>
      <c r="F745" s="12" t="s">
        <v>39</v>
      </c>
      <c r="G745" s="12" t="s">
        <v>47</v>
      </c>
      <c r="H745" s="12">
        <v>52</v>
      </c>
      <c r="I745" s="13">
        <v>45909.439201388901</v>
      </c>
      <c r="J745" s="12" t="s">
        <v>127</v>
      </c>
      <c r="K745" s="12" t="s">
        <v>128</v>
      </c>
      <c r="L745" s="14">
        <v>1</v>
      </c>
      <c r="M745" s="14">
        <f t="shared" si="11"/>
        <v>1</v>
      </c>
      <c r="N745" s="7" t="s">
        <v>860</v>
      </c>
      <c r="O745" s="12"/>
      <c r="P745" s="12" t="s">
        <v>130</v>
      </c>
    </row>
    <row r="746" spans="1:16" ht="213.75" hidden="1" customHeight="1" x14ac:dyDescent="0.35">
      <c r="A746" s="12">
        <v>5948</v>
      </c>
      <c r="B746" s="12" t="s">
        <v>100</v>
      </c>
      <c r="C746" s="12" t="s">
        <v>107</v>
      </c>
      <c r="D746" s="12" t="s">
        <v>108</v>
      </c>
      <c r="E746" s="12" t="s">
        <v>131</v>
      </c>
      <c r="F746" s="12" t="s">
        <v>39</v>
      </c>
      <c r="G746" s="12" t="s">
        <v>47</v>
      </c>
      <c r="H746" s="12">
        <v>52</v>
      </c>
      <c r="I746" s="13">
        <v>45909.439201388901</v>
      </c>
      <c r="J746" s="12" t="s">
        <v>127</v>
      </c>
      <c r="K746" s="12" t="s">
        <v>128</v>
      </c>
      <c r="L746" s="14">
        <v>1</v>
      </c>
      <c r="M746" s="14">
        <f t="shared" si="11"/>
        <v>1</v>
      </c>
      <c r="N746" s="7" t="s">
        <v>861</v>
      </c>
      <c r="O746" s="12"/>
      <c r="P746" s="12" t="s">
        <v>130</v>
      </c>
    </row>
    <row r="747" spans="1:16" ht="213.75" hidden="1" customHeight="1" x14ac:dyDescent="0.35">
      <c r="A747" s="12">
        <v>6183</v>
      </c>
      <c r="B747" s="12" t="s">
        <v>100</v>
      </c>
      <c r="C747" s="12" t="s">
        <v>107</v>
      </c>
      <c r="D747" s="12" t="s">
        <v>108</v>
      </c>
      <c r="E747" s="12" t="s">
        <v>134</v>
      </c>
      <c r="F747" s="12" t="s">
        <v>39</v>
      </c>
      <c r="G747" s="12" t="s">
        <v>47</v>
      </c>
      <c r="H747" s="12">
        <v>52</v>
      </c>
      <c r="I747" s="13">
        <v>45909.439201388901</v>
      </c>
      <c r="J747" s="12" t="s">
        <v>127</v>
      </c>
      <c r="K747" s="12" t="s">
        <v>132</v>
      </c>
      <c r="L747" s="14">
        <v>0.66600000000000004</v>
      </c>
      <c r="M747" s="14">
        <f t="shared" si="11"/>
        <v>0.66600000000000004</v>
      </c>
      <c r="N747" s="7" t="s">
        <v>862</v>
      </c>
      <c r="O747" s="12"/>
      <c r="P747" s="12" t="s">
        <v>130</v>
      </c>
    </row>
    <row r="748" spans="1:16" ht="202.5" hidden="1" customHeight="1" x14ac:dyDescent="0.35">
      <c r="A748" s="12">
        <v>6188</v>
      </c>
      <c r="B748" s="12" t="s">
        <v>100</v>
      </c>
      <c r="C748" s="12" t="s">
        <v>109</v>
      </c>
      <c r="D748" s="12" t="s">
        <v>110</v>
      </c>
      <c r="E748" s="12" t="s">
        <v>126</v>
      </c>
      <c r="F748" s="12" t="s">
        <v>39</v>
      </c>
      <c r="G748" s="12" t="s">
        <v>47</v>
      </c>
      <c r="H748" s="12">
        <v>52</v>
      </c>
      <c r="I748" s="13">
        <v>45909.439201388901</v>
      </c>
      <c r="J748" s="12" t="s">
        <v>127</v>
      </c>
      <c r="K748" s="12" t="s">
        <v>132</v>
      </c>
      <c r="L748" s="14">
        <v>0.66600000000000004</v>
      </c>
      <c r="M748" s="14">
        <f t="shared" si="11"/>
        <v>0.66600000000000004</v>
      </c>
      <c r="N748" s="7" t="s">
        <v>863</v>
      </c>
      <c r="O748" s="12"/>
      <c r="P748" s="12" t="s">
        <v>130</v>
      </c>
    </row>
    <row r="749" spans="1:16" ht="180" hidden="1" customHeight="1" x14ac:dyDescent="0.35">
      <c r="A749" s="12">
        <v>6329</v>
      </c>
      <c r="B749" s="12" t="s">
        <v>100</v>
      </c>
      <c r="C749" s="12" t="s">
        <v>109</v>
      </c>
      <c r="D749" s="12" t="s">
        <v>110</v>
      </c>
      <c r="E749" s="12" t="s">
        <v>131</v>
      </c>
      <c r="F749" s="12" t="s">
        <v>39</v>
      </c>
      <c r="G749" s="12" t="s">
        <v>47</v>
      </c>
      <c r="H749" s="12">
        <v>52</v>
      </c>
      <c r="I749" s="13">
        <v>45909.439201388901</v>
      </c>
      <c r="J749" s="12" t="s">
        <v>127</v>
      </c>
      <c r="K749" s="12" t="s">
        <v>132</v>
      </c>
      <c r="L749" s="14">
        <v>0.66600000000000004</v>
      </c>
      <c r="M749" s="14">
        <f t="shared" si="11"/>
        <v>0.66600000000000004</v>
      </c>
      <c r="N749" s="7" t="s">
        <v>864</v>
      </c>
      <c r="O749" s="12"/>
      <c r="P749" s="12" t="s">
        <v>130</v>
      </c>
    </row>
    <row r="750" spans="1:16" ht="213.75" hidden="1" customHeight="1" x14ac:dyDescent="0.35">
      <c r="A750" s="12">
        <v>6422</v>
      </c>
      <c r="B750" s="12" t="s">
        <v>100</v>
      </c>
      <c r="C750" s="12" t="s">
        <v>111</v>
      </c>
      <c r="D750" s="12" t="s">
        <v>112</v>
      </c>
      <c r="E750" s="12" t="s">
        <v>126</v>
      </c>
      <c r="F750" s="12" t="s">
        <v>39</v>
      </c>
      <c r="G750" s="12" t="s">
        <v>47</v>
      </c>
      <c r="H750" s="12">
        <v>52</v>
      </c>
      <c r="I750" s="13">
        <v>45909.439201388901</v>
      </c>
      <c r="J750" s="12" t="s">
        <v>127</v>
      </c>
      <c r="K750" s="12" t="s">
        <v>142</v>
      </c>
      <c r="L750" s="14">
        <v>0.33300000000000002</v>
      </c>
      <c r="M750" s="14">
        <f t="shared" si="11"/>
        <v>0.33300000000000002</v>
      </c>
      <c r="N750" s="7" t="s">
        <v>865</v>
      </c>
      <c r="O750" s="12"/>
      <c r="P750" s="12" t="s">
        <v>130</v>
      </c>
    </row>
    <row r="751" spans="1:16" ht="202.5" hidden="1" customHeight="1" x14ac:dyDescent="0.35">
      <c r="A751" s="12">
        <v>6305</v>
      </c>
      <c r="B751" s="12" t="s">
        <v>100</v>
      </c>
      <c r="C751" s="12" t="s">
        <v>111</v>
      </c>
      <c r="D751" s="12" t="s">
        <v>112</v>
      </c>
      <c r="E751" s="12" t="s">
        <v>131</v>
      </c>
      <c r="F751" s="12" t="s">
        <v>39</v>
      </c>
      <c r="G751" s="12" t="s">
        <v>47</v>
      </c>
      <c r="H751" s="12">
        <v>52</v>
      </c>
      <c r="I751" s="13">
        <v>45909.439201388901</v>
      </c>
      <c r="J751" s="12" t="s">
        <v>127</v>
      </c>
      <c r="K751" s="12" t="s">
        <v>132</v>
      </c>
      <c r="L751" s="14">
        <v>0.66600000000000004</v>
      </c>
      <c r="M751" s="14">
        <f t="shared" si="11"/>
        <v>0.66600000000000004</v>
      </c>
      <c r="N751" s="7" t="s">
        <v>866</v>
      </c>
      <c r="O751" s="12"/>
      <c r="P751" s="12" t="s">
        <v>130</v>
      </c>
    </row>
    <row r="752" spans="1:16" ht="157.5" hidden="1" customHeight="1" x14ac:dyDescent="0.35">
      <c r="A752" s="12">
        <v>6410</v>
      </c>
      <c r="B752" s="12" t="s">
        <v>100</v>
      </c>
      <c r="C752" s="12" t="s">
        <v>111</v>
      </c>
      <c r="D752" s="12" t="s">
        <v>112</v>
      </c>
      <c r="E752" s="12" t="s">
        <v>134</v>
      </c>
      <c r="F752" s="12" t="s">
        <v>39</v>
      </c>
      <c r="G752" s="12" t="s">
        <v>47</v>
      </c>
      <c r="H752" s="12">
        <v>52</v>
      </c>
      <c r="I752" s="13">
        <v>45909.439201388901</v>
      </c>
      <c r="J752" s="12" t="s">
        <v>127</v>
      </c>
      <c r="K752" s="12" t="s">
        <v>142</v>
      </c>
      <c r="L752" s="14">
        <v>0.33300000000000002</v>
      </c>
      <c r="M752" s="14">
        <f t="shared" si="11"/>
        <v>0.33300000000000002</v>
      </c>
      <c r="N752" s="7" t="s">
        <v>867</v>
      </c>
      <c r="O752" s="12"/>
      <c r="P752" s="12" t="s">
        <v>130</v>
      </c>
    </row>
    <row r="753" spans="1:16" ht="79.5" hidden="1" customHeight="1" x14ac:dyDescent="0.35">
      <c r="A753" s="12">
        <v>6685</v>
      </c>
      <c r="B753" s="12" t="s">
        <v>100</v>
      </c>
      <c r="C753" s="12" t="s">
        <v>113</v>
      </c>
      <c r="D753" s="12" t="s">
        <v>114</v>
      </c>
      <c r="E753" s="12" t="s">
        <v>126</v>
      </c>
      <c r="F753" s="12" t="s">
        <v>39</v>
      </c>
      <c r="G753" s="12" t="s">
        <v>47</v>
      </c>
      <c r="H753" s="12">
        <v>52</v>
      </c>
      <c r="I753" s="13">
        <v>45909.439201388901</v>
      </c>
      <c r="J753" s="12" t="s">
        <v>127</v>
      </c>
      <c r="K753" s="12" t="s">
        <v>128</v>
      </c>
      <c r="L753" s="14">
        <v>1</v>
      </c>
      <c r="M753" s="14">
        <f t="shared" si="11"/>
        <v>1</v>
      </c>
      <c r="N753" s="7" t="s">
        <v>868</v>
      </c>
      <c r="O753" s="12"/>
      <c r="P753" s="12"/>
    </row>
    <row r="754" spans="1:16" ht="225" hidden="1" customHeight="1" x14ac:dyDescent="0.35">
      <c r="A754" s="12">
        <v>5321</v>
      </c>
      <c r="B754" s="12" t="s">
        <v>100</v>
      </c>
      <c r="C754" s="12" t="s">
        <v>113</v>
      </c>
      <c r="D754" s="12" t="s">
        <v>114</v>
      </c>
      <c r="E754" s="12" t="s">
        <v>131</v>
      </c>
      <c r="F754" s="12" t="s">
        <v>39</v>
      </c>
      <c r="G754" s="12" t="s">
        <v>47</v>
      </c>
      <c r="H754" s="12">
        <v>52</v>
      </c>
      <c r="I754" s="13">
        <v>45909.439201388901</v>
      </c>
      <c r="J754" s="12" t="s">
        <v>127</v>
      </c>
      <c r="K754" s="12" t="s">
        <v>132</v>
      </c>
      <c r="L754" s="14">
        <v>0.66600000000000004</v>
      </c>
      <c r="M754" s="14">
        <f t="shared" si="11"/>
        <v>0.66600000000000004</v>
      </c>
      <c r="N754" s="7" t="s">
        <v>869</v>
      </c>
      <c r="O754" s="12"/>
      <c r="P754" s="12" t="s">
        <v>130</v>
      </c>
    </row>
    <row r="755" spans="1:16" ht="213.75" hidden="1" customHeight="1" x14ac:dyDescent="0.35">
      <c r="A755" s="12">
        <v>5449</v>
      </c>
      <c r="B755" s="12" t="s">
        <v>100</v>
      </c>
      <c r="C755" s="12" t="s">
        <v>113</v>
      </c>
      <c r="D755" s="12" t="s">
        <v>114</v>
      </c>
      <c r="E755" s="12" t="s">
        <v>134</v>
      </c>
      <c r="F755" s="12" t="s">
        <v>39</v>
      </c>
      <c r="G755" s="12" t="s">
        <v>47</v>
      </c>
      <c r="H755" s="12">
        <v>52</v>
      </c>
      <c r="I755" s="13">
        <v>45909.439201388901</v>
      </c>
      <c r="J755" s="12" t="s">
        <v>127</v>
      </c>
      <c r="K755" s="12" t="s">
        <v>142</v>
      </c>
      <c r="L755" s="14">
        <v>0.33300000000000002</v>
      </c>
      <c r="M755" s="14">
        <f t="shared" si="11"/>
        <v>0.33300000000000002</v>
      </c>
      <c r="N755" s="7" t="s">
        <v>870</v>
      </c>
      <c r="O755" s="12"/>
      <c r="P755" s="12" t="s">
        <v>130</v>
      </c>
    </row>
    <row r="756" spans="1:16" ht="45.75" hidden="1" customHeight="1" x14ac:dyDescent="0.35">
      <c r="A756" s="12">
        <v>9343</v>
      </c>
      <c r="B756" s="12" t="s">
        <v>100</v>
      </c>
      <c r="C756" s="12" t="s">
        <v>101</v>
      </c>
      <c r="D756" s="12" t="s">
        <v>102</v>
      </c>
      <c r="E756" s="12" t="s">
        <v>126</v>
      </c>
      <c r="F756" s="12" t="s">
        <v>66</v>
      </c>
      <c r="G756" s="12" t="s">
        <v>75</v>
      </c>
      <c r="H756" s="12">
        <v>2507507</v>
      </c>
      <c r="I756" s="13">
        <v>45915.870717592603</v>
      </c>
      <c r="J756" s="12" t="s">
        <v>127</v>
      </c>
      <c r="K756" s="12" t="s">
        <v>128</v>
      </c>
      <c r="L756" s="14">
        <v>1</v>
      </c>
      <c r="M756" s="14">
        <f t="shared" si="11"/>
        <v>1</v>
      </c>
      <c r="N756" s="7" t="s">
        <v>871</v>
      </c>
      <c r="O756" s="12"/>
      <c r="P756" s="12" t="s">
        <v>130</v>
      </c>
    </row>
    <row r="757" spans="1:16" ht="34.5" hidden="1" customHeight="1" x14ac:dyDescent="0.35">
      <c r="A757" s="12">
        <v>9344</v>
      </c>
      <c r="B757" s="12" t="s">
        <v>100</v>
      </c>
      <c r="C757" s="12" t="s">
        <v>101</v>
      </c>
      <c r="D757" s="12" t="s">
        <v>102</v>
      </c>
      <c r="E757" s="12" t="s">
        <v>131</v>
      </c>
      <c r="F757" s="12" t="s">
        <v>66</v>
      </c>
      <c r="G757" s="12" t="s">
        <v>75</v>
      </c>
      <c r="H757" s="12">
        <v>2507507</v>
      </c>
      <c r="I757" s="13">
        <v>45915.870717592603</v>
      </c>
      <c r="J757" s="12" t="s">
        <v>127</v>
      </c>
      <c r="K757" s="12" t="s">
        <v>128</v>
      </c>
      <c r="L757" s="14">
        <v>1</v>
      </c>
      <c r="M757" s="14">
        <f t="shared" si="11"/>
        <v>1</v>
      </c>
      <c r="N757" s="7" t="s">
        <v>872</v>
      </c>
      <c r="O757" s="12"/>
      <c r="P757" s="12" t="s">
        <v>130</v>
      </c>
    </row>
    <row r="758" spans="1:16" ht="34.5" hidden="1" customHeight="1" x14ac:dyDescent="0.35">
      <c r="A758" s="12">
        <v>9361</v>
      </c>
      <c r="B758" s="12" t="s">
        <v>100</v>
      </c>
      <c r="C758" s="12" t="s">
        <v>101</v>
      </c>
      <c r="D758" s="12" t="s">
        <v>102</v>
      </c>
      <c r="E758" s="12" t="s">
        <v>134</v>
      </c>
      <c r="F758" s="12" t="s">
        <v>66</v>
      </c>
      <c r="G758" s="12" t="s">
        <v>75</v>
      </c>
      <c r="H758" s="12">
        <v>2507507</v>
      </c>
      <c r="I758" s="13">
        <v>45915.870717592603</v>
      </c>
      <c r="J758" s="12" t="s">
        <v>127</v>
      </c>
      <c r="K758" s="12" t="s">
        <v>135</v>
      </c>
      <c r="L758" s="14"/>
      <c r="M758" s="14">
        <f t="shared" si="11"/>
        <v>0</v>
      </c>
      <c r="N758" s="7" t="s">
        <v>873</v>
      </c>
      <c r="O758" s="12"/>
      <c r="P758" s="12" t="s">
        <v>130</v>
      </c>
    </row>
    <row r="759" spans="1:16" ht="23.25" hidden="1" customHeight="1" x14ac:dyDescent="0.35">
      <c r="A759" s="12">
        <v>9350</v>
      </c>
      <c r="B759" s="12" t="s">
        <v>100</v>
      </c>
      <c r="C759" s="12" t="s">
        <v>103</v>
      </c>
      <c r="D759" s="12" t="s">
        <v>104</v>
      </c>
      <c r="E759" s="12" t="s">
        <v>126</v>
      </c>
      <c r="F759" s="12" t="s">
        <v>66</v>
      </c>
      <c r="G759" s="12" t="s">
        <v>75</v>
      </c>
      <c r="H759" s="12">
        <v>2507507</v>
      </c>
      <c r="I759" s="13">
        <v>45915.870717592603</v>
      </c>
      <c r="J759" s="12" t="s">
        <v>127</v>
      </c>
      <c r="K759" s="12" t="s">
        <v>135</v>
      </c>
      <c r="L759" s="14"/>
      <c r="M759" s="14">
        <f t="shared" si="11"/>
        <v>0</v>
      </c>
      <c r="N759" s="7" t="s">
        <v>874</v>
      </c>
      <c r="O759" s="12"/>
      <c r="P759" s="12" t="s">
        <v>130</v>
      </c>
    </row>
    <row r="760" spans="1:16" ht="15" hidden="1" customHeight="1" x14ac:dyDescent="0.35">
      <c r="A760" s="12">
        <v>9351</v>
      </c>
      <c r="B760" s="12" t="s">
        <v>100</v>
      </c>
      <c r="C760" s="12" t="s">
        <v>103</v>
      </c>
      <c r="D760" s="12" t="s">
        <v>104</v>
      </c>
      <c r="E760" s="12" t="s">
        <v>131</v>
      </c>
      <c r="F760" s="12" t="s">
        <v>66</v>
      </c>
      <c r="G760" s="12" t="s">
        <v>75</v>
      </c>
      <c r="H760" s="12">
        <v>2507507</v>
      </c>
      <c r="I760" s="13">
        <v>45915.870717592603</v>
      </c>
      <c r="J760" s="12" t="s">
        <v>127</v>
      </c>
      <c r="K760" s="12" t="s">
        <v>545</v>
      </c>
      <c r="L760" s="14"/>
      <c r="M760" s="14" t="str">
        <f t="shared" si="11"/>
        <v/>
      </c>
      <c r="N760" s="7" t="s">
        <v>875</v>
      </c>
      <c r="O760" s="12"/>
      <c r="P760" s="12" t="s">
        <v>130</v>
      </c>
    </row>
    <row r="761" spans="1:16" ht="15" hidden="1" customHeight="1" x14ac:dyDescent="0.35">
      <c r="A761" s="12">
        <v>9352</v>
      </c>
      <c r="B761" s="12" t="s">
        <v>100</v>
      </c>
      <c r="C761" s="12" t="s">
        <v>103</v>
      </c>
      <c r="D761" s="12" t="s">
        <v>104</v>
      </c>
      <c r="E761" s="12" t="s">
        <v>134</v>
      </c>
      <c r="F761" s="12" t="s">
        <v>66</v>
      </c>
      <c r="G761" s="12" t="s">
        <v>75</v>
      </c>
      <c r="H761" s="12">
        <v>2507507</v>
      </c>
      <c r="I761" s="13">
        <v>45915.870717592603</v>
      </c>
      <c r="J761" s="12" t="s">
        <v>127</v>
      </c>
      <c r="K761" s="12" t="s">
        <v>545</v>
      </c>
      <c r="L761" s="14"/>
      <c r="M761" s="14" t="str">
        <f t="shared" si="11"/>
        <v/>
      </c>
      <c r="N761" s="7" t="s">
        <v>875</v>
      </c>
      <c r="O761" s="12"/>
      <c r="P761" s="12" t="s">
        <v>130</v>
      </c>
    </row>
    <row r="762" spans="1:16" ht="15" hidden="1" customHeight="1" x14ac:dyDescent="0.35">
      <c r="A762" s="12">
        <v>9353</v>
      </c>
      <c r="B762" s="12" t="s">
        <v>100</v>
      </c>
      <c r="C762" s="12" t="s">
        <v>105</v>
      </c>
      <c r="D762" s="12" t="s">
        <v>106</v>
      </c>
      <c r="E762" s="12" t="s">
        <v>126</v>
      </c>
      <c r="F762" s="12" t="s">
        <v>66</v>
      </c>
      <c r="G762" s="12" t="s">
        <v>75</v>
      </c>
      <c r="H762" s="12">
        <v>2507507</v>
      </c>
      <c r="I762" s="13">
        <v>45915.870717592603</v>
      </c>
      <c r="J762" s="12" t="s">
        <v>127</v>
      </c>
      <c r="K762" s="12" t="s">
        <v>545</v>
      </c>
      <c r="L762" s="14"/>
      <c r="M762" s="14" t="str">
        <f t="shared" si="11"/>
        <v/>
      </c>
      <c r="N762" s="7" t="s">
        <v>875</v>
      </c>
      <c r="O762" s="12"/>
      <c r="P762" s="12" t="s">
        <v>130</v>
      </c>
    </row>
    <row r="763" spans="1:16" ht="23.25" hidden="1" customHeight="1" x14ac:dyDescent="0.35">
      <c r="A763" s="12">
        <v>9359</v>
      </c>
      <c r="B763" s="12" t="s">
        <v>100</v>
      </c>
      <c r="C763" s="12" t="s">
        <v>105</v>
      </c>
      <c r="D763" s="12" t="s">
        <v>106</v>
      </c>
      <c r="E763" s="12" t="s">
        <v>131</v>
      </c>
      <c r="F763" s="12" t="s">
        <v>66</v>
      </c>
      <c r="G763" s="12" t="s">
        <v>75</v>
      </c>
      <c r="H763" s="12">
        <v>2507507</v>
      </c>
      <c r="I763" s="13">
        <v>45915.870717592603</v>
      </c>
      <c r="J763" s="12" t="s">
        <v>127</v>
      </c>
      <c r="K763" s="12" t="s">
        <v>135</v>
      </c>
      <c r="L763" s="14"/>
      <c r="M763" s="14">
        <f t="shared" si="11"/>
        <v>0</v>
      </c>
      <c r="N763" s="7" t="s">
        <v>876</v>
      </c>
      <c r="O763" s="12"/>
      <c r="P763" s="12" t="s">
        <v>130</v>
      </c>
    </row>
    <row r="764" spans="1:16" ht="15" hidden="1" customHeight="1" x14ac:dyDescent="0.35">
      <c r="A764" s="12">
        <v>9360</v>
      </c>
      <c r="B764" s="12" t="s">
        <v>100</v>
      </c>
      <c r="C764" s="12" t="s">
        <v>107</v>
      </c>
      <c r="D764" s="12" t="s">
        <v>108</v>
      </c>
      <c r="E764" s="12" t="s">
        <v>126</v>
      </c>
      <c r="F764" s="12" t="s">
        <v>66</v>
      </c>
      <c r="G764" s="12" t="s">
        <v>75</v>
      </c>
      <c r="H764" s="12">
        <v>2507507</v>
      </c>
      <c r="I764" s="13">
        <v>45915.870717592603</v>
      </c>
      <c r="J764" s="12" t="s">
        <v>127</v>
      </c>
      <c r="K764" s="12" t="s">
        <v>545</v>
      </c>
      <c r="L764" s="14"/>
      <c r="M764" s="14" t="str">
        <f t="shared" si="11"/>
        <v/>
      </c>
      <c r="N764" s="7" t="s">
        <v>875</v>
      </c>
      <c r="O764" s="12"/>
      <c r="P764" s="12" t="s">
        <v>130</v>
      </c>
    </row>
    <row r="765" spans="1:16" ht="15" hidden="1" customHeight="1" x14ac:dyDescent="0.35">
      <c r="A765" s="12">
        <v>9383</v>
      </c>
      <c r="B765" s="12" t="s">
        <v>100</v>
      </c>
      <c r="C765" s="12" t="s">
        <v>107</v>
      </c>
      <c r="D765" s="12" t="s">
        <v>108</v>
      </c>
      <c r="E765" s="12" t="s">
        <v>131</v>
      </c>
      <c r="F765" s="12" t="s">
        <v>66</v>
      </c>
      <c r="G765" s="12" t="s">
        <v>75</v>
      </c>
      <c r="H765" s="12">
        <v>2507507</v>
      </c>
      <c r="I765" s="13">
        <v>45915.870717592603</v>
      </c>
      <c r="J765" s="12" t="s">
        <v>127</v>
      </c>
      <c r="K765" s="12" t="s">
        <v>545</v>
      </c>
      <c r="L765" s="14"/>
      <c r="M765" s="14" t="str">
        <f t="shared" si="11"/>
        <v/>
      </c>
      <c r="N765" s="7" t="s">
        <v>875</v>
      </c>
      <c r="O765" s="12"/>
      <c r="P765" s="12" t="s">
        <v>130</v>
      </c>
    </row>
    <row r="766" spans="1:16" ht="15" hidden="1" customHeight="1" x14ac:dyDescent="0.35">
      <c r="A766" s="12">
        <v>9384</v>
      </c>
      <c r="B766" s="12" t="s">
        <v>100</v>
      </c>
      <c r="C766" s="12" t="s">
        <v>107</v>
      </c>
      <c r="D766" s="12" t="s">
        <v>108</v>
      </c>
      <c r="E766" s="12" t="s">
        <v>134</v>
      </c>
      <c r="F766" s="12" t="s">
        <v>66</v>
      </c>
      <c r="G766" s="12" t="s">
        <v>75</v>
      </c>
      <c r="H766" s="12">
        <v>2507507</v>
      </c>
      <c r="I766" s="13">
        <v>45915.870717592603</v>
      </c>
      <c r="J766" s="12" t="s">
        <v>127</v>
      </c>
      <c r="K766" s="12" t="s">
        <v>545</v>
      </c>
      <c r="L766" s="14"/>
      <c r="M766" s="14" t="str">
        <f t="shared" si="11"/>
        <v/>
      </c>
      <c r="N766" s="7" t="s">
        <v>875</v>
      </c>
      <c r="O766" s="12"/>
      <c r="P766" s="12" t="s">
        <v>130</v>
      </c>
    </row>
    <row r="767" spans="1:16" ht="23.25" hidden="1" customHeight="1" x14ac:dyDescent="0.35">
      <c r="A767" s="12">
        <v>9385</v>
      </c>
      <c r="B767" s="12" t="s">
        <v>100</v>
      </c>
      <c r="C767" s="12" t="s">
        <v>109</v>
      </c>
      <c r="D767" s="12" t="s">
        <v>110</v>
      </c>
      <c r="E767" s="12" t="s">
        <v>126</v>
      </c>
      <c r="F767" s="12" t="s">
        <v>66</v>
      </c>
      <c r="G767" s="12" t="s">
        <v>75</v>
      </c>
      <c r="H767" s="12">
        <v>2507507</v>
      </c>
      <c r="I767" s="13">
        <v>45915.870717592603</v>
      </c>
      <c r="J767" s="12" t="s">
        <v>127</v>
      </c>
      <c r="K767" s="12" t="s">
        <v>132</v>
      </c>
      <c r="L767" s="14">
        <v>0.66600000000000004</v>
      </c>
      <c r="M767" s="14">
        <f t="shared" si="11"/>
        <v>0.66600000000000004</v>
      </c>
      <c r="N767" s="7" t="s">
        <v>877</v>
      </c>
      <c r="O767" s="12"/>
      <c r="P767" s="12" t="s">
        <v>130</v>
      </c>
    </row>
    <row r="768" spans="1:16" ht="34.5" hidden="1" customHeight="1" x14ac:dyDescent="0.35">
      <c r="A768" s="12">
        <v>9401</v>
      </c>
      <c r="B768" s="12" t="s">
        <v>100</v>
      </c>
      <c r="C768" s="12" t="s">
        <v>109</v>
      </c>
      <c r="D768" s="12" t="s">
        <v>110</v>
      </c>
      <c r="E768" s="12" t="s">
        <v>131</v>
      </c>
      <c r="F768" s="12" t="s">
        <v>66</v>
      </c>
      <c r="G768" s="12" t="s">
        <v>75</v>
      </c>
      <c r="H768" s="12">
        <v>2507507</v>
      </c>
      <c r="I768" s="13">
        <v>45915.870717592603</v>
      </c>
      <c r="J768" s="12" t="s">
        <v>127</v>
      </c>
      <c r="K768" s="12" t="s">
        <v>142</v>
      </c>
      <c r="L768" s="14">
        <v>0.33300000000000002</v>
      </c>
      <c r="M768" s="14">
        <f t="shared" si="11"/>
        <v>0.33300000000000002</v>
      </c>
      <c r="N768" s="7" t="s">
        <v>878</v>
      </c>
      <c r="O768" s="12"/>
      <c r="P768" s="12" t="s">
        <v>130</v>
      </c>
    </row>
    <row r="769" spans="1:16" ht="23.25" hidden="1" customHeight="1" x14ac:dyDescent="0.35">
      <c r="A769" s="12">
        <v>9386</v>
      </c>
      <c r="B769" s="12" t="s">
        <v>100</v>
      </c>
      <c r="C769" s="12" t="s">
        <v>111</v>
      </c>
      <c r="D769" s="12" t="s">
        <v>112</v>
      </c>
      <c r="E769" s="12" t="s">
        <v>126</v>
      </c>
      <c r="F769" s="12" t="s">
        <v>66</v>
      </c>
      <c r="G769" s="12" t="s">
        <v>75</v>
      </c>
      <c r="H769" s="12">
        <v>2507507</v>
      </c>
      <c r="I769" s="13">
        <v>45915.870717592603</v>
      </c>
      <c r="J769" s="12" t="s">
        <v>127</v>
      </c>
      <c r="K769" s="12" t="s">
        <v>142</v>
      </c>
      <c r="L769" s="14">
        <v>0.33300000000000002</v>
      </c>
      <c r="M769" s="14">
        <f t="shared" si="11"/>
        <v>0.33300000000000002</v>
      </c>
      <c r="N769" s="7" t="s">
        <v>879</v>
      </c>
      <c r="O769" s="12"/>
      <c r="P769" s="12" t="s">
        <v>130</v>
      </c>
    </row>
    <row r="770" spans="1:16" ht="45.75" hidden="1" customHeight="1" x14ac:dyDescent="0.35">
      <c r="A770" s="12">
        <v>9387</v>
      </c>
      <c r="B770" s="12" t="s">
        <v>100</v>
      </c>
      <c r="C770" s="12" t="s">
        <v>111</v>
      </c>
      <c r="D770" s="12" t="s">
        <v>112</v>
      </c>
      <c r="E770" s="12" t="s">
        <v>131</v>
      </c>
      <c r="F770" s="12" t="s">
        <v>66</v>
      </c>
      <c r="G770" s="12" t="s">
        <v>75</v>
      </c>
      <c r="H770" s="12">
        <v>2507507</v>
      </c>
      <c r="I770" s="13">
        <v>45915.870717592603</v>
      </c>
      <c r="J770" s="12" t="s">
        <v>127</v>
      </c>
      <c r="K770" s="12" t="s">
        <v>142</v>
      </c>
      <c r="L770" s="14">
        <v>0.33300000000000002</v>
      </c>
      <c r="M770" s="14">
        <f t="shared" ref="M770:M833" si="12">IF(K770="Sem progresso",0,IF(OR(K770="Não avaliado",K770="Não se aplica",K770=""),"",L770))</f>
        <v>0.33300000000000002</v>
      </c>
      <c r="N770" s="7" t="s">
        <v>880</v>
      </c>
      <c r="O770" s="12"/>
      <c r="P770" s="12" t="s">
        <v>130</v>
      </c>
    </row>
    <row r="771" spans="1:16" ht="23.25" hidden="1" customHeight="1" x14ac:dyDescent="0.35">
      <c r="A771" s="12">
        <v>9421</v>
      </c>
      <c r="B771" s="12" t="s">
        <v>100</v>
      </c>
      <c r="C771" s="12" t="s">
        <v>111</v>
      </c>
      <c r="D771" s="12" t="s">
        <v>112</v>
      </c>
      <c r="E771" s="12" t="s">
        <v>134</v>
      </c>
      <c r="F771" s="12" t="s">
        <v>66</v>
      </c>
      <c r="G771" s="12" t="s">
        <v>75</v>
      </c>
      <c r="H771" s="12">
        <v>2507507</v>
      </c>
      <c r="I771" s="13">
        <v>45915.870717592603</v>
      </c>
      <c r="J771" s="12" t="s">
        <v>127</v>
      </c>
      <c r="K771" s="12" t="s">
        <v>142</v>
      </c>
      <c r="L771" s="14">
        <v>0.33300000000000002</v>
      </c>
      <c r="M771" s="14">
        <f t="shared" si="12"/>
        <v>0.33300000000000002</v>
      </c>
      <c r="N771" s="7" t="s">
        <v>881</v>
      </c>
      <c r="O771" s="12"/>
      <c r="P771" s="12" t="s">
        <v>130</v>
      </c>
    </row>
    <row r="772" spans="1:16" ht="23.25" hidden="1" customHeight="1" x14ac:dyDescent="0.35">
      <c r="A772" s="12">
        <v>9442</v>
      </c>
      <c r="B772" s="12" t="s">
        <v>100</v>
      </c>
      <c r="C772" s="12" t="s">
        <v>113</v>
      </c>
      <c r="D772" s="12" t="s">
        <v>114</v>
      </c>
      <c r="E772" s="12" t="s">
        <v>126</v>
      </c>
      <c r="F772" s="12" t="s">
        <v>66</v>
      </c>
      <c r="G772" s="12" t="s">
        <v>75</v>
      </c>
      <c r="H772" s="12">
        <v>2507507</v>
      </c>
      <c r="I772" s="13">
        <v>45915.870717592603</v>
      </c>
      <c r="J772" s="12" t="s">
        <v>127</v>
      </c>
      <c r="K772" s="12" t="s">
        <v>135</v>
      </c>
      <c r="L772" s="14"/>
      <c r="M772" s="14">
        <f t="shared" si="12"/>
        <v>0</v>
      </c>
      <c r="N772" s="7" t="s">
        <v>882</v>
      </c>
      <c r="O772" s="12"/>
      <c r="P772" s="12" t="s">
        <v>130</v>
      </c>
    </row>
    <row r="773" spans="1:16" ht="45.75" hidden="1" customHeight="1" x14ac:dyDescent="0.35">
      <c r="A773" s="12">
        <v>9443</v>
      </c>
      <c r="B773" s="12" t="s">
        <v>100</v>
      </c>
      <c r="C773" s="12" t="s">
        <v>113</v>
      </c>
      <c r="D773" s="12" t="s">
        <v>114</v>
      </c>
      <c r="E773" s="12" t="s">
        <v>131</v>
      </c>
      <c r="F773" s="12" t="s">
        <v>66</v>
      </c>
      <c r="G773" s="12" t="s">
        <v>75</v>
      </c>
      <c r="H773" s="12">
        <v>2507507</v>
      </c>
      <c r="I773" s="13">
        <v>45915.870717592603</v>
      </c>
      <c r="J773" s="12" t="s">
        <v>127</v>
      </c>
      <c r="K773" s="12" t="s">
        <v>128</v>
      </c>
      <c r="L773" s="14">
        <v>1</v>
      </c>
      <c r="M773" s="14">
        <f t="shared" si="12"/>
        <v>1</v>
      </c>
      <c r="N773" s="7" t="s">
        <v>883</v>
      </c>
      <c r="O773" s="12"/>
      <c r="P773" s="12" t="s">
        <v>130</v>
      </c>
    </row>
    <row r="774" spans="1:16" ht="15" hidden="1" customHeight="1" x14ac:dyDescent="0.35">
      <c r="A774" s="12">
        <v>9441</v>
      </c>
      <c r="B774" s="12" t="s">
        <v>100</v>
      </c>
      <c r="C774" s="12" t="s">
        <v>113</v>
      </c>
      <c r="D774" s="12" t="s">
        <v>114</v>
      </c>
      <c r="E774" s="12" t="s">
        <v>134</v>
      </c>
      <c r="F774" s="12" t="s">
        <v>66</v>
      </c>
      <c r="G774" s="12" t="s">
        <v>75</v>
      </c>
      <c r="H774" s="12">
        <v>2507507</v>
      </c>
      <c r="I774" s="13">
        <v>45915.870717592603</v>
      </c>
      <c r="J774" s="12" t="s">
        <v>127</v>
      </c>
      <c r="K774" s="12" t="s">
        <v>688</v>
      </c>
      <c r="L774" s="14"/>
      <c r="M774" s="14" t="str">
        <f t="shared" si="12"/>
        <v/>
      </c>
      <c r="N774" s="7" t="s">
        <v>884</v>
      </c>
      <c r="O774" s="12"/>
      <c r="P774" s="12" t="s">
        <v>130</v>
      </c>
    </row>
    <row r="775" spans="1:16" ht="15" hidden="1" customHeight="1" x14ac:dyDescent="0.35">
      <c r="A775" s="12">
        <v>8585</v>
      </c>
      <c r="B775" s="12" t="s">
        <v>100</v>
      </c>
      <c r="C775" s="12" t="s">
        <v>101</v>
      </c>
      <c r="D775" s="12" t="s">
        <v>102</v>
      </c>
      <c r="E775" s="12" t="s">
        <v>126</v>
      </c>
      <c r="F775" s="12" t="s">
        <v>66</v>
      </c>
      <c r="G775" s="12" t="s">
        <v>76</v>
      </c>
      <c r="H775" s="12">
        <v>1600303</v>
      </c>
      <c r="I775" s="13">
        <v>45922.504629629599</v>
      </c>
      <c r="J775" s="12" t="s">
        <v>127</v>
      </c>
      <c r="K775" s="12" t="s">
        <v>135</v>
      </c>
      <c r="L775" s="14"/>
      <c r="M775" s="14">
        <f t="shared" si="12"/>
        <v>0</v>
      </c>
      <c r="N775" s="7" t="s">
        <v>885</v>
      </c>
      <c r="O775" s="12"/>
      <c r="P775" s="12" t="s">
        <v>130</v>
      </c>
    </row>
    <row r="776" spans="1:16" ht="15" hidden="1" customHeight="1" x14ac:dyDescent="0.35">
      <c r="A776" s="12">
        <v>8586</v>
      </c>
      <c r="B776" s="12" t="s">
        <v>100</v>
      </c>
      <c r="C776" s="12" t="s">
        <v>101</v>
      </c>
      <c r="D776" s="12" t="s">
        <v>102</v>
      </c>
      <c r="E776" s="12" t="s">
        <v>131</v>
      </c>
      <c r="F776" s="12" t="s">
        <v>66</v>
      </c>
      <c r="G776" s="12" t="s">
        <v>76</v>
      </c>
      <c r="H776" s="12">
        <v>1600303</v>
      </c>
      <c r="I776" s="13">
        <v>45922.504629629599</v>
      </c>
      <c r="J776" s="12" t="s">
        <v>127</v>
      </c>
      <c r="K776" s="12" t="s">
        <v>135</v>
      </c>
      <c r="L776" s="14"/>
      <c r="M776" s="14">
        <f t="shared" si="12"/>
        <v>0</v>
      </c>
      <c r="N776" s="7" t="s">
        <v>886</v>
      </c>
      <c r="O776" s="12"/>
      <c r="P776" s="12" t="s">
        <v>130</v>
      </c>
    </row>
    <row r="777" spans="1:16" ht="15" hidden="1" customHeight="1" x14ac:dyDescent="0.35">
      <c r="A777" s="12">
        <v>8587</v>
      </c>
      <c r="B777" s="12" t="s">
        <v>100</v>
      </c>
      <c r="C777" s="12" t="s">
        <v>101</v>
      </c>
      <c r="D777" s="12" t="s">
        <v>102</v>
      </c>
      <c r="E777" s="12" t="s">
        <v>134</v>
      </c>
      <c r="F777" s="12" t="s">
        <v>66</v>
      </c>
      <c r="G777" s="12" t="s">
        <v>76</v>
      </c>
      <c r="H777" s="12">
        <v>1600303</v>
      </c>
      <c r="I777" s="13">
        <v>45922.504629629599</v>
      </c>
      <c r="J777" s="12" t="s">
        <v>127</v>
      </c>
      <c r="K777" s="12" t="s">
        <v>135</v>
      </c>
      <c r="L777" s="14"/>
      <c r="M777" s="14">
        <f t="shared" si="12"/>
        <v>0</v>
      </c>
      <c r="N777" s="7" t="s">
        <v>887</v>
      </c>
      <c r="O777" s="12"/>
      <c r="P777" s="12" t="s">
        <v>130</v>
      </c>
    </row>
    <row r="778" spans="1:16" ht="57" hidden="1" customHeight="1" x14ac:dyDescent="0.35">
      <c r="A778" s="12">
        <v>8588</v>
      </c>
      <c r="B778" s="12" t="s">
        <v>100</v>
      </c>
      <c r="C778" s="12" t="s">
        <v>103</v>
      </c>
      <c r="D778" s="12" t="s">
        <v>104</v>
      </c>
      <c r="E778" s="12" t="s">
        <v>126</v>
      </c>
      <c r="F778" s="12" t="s">
        <v>66</v>
      </c>
      <c r="G778" s="12" t="s">
        <v>76</v>
      </c>
      <c r="H778" s="12">
        <v>1600303</v>
      </c>
      <c r="I778" s="13">
        <v>45922.504629629599</v>
      </c>
      <c r="J778" s="12" t="s">
        <v>127</v>
      </c>
      <c r="K778" s="12" t="s">
        <v>142</v>
      </c>
      <c r="L778" s="14">
        <v>0.33300000000000002</v>
      </c>
      <c r="M778" s="14">
        <f t="shared" si="12"/>
        <v>0.33300000000000002</v>
      </c>
      <c r="N778" s="7" t="s">
        <v>888</v>
      </c>
      <c r="O778" s="12"/>
      <c r="P778" s="12" t="s">
        <v>130</v>
      </c>
    </row>
    <row r="779" spans="1:16" ht="23.25" hidden="1" customHeight="1" x14ac:dyDescent="0.35">
      <c r="A779" s="12">
        <v>8589</v>
      </c>
      <c r="B779" s="12" t="s">
        <v>100</v>
      </c>
      <c r="C779" s="12" t="s">
        <v>103</v>
      </c>
      <c r="D779" s="12" t="s">
        <v>104</v>
      </c>
      <c r="E779" s="12" t="s">
        <v>131</v>
      </c>
      <c r="F779" s="12" t="s">
        <v>66</v>
      </c>
      <c r="G779" s="12" t="s">
        <v>76</v>
      </c>
      <c r="H779" s="12">
        <v>1600303</v>
      </c>
      <c r="I779" s="13">
        <v>45922.504629629599</v>
      </c>
      <c r="J779" s="12" t="s">
        <v>127</v>
      </c>
      <c r="K779" s="12" t="s">
        <v>142</v>
      </c>
      <c r="L779" s="14">
        <v>0.33300000000000002</v>
      </c>
      <c r="M779" s="14">
        <f t="shared" si="12"/>
        <v>0.33300000000000002</v>
      </c>
      <c r="N779" s="7" t="s">
        <v>889</v>
      </c>
      <c r="O779" s="12"/>
      <c r="P779" s="12"/>
    </row>
    <row r="780" spans="1:16" ht="68.25" hidden="1" customHeight="1" x14ac:dyDescent="0.35">
      <c r="A780" s="12">
        <v>8590</v>
      </c>
      <c r="B780" s="12" t="s">
        <v>100</v>
      </c>
      <c r="C780" s="12" t="s">
        <v>103</v>
      </c>
      <c r="D780" s="12" t="s">
        <v>104</v>
      </c>
      <c r="E780" s="12" t="s">
        <v>134</v>
      </c>
      <c r="F780" s="12" t="s">
        <v>66</v>
      </c>
      <c r="G780" s="12" t="s">
        <v>76</v>
      </c>
      <c r="H780" s="12">
        <v>1600303</v>
      </c>
      <c r="I780" s="13">
        <v>45922.504629629599</v>
      </c>
      <c r="J780" s="12" t="s">
        <v>127</v>
      </c>
      <c r="K780" s="12" t="s">
        <v>135</v>
      </c>
      <c r="L780" s="14"/>
      <c r="M780" s="14">
        <f t="shared" si="12"/>
        <v>0</v>
      </c>
      <c r="N780" s="7" t="s">
        <v>890</v>
      </c>
      <c r="O780" s="12"/>
      <c r="P780" s="12" t="s">
        <v>130</v>
      </c>
    </row>
    <row r="781" spans="1:16" ht="15" hidden="1" customHeight="1" x14ac:dyDescent="0.35">
      <c r="A781" s="12">
        <v>8603</v>
      </c>
      <c r="B781" s="12" t="s">
        <v>100</v>
      </c>
      <c r="C781" s="12" t="s">
        <v>105</v>
      </c>
      <c r="D781" s="12" t="s">
        <v>106</v>
      </c>
      <c r="E781" s="12" t="s">
        <v>126</v>
      </c>
      <c r="F781" s="12" t="s">
        <v>66</v>
      </c>
      <c r="G781" s="12" t="s">
        <v>76</v>
      </c>
      <c r="H781" s="12">
        <v>1600303</v>
      </c>
      <c r="I781" s="13">
        <v>45922.504629629599</v>
      </c>
      <c r="J781" s="12" t="s">
        <v>127</v>
      </c>
      <c r="K781" s="12" t="s">
        <v>135</v>
      </c>
      <c r="L781" s="14"/>
      <c r="M781" s="14">
        <f t="shared" si="12"/>
        <v>0</v>
      </c>
      <c r="N781" s="7" t="s">
        <v>891</v>
      </c>
      <c r="O781" s="12"/>
      <c r="P781" s="12" t="s">
        <v>130</v>
      </c>
    </row>
    <row r="782" spans="1:16" ht="15" hidden="1" customHeight="1" x14ac:dyDescent="0.35">
      <c r="A782" s="12">
        <v>8604</v>
      </c>
      <c r="B782" s="12" t="s">
        <v>100</v>
      </c>
      <c r="C782" s="12" t="s">
        <v>105</v>
      </c>
      <c r="D782" s="12" t="s">
        <v>106</v>
      </c>
      <c r="E782" s="12" t="s">
        <v>131</v>
      </c>
      <c r="F782" s="12" t="s">
        <v>66</v>
      </c>
      <c r="G782" s="12" t="s">
        <v>76</v>
      </c>
      <c r="H782" s="12">
        <v>1600303</v>
      </c>
      <c r="I782" s="13">
        <v>45922.504629629599</v>
      </c>
      <c r="J782" s="12" t="s">
        <v>127</v>
      </c>
      <c r="K782" s="12" t="s">
        <v>135</v>
      </c>
      <c r="L782" s="14"/>
      <c r="M782" s="14">
        <f t="shared" si="12"/>
        <v>0</v>
      </c>
      <c r="N782" s="7" t="s">
        <v>892</v>
      </c>
      <c r="O782" s="12"/>
      <c r="P782" s="12" t="s">
        <v>130</v>
      </c>
    </row>
    <row r="783" spans="1:16" ht="34.5" hidden="1" customHeight="1" x14ac:dyDescent="0.35">
      <c r="A783" s="12">
        <v>8592</v>
      </c>
      <c r="B783" s="12" t="s">
        <v>100</v>
      </c>
      <c r="C783" s="12" t="s">
        <v>107</v>
      </c>
      <c r="D783" s="12" t="s">
        <v>108</v>
      </c>
      <c r="E783" s="12" t="s">
        <v>126</v>
      </c>
      <c r="F783" s="12" t="s">
        <v>66</v>
      </c>
      <c r="G783" s="12" t="s">
        <v>76</v>
      </c>
      <c r="H783" s="12">
        <v>1600303</v>
      </c>
      <c r="I783" s="13">
        <v>45922.504629629599</v>
      </c>
      <c r="J783" s="12" t="s">
        <v>127</v>
      </c>
      <c r="K783" s="12" t="s">
        <v>135</v>
      </c>
      <c r="L783" s="14"/>
      <c r="M783" s="14">
        <f t="shared" si="12"/>
        <v>0</v>
      </c>
      <c r="N783" s="7" t="s">
        <v>893</v>
      </c>
      <c r="O783" s="12"/>
      <c r="P783" s="12" t="s">
        <v>130</v>
      </c>
    </row>
    <row r="784" spans="1:16" ht="113.25" hidden="1" customHeight="1" x14ac:dyDescent="0.35">
      <c r="A784" s="12">
        <v>8596</v>
      </c>
      <c r="B784" s="12" t="s">
        <v>100</v>
      </c>
      <c r="C784" s="12" t="s">
        <v>107</v>
      </c>
      <c r="D784" s="12" t="s">
        <v>108</v>
      </c>
      <c r="E784" s="12" t="s">
        <v>131</v>
      </c>
      <c r="F784" s="12" t="s">
        <v>66</v>
      </c>
      <c r="G784" s="12" t="s">
        <v>76</v>
      </c>
      <c r="H784" s="12">
        <v>1600303</v>
      </c>
      <c r="I784" s="13">
        <v>45922.504629629599</v>
      </c>
      <c r="J784" s="12" t="s">
        <v>127</v>
      </c>
      <c r="K784" s="12" t="s">
        <v>135</v>
      </c>
      <c r="L784" s="14"/>
      <c r="M784" s="14">
        <f t="shared" si="12"/>
        <v>0</v>
      </c>
      <c r="N784" s="7" t="s">
        <v>894</v>
      </c>
      <c r="O784" s="12"/>
      <c r="P784" s="12" t="s">
        <v>130</v>
      </c>
    </row>
    <row r="785" spans="1:16" ht="90.75" hidden="1" customHeight="1" x14ac:dyDescent="0.35">
      <c r="A785" s="12">
        <v>8597</v>
      </c>
      <c r="B785" s="12" t="s">
        <v>100</v>
      </c>
      <c r="C785" s="12" t="s">
        <v>107</v>
      </c>
      <c r="D785" s="12" t="s">
        <v>108</v>
      </c>
      <c r="E785" s="12" t="s">
        <v>134</v>
      </c>
      <c r="F785" s="12" t="s">
        <v>66</v>
      </c>
      <c r="G785" s="12" t="s">
        <v>76</v>
      </c>
      <c r="H785" s="12">
        <v>1600303</v>
      </c>
      <c r="I785" s="13">
        <v>45922.504629629599</v>
      </c>
      <c r="J785" s="12" t="s">
        <v>127</v>
      </c>
      <c r="K785" s="12" t="s">
        <v>135</v>
      </c>
      <c r="L785" s="14"/>
      <c r="M785" s="14">
        <f t="shared" si="12"/>
        <v>0</v>
      </c>
      <c r="N785" s="7" t="s">
        <v>895</v>
      </c>
      <c r="O785" s="12"/>
      <c r="P785" s="12" t="s">
        <v>130</v>
      </c>
    </row>
    <row r="786" spans="1:16" ht="57" hidden="1" customHeight="1" x14ac:dyDescent="0.35">
      <c r="A786" s="12">
        <v>8598</v>
      </c>
      <c r="B786" s="12" t="s">
        <v>100</v>
      </c>
      <c r="C786" s="12" t="s">
        <v>109</v>
      </c>
      <c r="D786" s="12" t="s">
        <v>110</v>
      </c>
      <c r="E786" s="12" t="s">
        <v>126</v>
      </c>
      <c r="F786" s="12" t="s">
        <v>66</v>
      </c>
      <c r="G786" s="12" t="s">
        <v>76</v>
      </c>
      <c r="H786" s="12">
        <v>1600303</v>
      </c>
      <c r="I786" s="13">
        <v>45922.504629629599</v>
      </c>
      <c r="J786" s="12" t="s">
        <v>127</v>
      </c>
      <c r="K786" s="12" t="s">
        <v>135</v>
      </c>
      <c r="L786" s="14"/>
      <c r="M786" s="14">
        <f t="shared" si="12"/>
        <v>0</v>
      </c>
      <c r="N786" s="7" t="s">
        <v>896</v>
      </c>
      <c r="O786" s="12"/>
      <c r="P786" s="12" t="s">
        <v>130</v>
      </c>
    </row>
    <row r="787" spans="1:16" ht="113.25" hidden="1" customHeight="1" x14ac:dyDescent="0.35">
      <c r="A787" s="12">
        <v>8607</v>
      </c>
      <c r="B787" s="12" t="s">
        <v>100</v>
      </c>
      <c r="C787" s="12" t="s">
        <v>109</v>
      </c>
      <c r="D787" s="12" t="s">
        <v>110</v>
      </c>
      <c r="E787" s="12" t="s">
        <v>131</v>
      </c>
      <c r="F787" s="12" t="s">
        <v>66</v>
      </c>
      <c r="G787" s="12" t="s">
        <v>76</v>
      </c>
      <c r="H787" s="12">
        <v>1600303</v>
      </c>
      <c r="I787" s="13">
        <v>45922.504629629599</v>
      </c>
      <c r="J787" s="12" t="s">
        <v>127</v>
      </c>
      <c r="K787" s="12" t="s">
        <v>135</v>
      </c>
      <c r="L787" s="14"/>
      <c r="M787" s="14">
        <f t="shared" si="12"/>
        <v>0</v>
      </c>
      <c r="N787" s="7" t="s">
        <v>897</v>
      </c>
      <c r="O787" s="12"/>
      <c r="P787" s="12" t="s">
        <v>130</v>
      </c>
    </row>
    <row r="788" spans="1:16" ht="45.75" hidden="1" customHeight="1" x14ac:dyDescent="0.35">
      <c r="A788" s="12">
        <v>8608</v>
      </c>
      <c r="B788" s="12" t="s">
        <v>100</v>
      </c>
      <c r="C788" s="12" t="s">
        <v>111</v>
      </c>
      <c r="D788" s="12" t="s">
        <v>112</v>
      </c>
      <c r="E788" s="12" t="s">
        <v>126</v>
      </c>
      <c r="F788" s="12" t="s">
        <v>66</v>
      </c>
      <c r="G788" s="12" t="s">
        <v>76</v>
      </c>
      <c r="H788" s="12">
        <v>1600303</v>
      </c>
      <c r="I788" s="13">
        <v>45922.504629629599</v>
      </c>
      <c r="J788" s="12" t="s">
        <v>127</v>
      </c>
      <c r="K788" s="12" t="s">
        <v>135</v>
      </c>
      <c r="L788" s="14"/>
      <c r="M788" s="14">
        <f t="shared" si="12"/>
        <v>0</v>
      </c>
      <c r="N788" s="7" t="s">
        <v>898</v>
      </c>
      <c r="O788" s="12"/>
      <c r="P788" s="12" t="s">
        <v>130</v>
      </c>
    </row>
    <row r="789" spans="1:16" ht="34.5" hidden="1" customHeight="1" x14ac:dyDescent="0.35">
      <c r="A789" s="12">
        <v>8609</v>
      </c>
      <c r="B789" s="12" t="s">
        <v>100</v>
      </c>
      <c r="C789" s="12" t="s">
        <v>111</v>
      </c>
      <c r="D789" s="12" t="s">
        <v>112</v>
      </c>
      <c r="E789" s="12" t="s">
        <v>131</v>
      </c>
      <c r="F789" s="12" t="s">
        <v>66</v>
      </c>
      <c r="G789" s="12" t="s">
        <v>76</v>
      </c>
      <c r="H789" s="12">
        <v>1600303</v>
      </c>
      <c r="I789" s="13">
        <v>45922.504629629599</v>
      </c>
      <c r="J789" s="12" t="s">
        <v>127</v>
      </c>
      <c r="K789" s="12" t="s">
        <v>135</v>
      </c>
      <c r="L789" s="14"/>
      <c r="M789" s="14">
        <f t="shared" si="12"/>
        <v>0</v>
      </c>
      <c r="N789" s="7" t="s">
        <v>899</v>
      </c>
      <c r="O789" s="12"/>
      <c r="P789" s="12" t="s">
        <v>130</v>
      </c>
    </row>
    <row r="790" spans="1:16" ht="34.5" hidden="1" customHeight="1" x14ac:dyDescent="0.35">
      <c r="A790" s="12">
        <v>8610</v>
      </c>
      <c r="B790" s="12" t="s">
        <v>100</v>
      </c>
      <c r="C790" s="12" t="s">
        <v>111</v>
      </c>
      <c r="D790" s="12" t="s">
        <v>112</v>
      </c>
      <c r="E790" s="12" t="s">
        <v>134</v>
      </c>
      <c r="F790" s="12" t="s">
        <v>66</v>
      </c>
      <c r="G790" s="12" t="s">
        <v>76</v>
      </c>
      <c r="H790" s="12">
        <v>1600303</v>
      </c>
      <c r="I790" s="13">
        <v>45922.504629629599</v>
      </c>
      <c r="J790" s="12" t="s">
        <v>127</v>
      </c>
      <c r="K790" s="12" t="s">
        <v>135</v>
      </c>
      <c r="L790" s="14"/>
      <c r="M790" s="14">
        <f t="shared" si="12"/>
        <v>0</v>
      </c>
      <c r="N790" s="7" t="s">
        <v>900</v>
      </c>
      <c r="O790" s="12"/>
      <c r="P790" s="12" t="s">
        <v>130</v>
      </c>
    </row>
    <row r="791" spans="1:16" ht="34.5" hidden="1" customHeight="1" x14ac:dyDescent="0.35">
      <c r="A791" s="12">
        <v>8599</v>
      </c>
      <c r="B791" s="12" t="s">
        <v>100</v>
      </c>
      <c r="C791" s="12" t="s">
        <v>113</v>
      </c>
      <c r="D791" s="12" t="s">
        <v>114</v>
      </c>
      <c r="E791" s="12" t="s">
        <v>126</v>
      </c>
      <c r="F791" s="12" t="s">
        <v>66</v>
      </c>
      <c r="G791" s="12" t="s">
        <v>76</v>
      </c>
      <c r="H791" s="12">
        <v>1600303</v>
      </c>
      <c r="I791" s="13">
        <v>45922.504629629599</v>
      </c>
      <c r="J791" s="12" t="s">
        <v>127</v>
      </c>
      <c r="K791" s="12" t="s">
        <v>135</v>
      </c>
      <c r="L791" s="14"/>
      <c r="M791" s="14">
        <f t="shared" si="12"/>
        <v>0</v>
      </c>
      <c r="N791" s="7" t="s">
        <v>901</v>
      </c>
      <c r="O791" s="12"/>
      <c r="P791" s="12" t="s">
        <v>130</v>
      </c>
    </row>
    <row r="792" spans="1:16" ht="34.5" hidden="1" customHeight="1" x14ac:dyDescent="0.35">
      <c r="A792" s="12">
        <v>8611</v>
      </c>
      <c r="B792" s="12" t="s">
        <v>100</v>
      </c>
      <c r="C792" s="12" t="s">
        <v>113</v>
      </c>
      <c r="D792" s="12" t="s">
        <v>114</v>
      </c>
      <c r="E792" s="12" t="s">
        <v>131</v>
      </c>
      <c r="F792" s="12" t="s">
        <v>66</v>
      </c>
      <c r="G792" s="12" t="s">
        <v>76</v>
      </c>
      <c r="H792" s="12">
        <v>1600303</v>
      </c>
      <c r="I792" s="13">
        <v>45922.504629629599</v>
      </c>
      <c r="J792" s="12" t="s">
        <v>127</v>
      </c>
      <c r="K792" s="12" t="s">
        <v>135</v>
      </c>
      <c r="L792" s="14"/>
      <c r="M792" s="14">
        <f t="shared" si="12"/>
        <v>0</v>
      </c>
      <c r="N792" s="7" t="s">
        <v>902</v>
      </c>
      <c r="O792" s="12"/>
      <c r="P792" s="12" t="s">
        <v>130</v>
      </c>
    </row>
    <row r="793" spans="1:16" ht="45.75" hidden="1" customHeight="1" x14ac:dyDescent="0.35">
      <c r="A793" s="12">
        <v>8600</v>
      </c>
      <c r="B793" s="12" t="s">
        <v>100</v>
      </c>
      <c r="C793" s="12" t="s">
        <v>113</v>
      </c>
      <c r="D793" s="12" t="s">
        <v>114</v>
      </c>
      <c r="E793" s="12" t="s">
        <v>134</v>
      </c>
      <c r="F793" s="12" t="s">
        <v>66</v>
      </c>
      <c r="G793" s="12" t="s">
        <v>76</v>
      </c>
      <c r="H793" s="12">
        <v>1600303</v>
      </c>
      <c r="I793" s="13">
        <v>45922.504629629599</v>
      </c>
      <c r="J793" s="12" t="s">
        <v>127</v>
      </c>
      <c r="K793" s="12" t="s">
        <v>688</v>
      </c>
      <c r="L793" s="14"/>
      <c r="M793" s="14" t="str">
        <f t="shared" si="12"/>
        <v/>
      </c>
      <c r="N793" s="7" t="s">
        <v>903</v>
      </c>
      <c r="O793" s="12"/>
      <c r="P793" s="12" t="s">
        <v>130</v>
      </c>
    </row>
    <row r="794" spans="1:16" ht="247.5" hidden="1" customHeight="1" x14ac:dyDescent="0.35">
      <c r="A794" s="12">
        <v>9501</v>
      </c>
      <c r="B794" s="12" t="s">
        <v>100</v>
      </c>
      <c r="C794" s="12" t="s">
        <v>101</v>
      </c>
      <c r="D794" s="12" t="s">
        <v>102</v>
      </c>
      <c r="E794" s="12" t="s">
        <v>126</v>
      </c>
      <c r="F794" s="12" t="s">
        <v>66</v>
      </c>
      <c r="G794" s="12" t="s">
        <v>77</v>
      </c>
      <c r="H794" s="12">
        <v>2704302</v>
      </c>
      <c r="I794" s="13">
        <v>45933.595613425903</v>
      </c>
      <c r="J794" s="12" t="s">
        <v>127</v>
      </c>
      <c r="K794" s="12" t="s">
        <v>142</v>
      </c>
      <c r="L794" s="14">
        <v>0.33300000000000002</v>
      </c>
      <c r="M794" s="14">
        <f t="shared" si="12"/>
        <v>0.33300000000000002</v>
      </c>
      <c r="N794" s="7" t="s">
        <v>904</v>
      </c>
      <c r="O794" s="12"/>
      <c r="P794" s="12" t="s">
        <v>130</v>
      </c>
    </row>
    <row r="795" spans="1:16" ht="247.5" hidden="1" customHeight="1" x14ac:dyDescent="0.35">
      <c r="A795" s="12">
        <v>9502</v>
      </c>
      <c r="B795" s="12" t="s">
        <v>100</v>
      </c>
      <c r="C795" s="12" t="s">
        <v>101</v>
      </c>
      <c r="D795" s="12" t="s">
        <v>102</v>
      </c>
      <c r="E795" s="12" t="s">
        <v>131</v>
      </c>
      <c r="F795" s="12" t="s">
        <v>66</v>
      </c>
      <c r="G795" s="12" t="s">
        <v>77</v>
      </c>
      <c r="H795" s="12">
        <v>2704302</v>
      </c>
      <c r="I795" s="13">
        <v>45933.595613425903</v>
      </c>
      <c r="J795" s="12" t="s">
        <v>127</v>
      </c>
      <c r="K795" s="12" t="s">
        <v>135</v>
      </c>
      <c r="L795" s="14"/>
      <c r="M795" s="14">
        <f t="shared" si="12"/>
        <v>0</v>
      </c>
      <c r="N795" s="7" t="s">
        <v>905</v>
      </c>
      <c r="O795" s="12"/>
      <c r="P795" s="12" t="s">
        <v>130</v>
      </c>
    </row>
    <row r="796" spans="1:16" ht="68.25" hidden="1" customHeight="1" x14ac:dyDescent="0.35">
      <c r="A796" s="12">
        <v>9521</v>
      </c>
      <c r="B796" s="12" t="s">
        <v>100</v>
      </c>
      <c r="C796" s="12" t="s">
        <v>101</v>
      </c>
      <c r="D796" s="12" t="s">
        <v>102</v>
      </c>
      <c r="E796" s="12" t="s">
        <v>134</v>
      </c>
      <c r="F796" s="12" t="s">
        <v>66</v>
      </c>
      <c r="G796" s="12" t="s">
        <v>77</v>
      </c>
      <c r="H796" s="12">
        <v>2704302</v>
      </c>
      <c r="I796" s="13">
        <v>45933.595613425903</v>
      </c>
      <c r="J796" s="12" t="s">
        <v>127</v>
      </c>
      <c r="K796" s="12" t="s">
        <v>142</v>
      </c>
      <c r="L796" s="14">
        <v>0.33300000000000002</v>
      </c>
      <c r="M796" s="14">
        <f t="shared" si="12"/>
        <v>0.33300000000000002</v>
      </c>
      <c r="N796" s="7" t="s">
        <v>906</v>
      </c>
      <c r="O796" s="12"/>
      <c r="P796" s="12" t="s">
        <v>130</v>
      </c>
    </row>
    <row r="797" spans="1:16" ht="57" hidden="1" customHeight="1" x14ac:dyDescent="0.35">
      <c r="A797" s="12">
        <v>9522</v>
      </c>
      <c r="B797" s="12" t="s">
        <v>100</v>
      </c>
      <c r="C797" s="12" t="s">
        <v>103</v>
      </c>
      <c r="D797" s="12" t="s">
        <v>104</v>
      </c>
      <c r="E797" s="12" t="s">
        <v>126</v>
      </c>
      <c r="F797" s="12" t="s">
        <v>66</v>
      </c>
      <c r="G797" s="12" t="s">
        <v>77</v>
      </c>
      <c r="H797" s="12">
        <v>2704302</v>
      </c>
      <c r="I797" s="13">
        <v>45933.595613425903</v>
      </c>
      <c r="J797" s="12" t="s">
        <v>127</v>
      </c>
      <c r="K797" s="12" t="s">
        <v>142</v>
      </c>
      <c r="L797" s="14">
        <v>0.33300000000000002</v>
      </c>
      <c r="M797" s="14">
        <f t="shared" si="12"/>
        <v>0.33300000000000002</v>
      </c>
      <c r="N797" s="7" t="s">
        <v>907</v>
      </c>
      <c r="O797" s="12"/>
      <c r="P797" s="12" t="s">
        <v>130</v>
      </c>
    </row>
    <row r="798" spans="1:16" ht="409.6" hidden="1" customHeight="1" x14ac:dyDescent="0.35">
      <c r="A798" s="12">
        <v>9523</v>
      </c>
      <c r="B798" s="12" t="s">
        <v>100</v>
      </c>
      <c r="C798" s="12" t="s">
        <v>103</v>
      </c>
      <c r="D798" s="12" t="s">
        <v>104</v>
      </c>
      <c r="E798" s="12" t="s">
        <v>131</v>
      </c>
      <c r="F798" s="12" t="s">
        <v>66</v>
      </c>
      <c r="G798" s="12" t="s">
        <v>77</v>
      </c>
      <c r="H798" s="12">
        <v>2704302</v>
      </c>
      <c r="I798" s="13">
        <v>45933.595613425903</v>
      </c>
      <c r="J798" s="12" t="s">
        <v>127</v>
      </c>
      <c r="K798" s="12" t="s">
        <v>142</v>
      </c>
      <c r="L798" s="14">
        <v>0.33300000000000002</v>
      </c>
      <c r="M798" s="14">
        <f t="shared" si="12"/>
        <v>0.33300000000000002</v>
      </c>
      <c r="N798" s="7" t="s">
        <v>908</v>
      </c>
      <c r="O798" s="12"/>
      <c r="P798" s="12" t="s">
        <v>130</v>
      </c>
    </row>
    <row r="799" spans="1:16" ht="202.5" hidden="1" customHeight="1" x14ac:dyDescent="0.35">
      <c r="A799" s="12">
        <v>9504</v>
      </c>
      <c r="B799" s="12" t="s">
        <v>100</v>
      </c>
      <c r="C799" s="12" t="s">
        <v>105</v>
      </c>
      <c r="D799" s="12" t="s">
        <v>106</v>
      </c>
      <c r="E799" s="12" t="s">
        <v>131</v>
      </c>
      <c r="F799" s="12" t="s">
        <v>66</v>
      </c>
      <c r="G799" s="12" t="s">
        <v>77</v>
      </c>
      <c r="H799" s="12">
        <v>2704302</v>
      </c>
      <c r="I799" s="13">
        <v>45933.595613425903</v>
      </c>
      <c r="J799" s="12" t="s">
        <v>127</v>
      </c>
      <c r="K799" s="12" t="s">
        <v>135</v>
      </c>
      <c r="L799" s="14"/>
      <c r="M799" s="14">
        <f t="shared" si="12"/>
        <v>0</v>
      </c>
      <c r="N799" s="7" t="s">
        <v>909</v>
      </c>
      <c r="O799" s="12"/>
      <c r="P799" s="12" t="s">
        <v>130</v>
      </c>
    </row>
    <row r="800" spans="1:16" ht="270" hidden="1" customHeight="1" x14ac:dyDescent="0.35">
      <c r="A800" s="12">
        <v>9505</v>
      </c>
      <c r="B800" s="12" t="s">
        <v>100</v>
      </c>
      <c r="C800" s="12" t="s">
        <v>107</v>
      </c>
      <c r="D800" s="12" t="s">
        <v>108</v>
      </c>
      <c r="E800" s="12" t="s">
        <v>126</v>
      </c>
      <c r="F800" s="12" t="s">
        <v>66</v>
      </c>
      <c r="G800" s="12" t="s">
        <v>77</v>
      </c>
      <c r="H800" s="12">
        <v>2704302</v>
      </c>
      <c r="I800" s="13">
        <v>45933.595613425903</v>
      </c>
      <c r="J800" s="12" t="s">
        <v>127</v>
      </c>
      <c r="K800" s="12" t="s">
        <v>135</v>
      </c>
      <c r="L800" s="14"/>
      <c r="M800" s="14">
        <f t="shared" si="12"/>
        <v>0</v>
      </c>
      <c r="N800" s="7" t="s">
        <v>910</v>
      </c>
      <c r="O800" s="12"/>
      <c r="P800" s="12" t="s">
        <v>130</v>
      </c>
    </row>
    <row r="801" spans="1:16" ht="168.75" hidden="1" customHeight="1" x14ac:dyDescent="0.35">
      <c r="A801" s="12">
        <v>9506</v>
      </c>
      <c r="B801" s="12" t="s">
        <v>100</v>
      </c>
      <c r="C801" s="12" t="s">
        <v>107</v>
      </c>
      <c r="D801" s="12" t="s">
        <v>108</v>
      </c>
      <c r="E801" s="12" t="s">
        <v>131</v>
      </c>
      <c r="F801" s="12" t="s">
        <v>66</v>
      </c>
      <c r="G801" s="12" t="s">
        <v>77</v>
      </c>
      <c r="H801" s="12">
        <v>2704302</v>
      </c>
      <c r="I801" s="13">
        <v>45933.595613425903</v>
      </c>
      <c r="J801" s="12" t="s">
        <v>127</v>
      </c>
      <c r="K801" s="12" t="s">
        <v>135</v>
      </c>
      <c r="L801" s="14"/>
      <c r="M801" s="14">
        <f t="shared" si="12"/>
        <v>0</v>
      </c>
      <c r="N801" s="7" t="s">
        <v>911</v>
      </c>
      <c r="O801" s="12"/>
      <c r="P801" s="12" t="s">
        <v>130</v>
      </c>
    </row>
    <row r="802" spans="1:16" ht="135.75" hidden="1" customHeight="1" x14ac:dyDescent="0.35">
      <c r="A802" s="12">
        <v>9507</v>
      </c>
      <c r="B802" s="12" t="s">
        <v>100</v>
      </c>
      <c r="C802" s="12" t="s">
        <v>107</v>
      </c>
      <c r="D802" s="12" t="s">
        <v>108</v>
      </c>
      <c r="E802" s="12" t="s">
        <v>134</v>
      </c>
      <c r="F802" s="12" t="s">
        <v>66</v>
      </c>
      <c r="G802" s="12" t="s">
        <v>77</v>
      </c>
      <c r="H802" s="12">
        <v>2704302</v>
      </c>
      <c r="I802" s="13">
        <v>45933.595613425903</v>
      </c>
      <c r="J802" s="12" t="s">
        <v>127</v>
      </c>
      <c r="K802" s="12" t="s">
        <v>135</v>
      </c>
      <c r="L802" s="14"/>
      <c r="M802" s="14">
        <f t="shared" si="12"/>
        <v>0</v>
      </c>
      <c r="N802" s="7" t="s">
        <v>912</v>
      </c>
      <c r="O802" s="12"/>
      <c r="P802" s="12" t="s">
        <v>130</v>
      </c>
    </row>
    <row r="803" spans="1:16" ht="225" hidden="1" customHeight="1" x14ac:dyDescent="0.35">
      <c r="A803" s="12">
        <v>9541</v>
      </c>
      <c r="B803" s="12" t="s">
        <v>100</v>
      </c>
      <c r="C803" s="12" t="s">
        <v>109</v>
      </c>
      <c r="D803" s="12" t="s">
        <v>110</v>
      </c>
      <c r="E803" s="12" t="s">
        <v>126</v>
      </c>
      <c r="F803" s="12" t="s">
        <v>66</v>
      </c>
      <c r="G803" s="12" t="s">
        <v>77</v>
      </c>
      <c r="H803" s="12">
        <v>2704302</v>
      </c>
      <c r="I803" s="13">
        <v>45933.595613425903</v>
      </c>
      <c r="J803" s="12" t="s">
        <v>127</v>
      </c>
      <c r="K803" s="12" t="s">
        <v>142</v>
      </c>
      <c r="L803" s="14">
        <v>0.33300000000000002</v>
      </c>
      <c r="M803" s="14">
        <f t="shared" si="12"/>
        <v>0.33300000000000002</v>
      </c>
      <c r="N803" s="7" t="s">
        <v>913</v>
      </c>
      <c r="O803" s="12"/>
      <c r="P803" s="12" t="s">
        <v>130</v>
      </c>
    </row>
    <row r="804" spans="1:16" ht="68.25" hidden="1" customHeight="1" x14ac:dyDescent="0.35">
      <c r="A804" s="12">
        <v>9561</v>
      </c>
      <c r="B804" s="12" t="s">
        <v>100</v>
      </c>
      <c r="C804" s="12" t="s">
        <v>109</v>
      </c>
      <c r="D804" s="12" t="s">
        <v>110</v>
      </c>
      <c r="E804" s="12" t="s">
        <v>131</v>
      </c>
      <c r="F804" s="12" t="s">
        <v>66</v>
      </c>
      <c r="G804" s="12" t="s">
        <v>77</v>
      </c>
      <c r="H804" s="12">
        <v>2704302</v>
      </c>
      <c r="I804" s="13">
        <v>45933.595613425903</v>
      </c>
      <c r="J804" s="12" t="s">
        <v>127</v>
      </c>
      <c r="K804" s="12" t="s">
        <v>132</v>
      </c>
      <c r="L804" s="14">
        <v>0.66600000000000004</v>
      </c>
      <c r="M804" s="14">
        <f t="shared" si="12"/>
        <v>0.66600000000000004</v>
      </c>
      <c r="N804" s="7" t="s">
        <v>914</v>
      </c>
      <c r="O804" s="12"/>
      <c r="P804" s="12" t="s">
        <v>130</v>
      </c>
    </row>
    <row r="805" spans="1:16" ht="213.75" hidden="1" customHeight="1" x14ac:dyDescent="0.35">
      <c r="A805" s="12">
        <v>9562</v>
      </c>
      <c r="B805" s="12" t="s">
        <v>100</v>
      </c>
      <c r="C805" s="12" t="s">
        <v>111</v>
      </c>
      <c r="D805" s="12" t="s">
        <v>112</v>
      </c>
      <c r="E805" s="12" t="s">
        <v>126</v>
      </c>
      <c r="F805" s="12" t="s">
        <v>66</v>
      </c>
      <c r="G805" s="12" t="s">
        <v>77</v>
      </c>
      <c r="H805" s="12">
        <v>2704302</v>
      </c>
      <c r="I805" s="13">
        <v>45933.595613425903</v>
      </c>
      <c r="J805" s="12" t="s">
        <v>127</v>
      </c>
      <c r="K805" s="12" t="s">
        <v>142</v>
      </c>
      <c r="L805" s="14">
        <v>0.33300000000000002</v>
      </c>
      <c r="M805" s="14">
        <f t="shared" si="12"/>
        <v>0.33300000000000002</v>
      </c>
      <c r="N805" s="7" t="s">
        <v>915</v>
      </c>
      <c r="O805" s="12"/>
      <c r="P805" s="12" t="s">
        <v>130</v>
      </c>
    </row>
    <row r="806" spans="1:16" ht="236.25" hidden="1" customHeight="1" x14ac:dyDescent="0.35">
      <c r="A806" s="12">
        <v>9581</v>
      </c>
      <c r="B806" s="12" t="s">
        <v>100</v>
      </c>
      <c r="C806" s="12" t="s">
        <v>111</v>
      </c>
      <c r="D806" s="12" t="s">
        <v>112</v>
      </c>
      <c r="E806" s="12" t="s">
        <v>131</v>
      </c>
      <c r="F806" s="12" t="s">
        <v>66</v>
      </c>
      <c r="G806" s="12" t="s">
        <v>77</v>
      </c>
      <c r="H806" s="12">
        <v>2704302</v>
      </c>
      <c r="I806" s="13">
        <v>45933.595613425903</v>
      </c>
      <c r="J806" s="12" t="s">
        <v>127</v>
      </c>
      <c r="K806" s="12" t="s">
        <v>142</v>
      </c>
      <c r="L806" s="14">
        <v>0.33300000000000002</v>
      </c>
      <c r="M806" s="14">
        <f t="shared" si="12"/>
        <v>0.33300000000000002</v>
      </c>
      <c r="N806" s="7" t="s">
        <v>916</v>
      </c>
      <c r="O806" s="12"/>
      <c r="P806" s="12" t="s">
        <v>130</v>
      </c>
    </row>
    <row r="807" spans="1:16" ht="247.5" hidden="1" customHeight="1" x14ac:dyDescent="0.35">
      <c r="A807" s="12">
        <v>9703</v>
      </c>
      <c r="B807" s="12" t="s">
        <v>100</v>
      </c>
      <c r="C807" s="12" t="s">
        <v>111</v>
      </c>
      <c r="D807" s="12" t="s">
        <v>112</v>
      </c>
      <c r="E807" s="12" t="s">
        <v>134</v>
      </c>
      <c r="F807" s="12" t="s">
        <v>66</v>
      </c>
      <c r="G807" s="12" t="s">
        <v>77</v>
      </c>
      <c r="H807" s="12">
        <v>2704302</v>
      </c>
      <c r="I807" s="13">
        <v>45933.595613425903</v>
      </c>
      <c r="J807" s="12" t="s">
        <v>127</v>
      </c>
      <c r="K807" s="12" t="s">
        <v>142</v>
      </c>
      <c r="L807" s="14">
        <v>0.33300000000000002</v>
      </c>
      <c r="M807" s="14">
        <f t="shared" si="12"/>
        <v>0.33300000000000002</v>
      </c>
      <c r="N807" s="7" t="s">
        <v>917</v>
      </c>
      <c r="O807" s="12"/>
      <c r="P807" s="12" t="s">
        <v>130</v>
      </c>
    </row>
    <row r="808" spans="1:16" ht="45.75" hidden="1" customHeight="1" x14ac:dyDescent="0.35">
      <c r="A808" s="12">
        <v>9606</v>
      </c>
      <c r="B808" s="12" t="s">
        <v>100</v>
      </c>
      <c r="C808" s="12" t="s">
        <v>113</v>
      </c>
      <c r="D808" s="12" t="s">
        <v>114</v>
      </c>
      <c r="E808" s="12" t="s">
        <v>126</v>
      </c>
      <c r="F808" s="12" t="s">
        <v>66</v>
      </c>
      <c r="G808" s="12" t="s">
        <v>77</v>
      </c>
      <c r="H808" s="12">
        <v>2704302</v>
      </c>
      <c r="I808" s="13">
        <v>45933.595613425903</v>
      </c>
      <c r="J808" s="12" t="s">
        <v>127</v>
      </c>
      <c r="K808" s="12" t="s">
        <v>132</v>
      </c>
      <c r="L808" s="14">
        <v>0.66600000000000004</v>
      </c>
      <c r="M808" s="14">
        <f t="shared" si="12"/>
        <v>0.66600000000000004</v>
      </c>
      <c r="N808" s="7" t="s">
        <v>918</v>
      </c>
      <c r="O808" s="12"/>
      <c r="P808" s="12" t="s">
        <v>130</v>
      </c>
    </row>
    <row r="809" spans="1:16" ht="23.25" hidden="1" customHeight="1" x14ac:dyDescent="0.35">
      <c r="A809" s="12">
        <v>9601</v>
      </c>
      <c r="B809" s="12" t="s">
        <v>100</v>
      </c>
      <c r="C809" s="12" t="s">
        <v>113</v>
      </c>
      <c r="D809" s="12" t="s">
        <v>114</v>
      </c>
      <c r="E809" s="12" t="s">
        <v>131</v>
      </c>
      <c r="F809" s="12" t="s">
        <v>66</v>
      </c>
      <c r="G809" s="12" t="s">
        <v>77</v>
      </c>
      <c r="H809" s="12">
        <v>2704302</v>
      </c>
      <c r="I809" s="13">
        <v>45933.595613425903</v>
      </c>
      <c r="J809" s="12" t="s">
        <v>127</v>
      </c>
      <c r="K809" s="12" t="s">
        <v>135</v>
      </c>
      <c r="L809" s="14"/>
      <c r="M809" s="14">
        <f t="shared" si="12"/>
        <v>0</v>
      </c>
      <c r="N809" s="7" t="s">
        <v>919</v>
      </c>
      <c r="O809" s="12"/>
      <c r="P809" s="12" t="s">
        <v>130</v>
      </c>
    </row>
    <row r="810" spans="1:16" ht="15" hidden="1" customHeight="1" x14ac:dyDescent="0.35">
      <c r="A810" s="12">
        <v>9582</v>
      </c>
      <c r="B810" s="12" t="s">
        <v>100</v>
      </c>
      <c r="C810" s="12" t="s">
        <v>113</v>
      </c>
      <c r="D810" s="12" t="s">
        <v>114</v>
      </c>
      <c r="E810" s="12" t="s">
        <v>134</v>
      </c>
      <c r="F810" s="12" t="s">
        <v>66</v>
      </c>
      <c r="G810" s="12" t="s">
        <v>77</v>
      </c>
      <c r="H810" s="12">
        <v>2704302</v>
      </c>
      <c r="I810" s="13">
        <v>45933.595613425903</v>
      </c>
      <c r="J810" s="12" t="s">
        <v>127</v>
      </c>
      <c r="K810" s="12" t="s">
        <v>688</v>
      </c>
      <c r="L810" s="14"/>
      <c r="M810" s="14" t="str">
        <f t="shared" si="12"/>
        <v/>
      </c>
      <c r="N810" s="7" t="s">
        <v>920</v>
      </c>
      <c r="O810" s="12"/>
      <c r="P810" s="12" t="s">
        <v>130</v>
      </c>
    </row>
    <row r="811" spans="1:16" ht="191.25" hidden="1" customHeight="1" x14ac:dyDescent="0.35">
      <c r="A811" s="12">
        <v>7438</v>
      </c>
      <c r="B811" s="12" t="s">
        <v>100</v>
      </c>
      <c r="C811" s="12" t="s">
        <v>101</v>
      </c>
      <c r="D811" s="12" t="s">
        <v>102</v>
      </c>
      <c r="E811" s="12" t="s">
        <v>126</v>
      </c>
      <c r="F811" s="12" t="s">
        <v>66</v>
      </c>
      <c r="G811" s="12" t="s">
        <v>78</v>
      </c>
      <c r="H811" s="12">
        <v>1302603</v>
      </c>
      <c r="I811" s="13">
        <v>45917.854675925897</v>
      </c>
      <c r="J811" s="12" t="s">
        <v>127</v>
      </c>
      <c r="K811" s="12" t="s">
        <v>128</v>
      </c>
      <c r="L811" s="14">
        <v>1</v>
      </c>
      <c r="M811" s="14">
        <f t="shared" si="12"/>
        <v>1</v>
      </c>
      <c r="N811" s="7" t="s">
        <v>921</v>
      </c>
      <c r="O811" s="12"/>
      <c r="P811" s="12" t="s">
        <v>130</v>
      </c>
    </row>
    <row r="812" spans="1:16" ht="168.75" hidden="1" customHeight="1" x14ac:dyDescent="0.35">
      <c r="A812" s="12">
        <v>9081</v>
      </c>
      <c r="B812" s="12" t="s">
        <v>100</v>
      </c>
      <c r="C812" s="12" t="s">
        <v>101</v>
      </c>
      <c r="D812" s="12" t="s">
        <v>102</v>
      </c>
      <c r="E812" s="12" t="s">
        <v>131</v>
      </c>
      <c r="F812" s="12" t="s">
        <v>66</v>
      </c>
      <c r="G812" s="12" t="s">
        <v>78</v>
      </c>
      <c r="H812" s="12">
        <v>1302603</v>
      </c>
      <c r="I812" s="13">
        <v>45917.854675925897</v>
      </c>
      <c r="J812" s="12" t="s">
        <v>127</v>
      </c>
      <c r="K812" s="12" t="s">
        <v>142</v>
      </c>
      <c r="L812" s="14">
        <v>0.33300000000000002</v>
      </c>
      <c r="M812" s="14">
        <f t="shared" si="12"/>
        <v>0.33300000000000002</v>
      </c>
      <c r="N812" s="7" t="s">
        <v>922</v>
      </c>
      <c r="O812" s="12"/>
      <c r="P812" s="12" t="s">
        <v>130</v>
      </c>
    </row>
    <row r="813" spans="1:16" ht="213.75" hidden="1" customHeight="1" x14ac:dyDescent="0.35">
      <c r="A813" s="12">
        <v>9101</v>
      </c>
      <c r="B813" s="12" t="s">
        <v>100</v>
      </c>
      <c r="C813" s="12" t="s">
        <v>101</v>
      </c>
      <c r="D813" s="12" t="s">
        <v>102</v>
      </c>
      <c r="E813" s="12" t="s">
        <v>134</v>
      </c>
      <c r="F813" s="12" t="s">
        <v>66</v>
      </c>
      <c r="G813" s="12" t="s">
        <v>78</v>
      </c>
      <c r="H813" s="12">
        <v>1302603</v>
      </c>
      <c r="I813" s="13">
        <v>45917.854675925897</v>
      </c>
      <c r="J813" s="12" t="s">
        <v>127</v>
      </c>
      <c r="K813" s="12" t="s">
        <v>132</v>
      </c>
      <c r="L813" s="14">
        <v>0.66600000000000004</v>
      </c>
      <c r="M813" s="14">
        <f t="shared" si="12"/>
        <v>0.66600000000000004</v>
      </c>
      <c r="N813" s="7" t="s">
        <v>923</v>
      </c>
      <c r="O813" s="12"/>
      <c r="P813" s="12" t="s">
        <v>130</v>
      </c>
    </row>
    <row r="814" spans="1:16" ht="213.75" hidden="1" customHeight="1" x14ac:dyDescent="0.35">
      <c r="A814" s="12">
        <v>9082</v>
      </c>
      <c r="B814" s="12" t="s">
        <v>100</v>
      </c>
      <c r="C814" s="12" t="s">
        <v>103</v>
      </c>
      <c r="D814" s="12" t="s">
        <v>104</v>
      </c>
      <c r="E814" s="12" t="s">
        <v>126</v>
      </c>
      <c r="F814" s="12" t="s">
        <v>66</v>
      </c>
      <c r="G814" s="12" t="s">
        <v>78</v>
      </c>
      <c r="H814" s="12">
        <v>1302603</v>
      </c>
      <c r="I814" s="13">
        <v>45917.854675925897</v>
      </c>
      <c r="J814" s="12" t="s">
        <v>127</v>
      </c>
      <c r="K814" s="12" t="s">
        <v>132</v>
      </c>
      <c r="L814" s="14">
        <v>0.66600000000000004</v>
      </c>
      <c r="M814" s="14">
        <f t="shared" si="12"/>
        <v>0.66600000000000004</v>
      </c>
      <c r="N814" s="7" t="s">
        <v>924</v>
      </c>
      <c r="O814" s="12"/>
      <c r="P814" s="12" t="s">
        <v>130</v>
      </c>
    </row>
    <row r="815" spans="1:16" ht="168.75" hidden="1" customHeight="1" x14ac:dyDescent="0.35">
      <c r="A815" s="12">
        <v>9083</v>
      </c>
      <c r="B815" s="12" t="s">
        <v>100</v>
      </c>
      <c r="C815" s="12" t="s">
        <v>103</v>
      </c>
      <c r="D815" s="12" t="s">
        <v>104</v>
      </c>
      <c r="E815" s="12" t="s">
        <v>131</v>
      </c>
      <c r="F815" s="12" t="s">
        <v>66</v>
      </c>
      <c r="G815" s="12" t="s">
        <v>78</v>
      </c>
      <c r="H815" s="12">
        <v>1302603</v>
      </c>
      <c r="I815" s="13">
        <v>45917.854675925897</v>
      </c>
      <c r="J815" s="12" t="s">
        <v>127</v>
      </c>
      <c r="K815" s="12" t="s">
        <v>132</v>
      </c>
      <c r="L815" s="14">
        <v>0.66600000000000004</v>
      </c>
      <c r="M815" s="14">
        <f t="shared" si="12"/>
        <v>0.66600000000000004</v>
      </c>
      <c r="N815" s="7" t="s">
        <v>925</v>
      </c>
      <c r="O815" s="12"/>
      <c r="P815" s="12" t="s">
        <v>130</v>
      </c>
    </row>
    <row r="816" spans="1:16" ht="147" hidden="1" customHeight="1" x14ac:dyDescent="0.35">
      <c r="A816" s="12">
        <v>9084</v>
      </c>
      <c r="B816" s="12" t="s">
        <v>100</v>
      </c>
      <c r="C816" s="12" t="s">
        <v>103</v>
      </c>
      <c r="D816" s="12" t="s">
        <v>104</v>
      </c>
      <c r="E816" s="12" t="s">
        <v>134</v>
      </c>
      <c r="F816" s="12" t="s">
        <v>66</v>
      </c>
      <c r="G816" s="12" t="s">
        <v>78</v>
      </c>
      <c r="H816" s="12">
        <v>1302603</v>
      </c>
      <c r="I816" s="13">
        <v>45917.854675925897</v>
      </c>
      <c r="J816" s="12" t="s">
        <v>127</v>
      </c>
      <c r="K816" s="12" t="s">
        <v>128</v>
      </c>
      <c r="L816" s="14">
        <v>1</v>
      </c>
      <c r="M816" s="14">
        <f t="shared" si="12"/>
        <v>1</v>
      </c>
      <c r="N816" s="7" t="s">
        <v>926</v>
      </c>
      <c r="O816" s="12"/>
      <c r="P816" s="12" t="s">
        <v>130</v>
      </c>
    </row>
    <row r="817" spans="1:16" ht="202.5" hidden="1" customHeight="1" x14ac:dyDescent="0.35">
      <c r="A817" s="12">
        <v>9121</v>
      </c>
      <c r="B817" s="12" t="s">
        <v>100</v>
      </c>
      <c r="C817" s="12" t="s">
        <v>105</v>
      </c>
      <c r="D817" s="12" t="s">
        <v>106</v>
      </c>
      <c r="E817" s="12" t="s">
        <v>126</v>
      </c>
      <c r="F817" s="12" t="s">
        <v>66</v>
      </c>
      <c r="G817" s="12" t="s">
        <v>78</v>
      </c>
      <c r="H817" s="12">
        <v>1302603</v>
      </c>
      <c r="I817" s="13">
        <v>45917.854675925897</v>
      </c>
      <c r="J817" s="12" t="s">
        <v>127</v>
      </c>
      <c r="K817" s="12" t="s">
        <v>135</v>
      </c>
      <c r="L817" s="14"/>
      <c r="M817" s="14">
        <f t="shared" si="12"/>
        <v>0</v>
      </c>
      <c r="N817" s="7" t="s">
        <v>927</v>
      </c>
      <c r="O817" s="12"/>
      <c r="P817" s="12" t="s">
        <v>130</v>
      </c>
    </row>
    <row r="818" spans="1:16" ht="180" hidden="1" customHeight="1" x14ac:dyDescent="0.35">
      <c r="A818" s="12">
        <v>9085</v>
      </c>
      <c r="B818" s="12" t="s">
        <v>100</v>
      </c>
      <c r="C818" s="12" t="s">
        <v>105</v>
      </c>
      <c r="D818" s="12" t="s">
        <v>106</v>
      </c>
      <c r="E818" s="12" t="s">
        <v>131</v>
      </c>
      <c r="F818" s="12" t="s">
        <v>66</v>
      </c>
      <c r="G818" s="12" t="s">
        <v>78</v>
      </c>
      <c r="H818" s="12">
        <v>1302603</v>
      </c>
      <c r="I818" s="13">
        <v>45917.854675925897</v>
      </c>
      <c r="J818" s="12" t="s">
        <v>127</v>
      </c>
      <c r="K818" s="12" t="s">
        <v>132</v>
      </c>
      <c r="L818" s="14">
        <v>0.66600000000000004</v>
      </c>
      <c r="M818" s="14">
        <f t="shared" si="12"/>
        <v>0.66600000000000004</v>
      </c>
      <c r="N818" s="7" t="s">
        <v>928</v>
      </c>
      <c r="O818" s="12"/>
      <c r="P818" s="12" t="s">
        <v>130</v>
      </c>
    </row>
    <row r="819" spans="1:16" ht="79.5" hidden="1" customHeight="1" x14ac:dyDescent="0.35">
      <c r="A819" s="12">
        <v>9122</v>
      </c>
      <c r="B819" s="12" t="s">
        <v>100</v>
      </c>
      <c r="C819" s="12" t="s">
        <v>107</v>
      </c>
      <c r="D819" s="12" t="s">
        <v>108</v>
      </c>
      <c r="E819" s="12" t="s">
        <v>126</v>
      </c>
      <c r="F819" s="12" t="s">
        <v>66</v>
      </c>
      <c r="G819" s="12" t="s">
        <v>78</v>
      </c>
      <c r="H819" s="12">
        <v>1302603</v>
      </c>
      <c r="I819" s="13">
        <v>45917.854675925897</v>
      </c>
      <c r="J819" s="12" t="s">
        <v>127</v>
      </c>
      <c r="K819" s="12" t="s">
        <v>128</v>
      </c>
      <c r="L819" s="14">
        <v>1</v>
      </c>
      <c r="M819" s="14">
        <f t="shared" si="12"/>
        <v>1</v>
      </c>
      <c r="N819" s="7" t="s">
        <v>929</v>
      </c>
      <c r="O819" s="12"/>
      <c r="P819" s="12"/>
    </row>
    <row r="820" spans="1:16" ht="180" hidden="1" customHeight="1" x14ac:dyDescent="0.35">
      <c r="A820" s="12">
        <v>9123</v>
      </c>
      <c r="B820" s="12" t="s">
        <v>100</v>
      </c>
      <c r="C820" s="12" t="s">
        <v>107</v>
      </c>
      <c r="D820" s="12" t="s">
        <v>108</v>
      </c>
      <c r="E820" s="12" t="s">
        <v>131</v>
      </c>
      <c r="F820" s="12" t="s">
        <v>66</v>
      </c>
      <c r="G820" s="12" t="s">
        <v>78</v>
      </c>
      <c r="H820" s="12">
        <v>1302603</v>
      </c>
      <c r="I820" s="13">
        <v>45917.854675925897</v>
      </c>
      <c r="J820" s="12" t="s">
        <v>127</v>
      </c>
      <c r="K820" s="12" t="s">
        <v>142</v>
      </c>
      <c r="L820" s="14">
        <v>0.33300000000000002</v>
      </c>
      <c r="M820" s="14">
        <f t="shared" si="12"/>
        <v>0.33300000000000002</v>
      </c>
      <c r="N820" s="7" t="s">
        <v>930</v>
      </c>
      <c r="O820" s="12"/>
      <c r="P820" s="12" t="s">
        <v>130</v>
      </c>
    </row>
    <row r="821" spans="1:16" ht="225" hidden="1" customHeight="1" x14ac:dyDescent="0.35">
      <c r="A821" s="12">
        <v>9086</v>
      </c>
      <c r="B821" s="12" t="s">
        <v>100</v>
      </c>
      <c r="C821" s="12" t="s">
        <v>107</v>
      </c>
      <c r="D821" s="12" t="s">
        <v>108</v>
      </c>
      <c r="E821" s="12" t="s">
        <v>134</v>
      </c>
      <c r="F821" s="12" t="s">
        <v>66</v>
      </c>
      <c r="G821" s="12" t="s">
        <v>78</v>
      </c>
      <c r="H821" s="12">
        <v>1302603</v>
      </c>
      <c r="I821" s="13">
        <v>45917.854675925897</v>
      </c>
      <c r="J821" s="12" t="s">
        <v>127</v>
      </c>
      <c r="K821" s="12" t="s">
        <v>132</v>
      </c>
      <c r="L821" s="14">
        <v>0.66600000000000004</v>
      </c>
      <c r="M821" s="14">
        <f t="shared" si="12"/>
        <v>0.66600000000000004</v>
      </c>
      <c r="N821" s="7" t="s">
        <v>931</v>
      </c>
      <c r="O821" s="12"/>
      <c r="P821" s="12" t="s">
        <v>130</v>
      </c>
    </row>
    <row r="822" spans="1:16" ht="213.75" hidden="1" customHeight="1" x14ac:dyDescent="0.35">
      <c r="A822" s="12">
        <v>9087</v>
      </c>
      <c r="B822" s="12" t="s">
        <v>100</v>
      </c>
      <c r="C822" s="12" t="s">
        <v>109</v>
      </c>
      <c r="D822" s="12" t="s">
        <v>110</v>
      </c>
      <c r="E822" s="12" t="s">
        <v>126</v>
      </c>
      <c r="F822" s="12" t="s">
        <v>66</v>
      </c>
      <c r="G822" s="12" t="s">
        <v>78</v>
      </c>
      <c r="H822" s="12">
        <v>1302603</v>
      </c>
      <c r="I822" s="13">
        <v>45917.854675925897</v>
      </c>
      <c r="J822" s="12" t="s">
        <v>127</v>
      </c>
      <c r="K822" s="12" t="s">
        <v>142</v>
      </c>
      <c r="L822" s="14">
        <v>0.33300000000000002</v>
      </c>
      <c r="M822" s="14">
        <f t="shared" si="12"/>
        <v>0.33300000000000002</v>
      </c>
      <c r="N822" s="7" t="s">
        <v>932</v>
      </c>
      <c r="O822" s="12"/>
      <c r="P822" s="12" t="s">
        <v>130</v>
      </c>
    </row>
    <row r="823" spans="1:16" ht="213.75" hidden="1" customHeight="1" x14ac:dyDescent="0.35">
      <c r="A823" s="12">
        <v>9124</v>
      </c>
      <c r="B823" s="12" t="s">
        <v>100</v>
      </c>
      <c r="C823" s="12" t="s">
        <v>109</v>
      </c>
      <c r="D823" s="12" t="s">
        <v>110</v>
      </c>
      <c r="E823" s="12" t="s">
        <v>131</v>
      </c>
      <c r="F823" s="12" t="s">
        <v>66</v>
      </c>
      <c r="G823" s="12" t="s">
        <v>78</v>
      </c>
      <c r="H823" s="12">
        <v>1302603</v>
      </c>
      <c r="I823" s="13">
        <v>45917.854675925897</v>
      </c>
      <c r="J823" s="12" t="s">
        <v>127</v>
      </c>
      <c r="K823" s="12" t="s">
        <v>132</v>
      </c>
      <c r="L823" s="14">
        <v>0.66600000000000004</v>
      </c>
      <c r="M823" s="14">
        <f t="shared" si="12"/>
        <v>0.66600000000000004</v>
      </c>
      <c r="N823" s="7" t="s">
        <v>933</v>
      </c>
      <c r="O823" s="12"/>
      <c r="P823" s="12" t="s">
        <v>130</v>
      </c>
    </row>
    <row r="824" spans="1:16" ht="225" hidden="1" customHeight="1" x14ac:dyDescent="0.35">
      <c r="A824" s="12">
        <v>9125</v>
      </c>
      <c r="B824" s="12" t="s">
        <v>100</v>
      </c>
      <c r="C824" s="12" t="s">
        <v>111</v>
      </c>
      <c r="D824" s="12" t="s">
        <v>112</v>
      </c>
      <c r="E824" s="12" t="s">
        <v>126</v>
      </c>
      <c r="F824" s="12" t="s">
        <v>66</v>
      </c>
      <c r="G824" s="12" t="s">
        <v>78</v>
      </c>
      <c r="H824" s="12">
        <v>1302603</v>
      </c>
      <c r="I824" s="13">
        <v>45917.854675925897</v>
      </c>
      <c r="J824" s="12" t="s">
        <v>127</v>
      </c>
      <c r="K824" s="12" t="s">
        <v>132</v>
      </c>
      <c r="L824" s="14">
        <v>0.66600000000000004</v>
      </c>
      <c r="M824" s="14">
        <f t="shared" si="12"/>
        <v>0.66600000000000004</v>
      </c>
      <c r="N824" s="7" t="s">
        <v>934</v>
      </c>
      <c r="O824" s="12"/>
      <c r="P824" s="12" t="s">
        <v>130</v>
      </c>
    </row>
    <row r="825" spans="1:16" ht="202.5" hidden="1" customHeight="1" x14ac:dyDescent="0.35">
      <c r="A825" s="12">
        <v>9126</v>
      </c>
      <c r="B825" s="12" t="s">
        <v>100</v>
      </c>
      <c r="C825" s="12" t="s">
        <v>111</v>
      </c>
      <c r="D825" s="12" t="s">
        <v>112</v>
      </c>
      <c r="E825" s="12" t="s">
        <v>131</v>
      </c>
      <c r="F825" s="12" t="s">
        <v>66</v>
      </c>
      <c r="G825" s="12" t="s">
        <v>78</v>
      </c>
      <c r="H825" s="12">
        <v>1302603</v>
      </c>
      <c r="I825" s="13">
        <v>45917.854675925897</v>
      </c>
      <c r="J825" s="12" t="s">
        <v>127</v>
      </c>
      <c r="K825" s="12" t="s">
        <v>142</v>
      </c>
      <c r="L825" s="14">
        <v>0.33300000000000002</v>
      </c>
      <c r="M825" s="14">
        <f t="shared" si="12"/>
        <v>0.33300000000000002</v>
      </c>
      <c r="N825" s="7" t="s">
        <v>935</v>
      </c>
      <c r="O825" s="12"/>
      <c r="P825" s="12" t="s">
        <v>130</v>
      </c>
    </row>
    <row r="826" spans="1:16" ht="213.75" hidden="1" customHeight="1" x14ac:dyDescent="0.35">
      <c r="A826" s="12">
        <v>9127</v>
      </c>
      <c r="B826" s="12" t="s">
        <v>100</v>
      </c>
      <c r="C826" s="12" t="s">
        <v>111</v>
      </c>
      <c r="D826" s="12" t="s">
        <v>112</v>
      </c>
      <c r="E826" s="12" t="s">
        <v>134</v>
      </c>
      <c r="F826" s="12" t="s">
        <v>66</v>
      </c>
      <c r="G826" s="12" t="s">
        <v>78</v>
      </c>
      <c r="H826" s="12">
        <v>1302603</v>
      </c>
      <c r="I826" s="13">
        <v>45917.854675925897</v>
      </c>
      <c r="J826" s="12" t="s">
        <v>127</v>
      </c>
      <c r="K826" s="12" t="s">
        <v>142</v>
      </c>
      <c r="L826" s="14">
        <v>0.33300000000000002</v>
      </c>
      <c r="M826" s="14">
        <f t="shared" si="12"/>
        <v>0.33300000000000002</v>
      </c>
      <c r="N826" s="7" t="s">
        <v>936</v>
      </c>
      <c r="O826" s="12"/>
      <c r="P826" s="12" t="s">
        <v>130</v>
      </c>
    </row>
    <row r="827" spans="1:16" ht="113.25" hidden="1" customHeight="1" x14ac:dyDescent="0.35">
      <c r="A827" s="12">
        <v>9088</v>
      </c>
      <c r="B827" s="12" t="s">
        <v>100</v>
      </c>
      <c r="C827" s="12" t="s">
        <v>113</v>
      </c>
      <c r="D827" s="12" t="s">
        <v>114</v>
      </c>
      <c r="E827" s="12" t="s">
        <v>126</v>
      </c>
      <c r="F827" s="12" t="s">
        <v>66</v>
      </c>
      <c r="G827" s="12" t="s">
        <v>78</v>
      </c>
      <c r="H827" s="12">
        <v>1302603</v>
      </c>
      <c r="I827" s="13">
        <v>45917.854675925897</v>
      </c>
      <c r="J827" s="12" t="s">
        <v>127</v>
      </c>
      <c r="K827" s="12" t="s">
        <v>142</v>
      </c>
      <c r="L827" s="14">
        <v>0.33300000000000002</v>
      </c>
      <c r="M827" s="14">
        <f t="shared" si="12"/>
        <v>0.33300000000000002</v>
      </c>
      <c r="N827" s="7" t="s">
        <v>937</v>
      </c>
      <c r="O827" s="12"/>
      <c r="P827" s="12" t="s">
        <v>130</v>
      </c>
    </row>
    <row r="828" spans="1:16" ht="135.75" hidden="1" customHeight="1" x14ac:dyDescent="0.35">
      <c r="A828" s="12">
        <v>9128</v>
      </c>
      <c r="B828" s="12" t="s">
        <v>100</v>
      </c>
      <c r="C828" s="12" t="s">
        <v>113</v>
      </c>
      <c r="D828" s="12" t="s">
        <v>114</v>
      </c>
      <c r="E828" s="12" t="s">
        <v>131</v>
      </c>
      <c r="F828" s="12" t="s">
        <v>66</v>
      </c>
      <c r="G828" s="12" t="s">
        <v>78</v>
      </c>
      <c r="H828" s="12">
        <v>1302603</v>
      </c>
      <c r="I828" s="13">
        <v>45917.854675925897</v>
      </c>
      <c r="J828" s="12" t="s">
        <v>127</v>
      </c>
      <c r="K828" s="12" t="s">
        <v>135</v>
      </c>
      <c r="L828" s="14"/>
      <c r="M828" s="14">
        <f t="shared" si="12"/>
        <v>0</v>
      </c>
      <c r="N828" s="7" t="s">
        <v>938</v>
      </c>
      <c r="O828" s="12"/>
      <c r="P828" s="12" t="s">
        <v>130</v>
      </c>
    </row>
    <row r="829" spans="1:16" ht="23.25" hidden="1" customHeight="1" x14ac:dyDescent="0.35">
      <c r="A829" s="12">
        <v>9129</v>
      </c>
      <c r="B829" s="12" t="s">
        <v>100</v>
      </c>
      <c r="C829" s="12" t="s">
        <v>113</v>
      </c>
      <c r="D829" s="12" t="s">
        <v>114</v>
      </c>
      <c r="E829" s="12" t="s">
        <v>134</v>
      </c>
      <c r="F829" s="12" t="s">
        <v>66</v>
      </c>
      <c r="G829" s="12" t="s">
        <v>78</v>
      </c>
      <c r="H829" s="12">
        <v>1302603</v>
      </c>
      <c r="I829" s="13">
        <v>45917.854675925897</v>
      </c>
      <c r="J829" s="12" t="s">
        <v>127</v>
      </c>
      <c r="K829" s="12" t="s">
        <v>688</v>
      </c>
      <c r="L829" s="14"/>
      <c r="M829" s="14" t="str">
        <f t="shared" si="12"/>
        <v/>
      </c>
      <c r="N829" s="7" t="s">
        <v>939</v>
      </c>
      <c r="O829" s="12"/>
      <c r="P829" s="12" t="s">
        <v>130</v>
      </c>
    </row>
    <row r="830" spans="1:16" ht="147" hidden="1" customHeight="1" x14ac:dyDescent="0.35">
      <c r="A830" s="12">
        <v>1648</v>
      </c>
      <c r="B830" s="12" t="s">
        <v>100</v>
      </c>
      <c r="C830" s="12" t="s">
        <v>101</v>
      </c>
      <c r="D830" s="12" t="s">
        <v>102</v>
      </c>
      <c r="E830" s="12" t="s">
        <v>126</v>
      </c>
      <c r="F830" s="12" t="s">
        <v>39</v>
      </c>
      <c r="G830" s="12" t="s">
        <v>48</v>
      </c>
      <c r="H830" s="12">
        <v>21</v>
      </c>
      <c r="I830" s="13">
        <v>45917.9682523148</v>
      </c>
      <c r="J830" s="12" t="s">
        <v>127</v>
      </c>
      <c r="K830" s="12" t="s">
        <v>128</v>
      </c>
      <c r="L830" s="14">
        <v>1</v>
      </c>
      <c r="M830" s="14">
        <f t="shared" si="12"/>
        <v>1</v>
      </c>
      <c r="N830" s="7" t="s">
        <v>940</v>
      </c>
      <c r="O830" s="12"/>
      <c r="P830" s="12" t="s">
        <v>130</v>
      </c>
    </row>
    <row r="831" spans="1:16" ht="157.5" hidden="1" customHeight="1" x14ac:dyDescent="0.35">
      <c r="A831" s="12">
        <v>2582</v>
      </c>
      <c r="B831" s="12" t="s">
        <v>100</v>
      </c>
      <c r="C831" s="12" t="s">
        <v>101</v>
      </c>
      <c r="D831" s="12" t="s">
        <v>102</v>
      </c>
      <c r="E831" s="12" t="s">
        <v>131</v>
      </c>
      <c r="F831" s="12" t="s">
        <v>39</v>
      </c>
      <c r="G831" s="12" t="s">
        <v>48</v>
      </c>
      <c r="H831" s="12">
        <v>21</v>
      </c>
      <c r="I831" s="13">
        <v>45917.9682523148</v>
      </c>
      <c r="J831" s="12" t="s">
        <v>127</v>
      </c>
      <c r="K831" s="12" t="s">
        <v>128</v>
      </c>
      <c r="L831" s="14">
        <v>1</v>
      </c>
      <c r="M831" s="14">
        <f t="shared" si="12"/>
        <v>1</v>
      </c>
      <c r="N831" s="7" t="s">
        <v>941</v>
      </c>
      <c r="O831" s="12"/>
      <c r="P831" s="12" t="s">
        <v>130</v>
      </c>
    </row>
    <row r="832" spans="1:16" ht="135.75" hidden="1" customHeight="1" x14ac:dyDescent="0.35">
      <c r="A832" s="12">
        <v>2661</v>
      </c>
      <c r="B832" s="12" t="s">
        <v>100</v>
      </c>
      <c r="C832" s="12" t="s">
        <v>101</v>
      </c>
      <c r="D832" s="12" t="s">
        <v>102</v>
      </c>
      <c r="E832" s="12" t="s">
        <v>134</v>
      </c>
      <c r="F832" s="12" t="s">
        <v>39</v>
      </c>
      <c r="G832" s="12" t="s">
        <v>48</v>
      </c>
      <c r="H832" s="12">
        <v>21</v>
      </c>
      <c r="I832" s="13">
        <v>45917.9682523148</v>
      </c>
      <c r="J832" s="12" t="s">
        <v>127</v>
      </c>
      <c r="K832" s="12" t="s">
        <v>128</v>
      </c>
      <c r="L832" s="14">
        <v>1</v>
      </c>
      <c r="M832" s="14">
        <f t="shared" si="12"/>
        <v>1</v>
      </c>
      <c r="N832" s="7" t="s">
        <v>942</v>
      </c>
      <c r="O832" s="12"/>
      <c r="P832" s="12" t="s">
        <v>130</v>
      </c>
    </row>
    <row r="833" spans="1:16" ht="135.75" hidden="1" customHeight="1" x14ac:dyDescent="0.35">
      <c r="A833" s="12">
        <v>6781</v>
      </c>
      <c r="B833" s="12" t="s">
        <v>100</v>
      </c>
      <c r="C833" s="12" t="s">
        <v>103</v>
      </c>
      <c r="D833" s="12" t="s">
        <v>104</v>
      </c>
      <c r="E833" s="12" t="s">
        <v>126</v>
      </c>
      <c r="F833" s="12" t="s">
        <v>39</v>
      </c>
      <c r="G833" s="12" t="s">
        <v>48</v>
      </c>
      <c r="H833" s="12">
        <v>21</v>
      </c>
      <c r="I833" s="13">
        <v>45917.9682523148</v>
      </c>
      <c r="J833" s="12" t="s">
        <v>127</v>
      </c>
      <c r="K833" s="12" t="s">
        <v>128</v>
      </c>
      <c r="L833" s="14">
        <v>1</v>
      </c>
      <c r="M833" s="14">
        <f t="shared" si="12"/>
        <v>1</v>
      </c>
      <c r="N833" s="7" t="s">
        <v>943</v>
      </c>
      <c r="O833" s="12"/>
      <c r="P833" s="12" t="s">
        <v>130</v>
      </c>
    </row>
    <row r="834" spans="1:16" ht="113.25" hidden="1" customHeight="1" x14ac:dyDescent="0.35">
      <c r="A834" s="12">
        <v>6841</v>
      </c>
      <c r="B834" s="12" t="s">
        <v>100</v>
      </c>
      <c r="C834" s="12" t="s">
        <v>103</v>
      </c>
      <c r="D834" s="12" t="s">
        <v>104</v>
      </c>
      <c r="E834" s="12" t="s">
        <v>131</v>
      </c>
      <c r="F834" s="12" t="s">
        <v>39</v>
      </c>
      <c r="G834" s="12" t="s">
        <v>48</v>
      </c>
      <c r="H834" s="12">
        <v>21</v>
      </c>
      <c r="I834" s="13">
        <v>45917.9682523148</v>
      </c>
      <c r="J834" s="12" t="s">
        <v>127</v>
      </c>
      <c r="K834" s="12" t="s">
        <v>132</v>
      </c>
      <c r="L834" s="14">
        <v>0.66600000000000004</v>
      </c>
      <c r="M834" s="14">
        <f t="shared" ref="M834:M897" si="13">IF(K834="Sem progresso",0,IF(OR(K834="Não avaliado",K834="Não se aplica",K834=""),"",L834))</f>
        <v>0.66600000000000004</v>
      </c>
      <c r="N834" s="7" t="s">
        <v>944</v>
      </c>
      <c r="O834" s="12"/>
      <c r="P834" s="12" t="s">
        <v>130</v>
      </c>
    </row>
    <row r="835" spans="1:16" ht="124.5" hidden="1" customHeight="1" x14ac:dyDescent="0.35">
      <c r="A835" s="12">
        <v>6881</v>
      </c>
      <c r="B835" s="12" t="s">
        <v>100</v>
      </c>
      <c r="C835" s="12" t="s">
        <v>103</v>
      </c>
      <c r="D835" s="12" t="s">
        <v>104</v>
      </c>
      <c r="E835" s="12" t="s">
        <v>134</v>
      </c>
      <c r="F835" s="12" t="s">
        <v>39</v>
      </c>
      <c r="G835" s="12" t="s">
        <v>48</v>
      </c>
      <c r="H835" s="12">
        <v>21</v>
      </c>
      <c r="I835" s="13">
        <v>45917.9682523148</v>
      </c>
      <c r="J835" s="12" t="s">
        <v>127</v>
      </c>
      <c r="K835" s="12" t="s">
        <v>128</v>
      </c>
      <c r="L835" s="14">
        <v>1</v>
      </c>
      <c r="M835" s="14">
        <f t="shared" si="13"/>
        <v>1</v>
      </c>
      <c r="N835" s="7" t="s">
        <v>945</v>
      </c>
      <c r="O835" s="12"/>
      <c r="P835" s="12" t="s">
        <v>130</v>
      </c>
    </row>
    <row r="836" spans="1:16" ht="135.75" hidden="1" customHeight="1" x14ac:dyDescent="0.35">
      <c r="A836" s="12">
        <v>6884</v>
      </c>
      <c r="B836" s="12" t="s">
        <v>100</v>
      </c>
      <c r="C836" s="12" t="s">
        <v>105</v>
      </c>
      <c r="D836" s="12" t="s">
        <v>106</v>
      </c>
      <c r="E836" s="12" t="s">
        <v>126</v>
      </c>
      <c r="F836" s="12" t="s">
        <v>39</v>
      </c>
      <c r="G836" s="12" t="s">
        <v>48</v>
      </c>
      <c r="H836" s="12">
        <v>21</v>
      </c>
      <c r="I836" s="13">
        <v>45917.9682523148</v>
      </c>
      <c r="J836" s="12" t="s">
        <v>127</v>
      </c>
      <c r="K836" s="12" t="s">
        <v>128</v>
      </c>
      <c r="L836" s="14">
        <v>1</v>
      </c>
      <c r="M836" s="14">
        <f t="shared" si="13"/>
        <v>1</v>
      </c>
      <c r="N836" s="7" t="s">
        <v>946</v>
      </c>
      <c r="O836" s="12"/>
      <c r="P836" s="12" t="s">
        <v>130</v>
      </c>
    </row>
    <row r="837" spans="1:16" ht="135.75" hidden="1" customHeight="1" x14ac:dyDescent="0.35">
      <c r="A837" s="12">
        <v>6901</v>
      </c>
      <c r="B837" s="12" t="s">
        <v>100</v>
      </c>
      <c r="C837" s="12" t="s">
        <v>105</v>
      </c>
      <c r="D837" s="12" t="s">
        <v>106</v>
      </c>
      <c r="E837" s="12" t="s">
        <v>131</v>
      </c>
      <c r="F837" s="12" t="s">
        <v>39</v>
      </c>
      <c r="G837" s="12" t="s">
        <v>48</v>
      </c>
      <c r="H837" s="12">
        <v>21</v>
      </c>
      <c r="I837" s="13">
        <v>45917.9682523148</v>
      </c>
      <c r="J837" s="12" t="s">
        <v>127</v>
      </c>
      <c r="K837" s="12" t="s">
        <v>128</v>
      </c>
      <c r="L837" s="14">
        <v>1</v>
      </c>
      <c r="M837" s="14">
        <f t="shared" si="13"/>
        <v>1</v>
      </c>
      <c r="N837" s="7" t="s">
        <v>947</v>
      </c>
      <c r="O837" s="12"/>
      <c r="P837" s="12" t="s">
        <v>130</v>
      </c>
    </row>
    <row r="838" spans="1:16" ht="191.25" hidden="1" customHeight="1" x14ac:dyDescent="0.35">
      <c r="A838" s="12">
        <v>6886</v>
      </c>
      <c r="B838" s="12" t="s">
        <v>100</v>
      </c>
      <c r="C838" s="12" t="s">
        <v>107</v>
      </c>
      <c r="D838" s="12" t="s">
        <v>108</v>
      </c>
      <c r="E838" s="12" t="s">
        <v>126</v>
      </c>
      <c r="F838" s="12" t="s">
        <v>39</v>
      </c>
      <c r="G838" s="12" t="s">
        <v>48</v>
      </c>
      <c r="H838" s="12">
        <v>21</v>
      </c>
      <c r="I838" s="13">
        <v>45917.9682523148</v>
      </c>
      <c r="J838" s="12" t="s">
        <v>127</v>
      </c>
      <c r="K838" s="12" t="s">
        <v>128</v>
      </c>
      <c r="L838" s="14">
        <v>1</v>
      </c>
      <c r="M838" s="14">
        <f t="shared" si="13"/>
        <v>1</v>
      </c>
      <c r="N838" s="7" t="s">
        <v>948</v>
      </c>
      <c r="O838" s="12"/>
      <c r="P838" s="12" t="s">
        <v>130</v>
      </c>
    </row>
    <row r="839" spans="1:16" ht="157.5" hidden="1" customHeight="1" x14ac:dyDescent="0.35">
      <c r="A839" s="12">
        <v>6887</v>
      </c>
      <c r="B839" s="12" t="s">
        <v>100</v>
      </c>
      <c r="C839" s="12" t="s">
        <v>107</v>
      </c>
      <c r="D839" s="12" t="s">
        <v>108</v>
      </c>
      <c r="E839" s="12" t="s">
        <v>131</v>
      </c>
      <c r="F839" s="12" t="s">
        <v>39</v>
      </c>
      <c r="G839" s="12" t="s">
        <v>48</v>
      </c>
      <c r="H839" s="12">
        <v>21</v>
      </c>
      <c r="I839" s="13">
        <v>45917.9682523148</v>
      </c>
      <c r="J839" s="12" t="s">
        <v>127</v>
      </c>
      <c r="K839" s="12" t="s">
        <v>128</v>
      </c>
      <c r="L839" s="14">
        <v>1</v>
      </c>
      <c r="M839" s="14">
        <f t="shared" si="13"/>
        <v>1</v>
      </c>
      <c r="N839" s="7" t="s">
        <v>949</v>
      </c>
      <c r="O839" s="12"/>
      <c r="P839" s="12" t="s">
        <v>130</v>
      </c>
    </row>
    <row r="840" spans="1:16" ht="147" hidden="1" customHeight="1" x14ac:dyDescent="0.35">
      <c r="A840" s="12">
        <v>7021</v>
      </c>
      <c r="B840" s="12" t="s">
        <v>100</v>
      </c>
      <c r="C840" s="12" t="s">
        <v>107</v>
      </c>
      <c r="D840" s="12" t="s">
        <v>108</v>
      </c>
      <c r="E840" s="12" t="s">
        <v>134</v>
      </c>
      <c r="F840" s="12" t="s">
        <v>39</v>
      </c>
      <c r="G840" s="12" t="s">
        <v>48</v>
      </c>
      <c r="H840" s="12">
        <v>21</v>
      </c>
      <c r="I840" s="13">
        <v>45917.9682523148</v>
      </c>
      <c r="J840" s="12" t="s">
        <v>127</v>
      </c>
      <c r="K840" s="12" t="s">
        <v>128</v>
      </c>
      <c r="L840" s="14">
        <v>1</v>
      </c>
      <c r="M840" s="14">
        <f t="shared" si="13"/>
        <v>1</v>
      </c>
      <c r="N840" s="7" t="s">
        <v>950</v>
      </c>
      <c r="O840" s="12"/>
      <c r="P840" s="12" t="s">
        <v>130</v>
      </c>
    </row>
    <row r="841" spans="1:16" ht="191.25" hidden="1" customHeight="1" x14ac:dyDescent="0.35">
      <c r="A841" s="12">
        <v>7022</v>
      </c>
      <c r="B841" s="12" t="s">
        <v>100</v>
      </c>
      <c r="C841" s="12" t="s">
        <v>109</v>
      </c>
      <c r="D841" s="12" t="s">
        <v>110</v>
      </c>
      <c r="E841" s="12" t="s">
        <v>126</v>
      </c>
      <c r="F841" s="12" t="s">
        <v>39</v>
      </c>
      <c r="G841" s="12" t="s">
        <v>48</v>
      </c>
      <c r="H841" s="12">
        <v>21</v>
      </c>
      <c r="I841" s="13">
        <v>45917.9682523148</v>
      </c>
      <c r="J841" s="12" t="s">
        <v>127</v>
      </c>
      <c r="K841" s="12" t="s">
        <v>132</v>
      </c>
      <c r="L841" s="14">
        <v>0.66600000000000004</v>
      </c>
      <c r="M841" s="14">
        <f t="shared" si="13"/>
        <v>0.66600000000000004</v>
      </c>
      <c r="N841" s="7" t="s">
        <v>951</v>
      </c>
      <c r="O841" s="12"/>
      <c r="P841" s="12" t="s">
        <v>130</v>
      </c>
    </row>
    <row r="842" spans="1:16" ht="135.75" hidden="1" customHeight="1" x14ac:dyDescent="0.35">
      <c r="A842" s="12">
        <v>7002</v>
      </c>
      <c r="B842" s="12" t="s">
        <v>100</v>
      </c>
      <c r="C842" s="12" t="s">
        <v>109</v>
      </c>
      <c r="D842" s="12" t="s">
        <v>110</v>
      </c>
      <c r="E842" s="12" t="s">
        <v>131</v>
      </c>
      <c r="F842" s="12" t="s">
        <v>39</v>
      </c>
      <c r="G842" s="12" t="s">
        <v>48</v>
      </c>
      <c r="H842" s="12">
        <v>21</v>
      </c>
      <c r="I842" s="13">
        <v>45917.9682523148</v>
      </c>
      <c r="J842" s="12" t="s">
        <v>127</v>
      </c>
      <c r="K842" s="12" t="s">
        <v>128</v>
      </c>
      <c r="L842" s="14">
        <v>1</v>
      </c>
      <c r="M842" s="14">
        <f t="shared" si="13"/>
        <v>1</v>
      </c>
      <c r="N842" s="7" t="s">
        <v>952</v>
      </c>
      <c r="O842" s="12"/>
      <c r="P842" s="12" t="s">
        <v>130</v>
      </c>
    </row>
    <row r="843" spans="1:16" ht="180" hidden="1" customHeight="1" x14ac:dyDescent="0.35">
      <c r="A843" s="12">
        <v>7041</v>
      </c>
      <c r="B843" s="12" t="s">
        <v>100</v>
      </c>
      <c r="C843" s="12" t="s">
        <v>111</v>
      </c>
      <c r="D843" s="12" t="s">
        <v>112</v>
      </c>
      <c r="E843" s="12" t="s">
        <v>126</v>
      </c>
      <c r="F843" s="12" t="s">
        <v>39</v>
      </c>
      <c r="G843" s="12" t="s">
        <v>48</v>
      </c>
      <c r="H843" s="12">
        <v>21</v>
      </c>
      <c r="I843" s="13">
        <v>45917.9682523148</v>
      </c>
      <c r="J843" s="12" t="s">
        <v>127</v>
      </c>
      <c r="K843" s="12" t="s">
        <v>132</v>
      </c>
      <c r="L843" s="14">
        <v>0.66600000000000004</v>
      </c>
      <c r="M843" s="14">
        <f t="shared" si="13"/>
        <v>0.66600000000000004</v>
      </c>
      <c r="N843" s="7" t="s">
        <v>953</v>
      </c>
      <c r="O843" s="12"/>
      <c r="P843" s="12" t="s">
        <v>130</v>
      </c>
    </row>
    <row r="844" spans="1:16" ht="180" hidden="1" customHeight="1" x14ac:dyDescent="0.35">
      <c r="A844" s="12">
        <v>7063</v>
      </c>
      <c r="B844" s="12" t="s">
        <v>100</v>
      </c>
      <c r="C844" s="12" t="s">
        <v>111</v>
      </c>
      <c r="D844" s="12" t="s">
        <v>112</v>
      </c>
      <c r="E844" s="12" t="s">
        <v>131</v>
      </c>
      <c r="F844" s="12" t="s">
        <v>39</v>
      </c>
      <c r="G844" s="12" t="s">
        <v>48</v>
      </c>
      <c r="H844" s="12">
        <v>21</v>
      </c>
      <c r="I844" s="13">
        <v>45917.9682523148</v>
      </c>
      <c r="J844" s="12" t="s">
        <v>127</v>
      </c>
      <c r="K844" s="12" t="s">
        <v>128</v>
      </c>
      <c r="L844" s="14">
        <v>1</v>
      </c>
      <c r="M844" s="14">
        <f t="shared" si="13"/>
        <v>1</v>
      </c>
      <c r="N844" s="7" t="s">
        <v>954</v>
      </c>
      <c r="O844" s="12"/>
      <c r="P844" s="12" t="s">
        <v>130</v>
      </c>
    </row>
    <row r="845" spans="1:16" ht="79.5" hidden="1" customHeight="1" x14ac:dyDescent="0.35">
      <c r="A845" s="12">
        <v>7341</v>
      </c>
      <c r="B845" s="12" t="s">
        <v>100</v>
      </c>
      <c r="C845" s="12" t="s">
        <v>111</v>
      </c>
      <c r="D845" s="12" t="s">
        <v>112</v>
      </c>
      <c r="E845" s="12" t="s">
        <v>134</v>
      </c>
      <c r="F845" s="12" t="s">
        <v>39</v>
      </c>
      <c r="G845" s="12" t="s">
        <v>48</v>
      </c>
      <c r="H845" s="12">
        <v>21</v>
      </c>
      <c r="I845" s="13">
        <v>45917.9682523148</v>
      </c>
      <c r="J845" s="12" t="s">
        <v>127</v>
      </c>
      <c r="K845" s="12" t="s">
        <v>128</v>
      </c>
      <c r="L845" s="14">
        <v>1</v>
      </c>
      <c r="M845" s="14">
        <f t="shared" si="13"/>
        <v>1</v>
      </c>
      <c r="N845" s="7" t="s">
        <v>955</v>
      </c>
      <c r="O845" s="12"/>
      <c r="P845" s="12"/>
    </row>
    <row r="846" spans="1:16" ht="213.75" hidden="1" customHeight="1" x14ac:dyDescent="0.35">
      <c r="A846" s="12">
        <v>7122</v>
      </c>
      <c r="B846" s="12" t="s">
        <v>100</v>
      </c>
      <c r="C846" s="12" t="s">
        <v>113</v>
      </c>
      <c r="D846" s="12" t="s">
        <v>114</v>
      </c>
      <c r="E846" s="12" t="s">
        <v>126</v>
      </c>
      <c r="F846" s="12" t="s">
        <v>39</v>
      </c>
      <c r="G846" s="12" t="s">
        <v>48</v>
      </c>
      <c r="H846" s="12">
        <v>21</v>
      </c>
      <c r="I846" s="13">
        <v>45917.9682523148</v>
      </c>
      <c r="J846" s="12" t="s">
        <v>127</v>
      </c>
      <c r="K846" s="12" t="s">
        <v>128</v>
      </c>
      <c r="L846" s="14">
        <v>1</v>
      </c>
      <c r="M846" s="14">
        <f t="shared" si="13"/>
        <v>1</v>
      </c>
      <c r="N846" s="7" t="s">
        <v>956</v>
      </c>
      <c r="O846" s="12"/>
      <c r="P846" s="12" t="s">
        <v>130</v>
      </c>
    </row>
    <row r="847" spans="1:16" ht="180" hidden="1" customHeight="1" x14ac:dyDescent="0.35">
      <c r="A847" s="12">
        <v>7071</v>
      </c>
      <c r="B847" s="12" t="s">
        <v>100</v>
      </c>
      <c r="C847" s="12" t="s">
        <v>113</v>
      </c>
      <c r="D847" s="12" t="s">
        <v>114</v>
      </c>
      <c r="E847" s="12" t="s">
        <v>131</v>
      </c>
      <c r="F847" s="12" t="s">
        <v>39</v>
      </c>
      <c r="G847" s="12" t="s">
        <v>48</v>
      </c>
      <c r="H847" s="12">
        <v>21</v>
      </c>
      <c r="I847" s="13">
        <v>45917.9682523148</v>
      </c>
      <c r="J847" s="12" t="s">
        <v>127</v>
      </c>
      <c r="K847" s="12" t="s">
        <v>135</v>
      </c>
      <c r="L847" s="14"/>
      <c r="M847" s="14">
        <f t="shared" si="13"/>
        <v>0</v>
      </c>
      <c r="N847" s="7" t="s">
        <v>957</v>
      </c>
      <c r="O847" s="12"/>
      <c r="P847" s="12" t="s">
        <v>130</v>
      </c>
    </row>
    <row r="848" spans="1:16" ht="135.75" hidden="1" customHeight="1" x14ac:dyDescent="0.35">
      <c r="A848" s="12">
        <v>5671</v>
      </c>
      <c r="B848" s="12" t="s">
        <v>100</v>
      </c>
      <c r="C848" s="12" t="s">
        <v>113</v>
      </c>
      <c r="D848" s="12" t="s">
        <v>114</v>
      </c>
      <c r="E848" s="12" t="s">
        <v>134</v>
      </c>
      <c r="F848" s="12" t="s">
        <v>39</v>
      </c>
      <c r="G848" s="12" t="s">
        <v>48</v>
      </c>
      <c r="H848" s="12">
        <v>21</v>
      </c>
      <c r="I848" s="13">
        <v>45917.9682523148</v>
      </c>
      <c r="J848" s="12" t="s">
        <v>127</v>
      </c>
      <c r="K848" s="12" t="s">
        <v>128</v>
      </c>
      <c r="L848" s="14">
        <v>1</v>
      </c>
      <c r="M848" s="14">
        <f t="shared" si="13"/>
        <v>1</v>
      </c>
      <c r="N848" s="7" t="s">
        <v>958</v>
      </c>
      <c r="O848" s="12"/>
      <c r="P848" s="12" t="s">
        <v>130</v>
      </c>
    </row>
    <row r="849" spans="1:16" ht="90.75" hidden="1" customHeight="1" x14ac:dyDescent="0.35">
      <c r="A849" s="12">
        <v>3702</v>
      </c>
      <c r="B849" s="12" t="s">
        <v>100</v>
      </c>
      <c r="C849" s="12" t="s">
        <v>101</v>
      </c>
      <c r="D849" s="12" t="s">
        <v>102</v>
      </c>
      <c r="E849" s="12" t="s">
        <v>126</v>
      </c>
      <c r="F849" s="12" t="s">
        <v>39</v>
      </c>
      <c r="G849" s="12" t="s">
        <v>49</v>
      </c>
      <c r="H849" s="12">
        <v>51</v>
      </c>
      <c r="I849" s="13">
        <v>45905.658067129603</v>
      </c>
      <c r="J849" s="12" t="s">
        <v>127</v>
      </c>
      <c r="K849" s="12" t="s">
        <v>128</v>
      </c>
      <c r="L849" s="14">
        <v>1</v>
      </c>
      <c r="M849" s="14">
        <f t="shared" si="13"/>
        <v>1</v>
      </c>
      <c r="N849" s="7" t="s">
        <v>959</v>
      </c>
      <c r="O849" s="12"/>
      <c r="P849" s="12" t="s">
        <v>130</v>
      </c>
    </row>
    <row r="850" spans="1:16" ht="180" hidden="1" customHeight="1" x14ac:dyDescent="0.35">
      <c r="A850" s="12">
        <v>3704</v>
      </c>
      <c r="B850" s="12" t="s">
        <v>100</v>
      </c>
      <c r="C850" s="12" t="s">
        <v>101</v>
      </c>
      <c r="D850" s="12" t="s">
        <v>102</v>
      </c>
      <c r="E850" s="12" t="s">
        <v>131</v>
      </c>
      <c r="F850" s="12" t="s">
        <v>39</v>
      </c>
      <c r="G850" s="12" t="s">
        <v>49</v>
      </c>
      <c r="H850" s="12">
        <v>51</v>
      </c>
      <c r="I850" s="13">
        <v>45905.658067129603</v>
      </c>
      <c r="J850" s="12" t="s">
        <v>127</v>
      </c>
      <c r="K850" s="12" t="s">
        <v>142</v>
      </c>
      <c r="L850" s="14">
        <v>0.33300000000000002</v>
      </c>
      <c r="M850" s="14">
        <f t="shared" si="13"/>
        <v>0.33300000000000002</v>
      </c>
      <c r="N850" s="7" t="s">
        <v>960</v>
      </c>
      <c r="O850" s="12"/>
      <c r="P850" s="12" t="s">
        <v>130</v>
      </c>
    </row>
    <row r="851" spans="1:16" ht="157.5" hidden="1" customHeight="1" x14ac:dyDescent="0.35">
      <c r="A851" s="12">
        <v>3705</v>
      </c>
      <c r="B851" s="12" t="s">
        <v>100</v>
      </c>
      <c r="C851" s="12" t="s">
        <v>101</v>
      </c>
      <c r="D851" s="12" t="s">
        <v>102</v>
      </c>
      <c r="E851" s="12" t="s">
        <v>134</v>
      </c>
      <c r="F851" s="12" t="s">
        <v>39</v>
      </c>
      <c r="G851" s="12" t="s">
        <v>49</v>
      </c>
      <c r="H851" s="12">
        <v>51</v>
      </c>
      <c r="I851" s="13">
        <v>45905.658067129603</v>
      </c>
      <c r="J851" s="12" t="s">
        <v>127</v>
      </c>
      <c r="K851" s="12" t="s">
        <v>128</v>
      </c>
      <c r="L851" s="14">
        <v>1</v>
      </c>
      <c r="M851" s="14">
        <f t="shared" si="13"/>
        <v>1</v>
      </c>
      <c r="N851" s="7" t="s">
        <v>961</v>
      </c>
      <c r="O851" s="12"/>
      <c r="P851" s="12" t="s">
        <v>130</v>
      </c>
    </row>
    <row r="852" spans="1:16" ht="102" hidden="1" customHeight="1" x14ac:dyDescent="0.35">
      <c r="A852" s="12">
        <v>3801</v>
      </c>
      <c r="B852" s="12" t="s">
        <v>100</v>
      </c>
      <c r="C852" s="12" t="s">
        <v>103</v>
      </c>
      <c r="D852" s="12" t="s">
        <v>104</v>
      </c>
      <c r="E852" s="12" t="s">
        <v>126</v>
      </c>
      <c r="F852" s="12" t="s">
        <v>39</v>
      </c>
      <c r="G852" s="12" t="s">
        <v>49</v>
      </c>
      <c r="H852" s="12">
        <v>51</v>
      </c>
      <c r="I852" s="13">
        <v>45905.658067129603</v>
      </c>
      <c r="J852" s="12" t="s">
        <v>127</v>
      </c>
      <c r="K852" s="12" t="s">
        <v>128</v>
      </c>
      <c r="L852" s="14">
        <v>1</v>
      </c>
      <c r="M852" s="14">
        <f t="shared" si="13"/>
        <v>1</v>
      </c>
      <c r="N852" s="7" t="s">
        <v>962</v>
      </c>
      <c r="O852" s="12"/>
      <c r="P852" s="12" t="s">
        <v>130</v>
      </c>
    </row>
    <row r="853" spans="1:16" ht="135.75" hidden="1" customHeight="1" x14ac:dyDescent="0.35">
      <c r="A853" s="12">
        <v>3783</v>
      </c>
      <c r="B853" s="12" t="s">
        <v>100</v>
      </c>
      <c r="C853" s="12" t="s">
        <v>103</v>
      </c>
      <c r="D853" s="12" t="s">
        <v>104</v>
      </c>
      <c r="E853" s="12" t="s">
        <v>131</v>
      </c>
      <c r="F853" s="12" t="s">
        <v>39</v>
      </c>
      <c r="G853" s="12" t="s">
        <v>49</v>
      </c>
      <c r="H853" s="12">
        <v>51</v>
      </c>
      <c r="I853" s="13">
        <v>45905.658067129603</v>
      </c>
      <c r="J853" s="12" t="s">
        <v>127</v>
      </c>
      <c r="K853" s="12" t="s">
        <v>128</v>
      </c>
      <c r="L853" s="14">
        <v>1</v>
      </c>
      <c r="M853" s="14">
        <f t="shared" si="13"/>
        <v>1</v>
      </c>
      <c r="N853" s="7" t="s">
        <v>963</v>
      </c>
      <c r="O853" s="12"/>
      <c r="P853" s="12" t="s">
        <v>130</v>
      </c>
    </row>
    <row r="854" spans="1:16" ht="124.5" hidden="1" customHeight="1" x14ac:dyDescent="0.35">
      <c r="A854" s="12">
        <v>3784</v>
      </c>
      <c r="B854" s="12" t="s">
        <v>100</v>
      </c>
      <c r="C854" s="12" t="s">
        <v>103</v>
      </c>
      <c r="D854" s="12" t="s">
        <v>104</v>
      </c>
      <c r="E854" s="12" t="s">
        <v>134</v>
      </c>
      <c r="F854" s="12" t="s">
        <v>39</v>
      </c>
      <c r="G854" s="12" t="s">
        <v>49</v>
      </c>
      <c r="H854" s="12">
        <v>51</v>
      </c>
      <c r="I854" s="13">
        <v>45905.658067129603</v>
      </c>
      <c r="J854" s="12" t="s">
        <v>127</v>
      </c>
      <c r="K854" s="12" t="s">
        <v>128</v>
      </c>
      <c r="L854" s="14">
        <v>1</v>
      </c>
      <c r="M854" s="14">
        <f t="shared" si="13"/>
        <v>1</v>
      </c>
      <c r="N854" s="7" t="s">
        <v>964</v>
      </c>
      <c r="O854" s="12"/>
      <c r="P854" s="12" t="s">
        <v>130</v>
      </c>
    </row>
    <row r="855" spans="1:16" ht="292.5" hidden="1" customHeight="1" x14ac:dyDescent="0.35">
      <c r="A855" s="12">
        <v>4102</v>
      </c>
      <c r="B855" s="12" t="s">
        <v>100</v>
      </c>
      <c r="C855" s="12" t="s">
        <v>105</v>
      </c>
      <c r="D855" s="12" t="s">
        <v>106</v>
      </c>
      <c r="E855" s="12" t="s">
        <v>126</v>
      </c>
      <c r="F855" s="12" t="s">
        <v>39</v>
      </c>
      <c r="G855" s="12" t="s">
        <v>49</v>
      </c>
      <c r="H855" s="12">
        <v>51</v>
      </c>
      <c r="I855" s="13">
        <v>45905.658067129603</v>
      </c>
      <c r="J855" s="12" t="s">
        <v>127</v>
      </c>
      <c r="K855" s="12" t="s">
        <v>128</v>
      </c>
      <c r="L855" s="14">
        <v>1</v>
      </c>
      <c r="M855" s="14">
        <f t="shared" si="13"/>
        <v>1</v>
      </c>
      <c r="N855" s="7" t="s">
        <v>965</v>
      </c>
      <c r="O855" s="12"/>
      <c r="P855" s="12" t="s">
        <v>130</v>
      </c>
    </row>
    <row r="856" spans="1:16" ht="90.75" hidden="1" customHeight="1" x14ac:dyDescent="0.35">
      <c r="A856" s="12">
        <v>4122</v>
      </c>
      <c r="B856" s="12" t="s">
        <v>100</v>
      </c>
      <c r="C856" s="12" t="s">
        <v>105</v>
      </c>
      <c r="D856" s="12" t="s">
        <v>106</v>
      </c>
      <c r="E856" s="12" t="s">
        <v>131</v>
      </c>
      <c r="F856" s="12" t="s">
        <v>39</v>
      </c>
      <c r="G856" s="12" t="s">
        <v>49</v>
      </c>
      <c r="H856" s="12">
        <v>51</v>
      </c>
      <c r="I856" s="13">
        <v>45905.658067129603</v>
      </c>
      <c r="J856" s="12" t="s">
        <v>127</v>
      </c>
      <c r="K856" s="12" t="s">
        <v>135</v>
      </c>
      <c r="L856" s="14"/>
      <c r="M856" s="14">
        <f t="shared" si="13"/>
        <v>0</v>
      </c>
      <c r="N856" s="7" t="s">
        <v>966</v>
      </c>
      <c r="O856" s="12"/>
      <c r="P856" s="12" t="s">
        <v>130</v>
      </c>
    </row>
    <row r="857" spans="1:16" ht="135.75" hidden="1" customHeight="1" x14ac:dyDescent="0.35">
      <c r="A857" s="12">
        <v>3845</v>
      </c>
      <c r="B857" s="12" t="s">
        <v>100</v>
      </c>
      <c r="C857" s="12" t="s">
        <v>107</v>
      </c>
      <c r="D857" s="12" t="s">
        <v>108</v>
      </c>
      <c r="E857" s="12" t="s">
        <v>126</v>
      </c>
      <c r="F857" s="12" t="s">
        <v>39</v>
      </c>
      <c r="G857" s="12" t="s">
        <v>49</v>
      </c>
      <c r="H857" s="12">
        <v>51</v>
      </c>
      <c r="I857" s="13">
        <v>45905.658067129603</v>
      </c>
      <c r="J857" s="12" t="s">
        <v>127</v>
      </c>
      <c r="K857" s="12" t="s">
        <v>132</v>
      </c>
      <c r="L857" s="14">
        <v>0.66600000000000004</v>
      </c>
      <c r="M857" s="14">
        <f t="shared" si="13"/>
        <v>0.66600000000000004</v>
      </c>
      <c r="N857" s="7" t="s">
        <v>967</v>
      </c>
      <c r="O857" s="12"/>
      <c r="P857" s="12" t="s">
        <v>130</v>
      </c>
    </row>
    <row r="858" spans="1:16" ht="113.25" hidden="1" customHeight="1" x14ac:dyDescent="0.35">
      <c r="A858" s="12">
        <v>3881</v>
      </c>
      <c r="B858" s="12" t="s">
        <v>100</v>
      </c>
      <c r="C858" s="12" t="s">
        <v>107</v>
      </c>
      <c r="D858" s="12" t="s">
        <v>108</v>
      </c>
      <c r="E858" s="12" t="s">
        <v>131</v>
      </c>
      <c r="F858" s="12" t="s">
        <v>39</v>
      </c>
      <c r="G858" s="12" t="s">
        <v>49</v>
      </c>
      <c r="H858" s="12">
        <v>51</v>
      </c>
      <c r="I858" s="13">
        <v>45905.658067129603</v>
      </c>
      <c r="J858" s="12" t="s">
        <v>127</v>
      </c>
      <c r="K858" s="12" t="s">
        <v>128</v>
      </c>
      <c r="L858" s="14">
        <v>1</v>
      </c>
      <c r="M858" s="14">
        <f t="shared" si="13"/>
        <v>1</v>
      </c>
      <c r="N858" s="7" t="s">
        <v>968</v>
      </c>
      <c r="O858" s="12"/>
      <c r="P858" s="12" t="s">
        <v>130</v>
      </c>
    </row>
    <row r="859" spans="1:16" ht="168.75" hidden="1" customHeight="1" x14ac:dyDescent="0.35">
      <c r="A859" s="12">
        <v>3882</v>
      </c>
      <c r="B859" s="12" t="s">
        <v>100</v>
      </c>
      <c r="C859" s="12" t="s">
        <v>107</v>
      </c>
      <c r="D859" s="12" t="s">
        <v>108</v>
      </c>
      <c r="E859" s="12" t="s">
        <v>134</v>
      </c>
      <c r="F859" s="12" t="s">
        <v>39</v>
      </c>
      <c r="G859" s="12" t="s">
        <v>49</v>
      </c>
      <c r="H859" s="12">
        <v>51</v>
      </c>
      <c r="I859" s="13">
        <v>45905.658067129603</v>
      </c>
      <c r="J859" s="12" t="s">
        <v>127</v>
      </c>
      <c r="K859" s="12" t="s">
        <v>132</v>
      </c>
      <c r="L859" s="14">
        <v>0.66600000000000004</v>
      </c>
      <c r="M859" s="14">
        <f t="shared" si="13"/>
        <v>0.66600000000000004</v>
      </c>
      <c r="N859" s="7" t="s">
        <v>969</v>
      </c>
      <c r="O859" s="12"/>
      <c r="P859" s="12" t="s">
        <v>130</v>
      </c>
    </row>
    <row r="860" spans="1:16" ht="168.75" hidden="1" customHeight="1" x14ac:dyDescent="0.35">
      <c r="A860" s="12">
        <v>3901</v>
      </c>
      <c r="B860" s="12" t="s">
        <v>100</v>
      </c>
      <c r="C860" s="12" t="s">
        <v>109</v>
      </c>
      <c r="D860" s="12" t="s">
        <v>110</v>
      </c>
      <c r="E860" s="12" t="s">
        <v>126</v>
      </c>
      <c r="F860" s="12" t="s">
        <v>39</v>
      </c>
      <c r="G860" s="12" t="s">
        <v>49</v>
      </c>
      <c r="H860" s="12">
        <v>51</v>
      </c>
      <c r="I860" s="13">
        <v>45905.658067129603</v>
      </c>
      <c r="J860" s="12" t="s">
        <v>127</v>
      </c>
      <c r="K860" s="12" t="s">
        <v>132</v>
      </c>
      <c r="L860" s="14">
        <v>0.66600000000000004</v>
      </c>
      <c r="M860" s="14">
        <f t="shared" si="13"/>
        <v>0.66600000000000004</v>
      </c>
      <c r="N860" s="7" t="s">
        <v>970</v>
      </c>
      <c r="O860" s="12"/>
      <c r="P860" s="12" t="s">
        <v>130</v>
      </c>
    </row>
    <row r="861" spans="1:16" ht="258.75" hidden="1" customHeight="1" x14ac:dyDescent="0.35">
      <c r="A861" s="12">
        <v>3902</v>
      </c>
      <c r="B861" s="12" t="s">
        <v>100</v>
      </c>
      <c r="C861" s="12" t="s">
        <v>109</v>
      </c>
      <c r="D861" s="12" t="s">
        <v>110</v>
      </c>
      <c r="E861" s="12" t="s">
        <v>131</v>
      </c>
      <c r="F861" s="12" t="s">
        <v>39</v>
      </c>
      <c r="G861" s="12" t="s">
        <v>49</v>
      </c>
      <c r="H861" s="12">
        <v>51</v>
      </c>
      <c r="I861" s="13">
        <v>45905.658067129603</v>
      </c>
      <c r="J861" s="12" t="s">
        <v>127</v>
      </c>
      <c r="K861" s="12" t="s">
        <v>128</v>
      </c>
      <c r="L861" s="14">
        <v>1</v>
      </c>
      <c r="M861" s="14">
        <f t="shared" si="13"/>
        <v>1</v>
      </c>
      <c r="N861" s="7" t="s">
        <v>971</v>
      </c>
      <c r="O861" s="12"/>
      <c r="P861" s="12" t="s">
        <v>130</v>
      </c>
    </row>
    <row r="862" spans="1:16" ht="191.25" hidden="1" customHeight="1" x14ac:dyDescent="0.35">
      <c r="A862" s="12">
        <v>4123</v>
      </c>
      <c r="B862" s="12" t="s">
        <v>100</v>
      </c>
      <c r="C862" s="12" t="s">
        <v>111</v>
      </c>
      <c r="D862" s="12" t="s">
        <v>112</v>
      </c>
      <c r="E862" s="12" t="s">
        <v>126</v>
      </c>
      <c r="F862" s="12" t="s">
        <v>39</v>
      </c>
      <c r="G862" s="12" t="s">
        <v>49</v>
      </c>
      <c r="H862" s="12">
        <v>51</v>
      </c>
      <c r="I862" s="13">
        <v>45905.658067129603</v>
      </c>
      <c r="J862" s="12" t="s">
        <v>127</v>
      </c>
      <c r="K862" s="12" t="s">
        <v>142</v>
      </c>
      <c r="L862" s="14">
        <v>0.33300000000000002</v>
      </c>
      <c r="M862" s="14">
        <f t="shared" si="13"/>
        <v>0.33300000000000002</v>
      </c>
      <c r="N862" s="7" t="s">
        <v>972</v>
      </c>
      <c r="O862" s="12"/>
      <c r="P862" s="12" t="s">
        <v>130</v>
      </c>
    </row>
    <row r="863" spans="1:16" ht="168.75" hidden="1" customHeight="1" x14ac:dyDescent="0.35">
      <c r="A863" s="12">
        <v>4241</v>
      </c>
      <c r="B863" s="12" t="s">
        <v>100</v>
      </c>
      <c r="C863" s="12" t="s">
        <v>111</v>
      </c>
      <c r="D863" s="12" t="s">
        <v>112</v>
      </c>
      <c r="E863" s="12" t="s">
        <v>131</v>
      </c>
      <c r="F863" s="12" t="s">
        <v>39</v>
      </c>
      <c r="G863" s="12" t="s">
        <v>49</v>
      </c>
      <c r="H863" s="12">
        <v>51</v>
      </c>
      <c r="I863" s="13">
        <v>45905.658067129603</v>
      </c>
      <c r="J863" s="12" t="s">
        <v>127</v>
      </c>
      <c r="K863" s="12" t="s">
        <v>142</v>
      </c>
      <c r="L863" s="14">
        <v>0.33300000000000002</v>
      </c>
      <c r="M863" s="14">
        <f t="shared" si="13"/>
        <v>0.33300000000000002</v>
      </c>
      <c r="N863" s="7" t="s">
        <v>973</v>
      </c>
      <c r="O863" s="12"/>
      <c r="P863" s="12" t="s">
        <v>130</v>
      </c>
    </row>
    <row r="864" spans="1:16" ht="191.25" hidden="1" customHeight="1" x14ac:dyDescent="0.35">
      <c r="A864" s="12">
        <v>4261</v>
      </c>
      <c r="B864" s="12" t="s">
        <v>100</v>
      </c>
      <c r="C864" s="12" t="s">
        <v>111</v>
      </c>
      <c r="D864" s="12" t="s">
        <v>112</v>
      </c>
      <c r="E864" s="12" t="s">
        <v>134</v>
      </c>
      <c r="F864" s="12" t="s">
        <v>39</v>
      </c>
      <c r="G864" s="12" t="s">
        <v>49</v>
      </c>
      <c r="H864" s="12">
        <v>51</v>
      </c>
      <c r="I864" s="13">
        <v>45905.658067129603</v>
      </c>
      <c r="J864" s="12" t="s">
        <v>127</v>
      </c>
      <c r="K864" s="12" t="s">
        <v>142</v>
      </c>
      <c r="L864" s="14">
        <v>0.33300000000000002</v>
      </c>
      <c r="M864" s="14">
        <f t="shared" si="13"/>
        <v>0.33300000000000002</v>
      </c>
      <c r="N864" s="7" t="s">
        <v>974</v>
      </c>
      <c r="O864" s="12"/>
      <c r="P864" s="12" t="s">
        <v>130</v>
      </c>
    </row>
    <row r="865" spans="1:16" ht="213.75" hidden="1" customHeight="1" x14ac:dyDescent="0.35">
      <c r="A865" s="12">
        <v>3481</v>
      </c>
      <c r="B865" s="12" t="s">
        <v>100</v>
      </c>
      <c r="C865" s="12" t="s">
        <v>113</v>
      </c>
      <c r="D865" s="12" t="s">
        <v>114</v>
      </c>
      <c r="E865" s="12" t="s">
        <v>126</v>
      </c>
      <c r="F865" s="12" t="s">
        <v>39</v>
      </c>
      <c r="G865" s="12" t="s">
        <v>49</v>
      </c>
      <c r="H865" s="12">
        <v>51</v>
      </c>
      <c r="I865" s="13">
        <v>45905.658067129603</v>
      </c>
      <c r="J865" s="12" t="s">
        <v>127</v>
      </c>
      <c r="K865" s="12" t="s">
        <v>132</v>
      </c>
      <c r="L865" s="14">
        <v>0.66600000000000004</v>
      </c>
      <c r="M865" s="14">
        <f t="shared" si="13"/>
        <v>0.66600000000000004</v>
      </c>
      <c r="N865" s="7" t="s">
        <v>975</v>
      </c>
      <c r="O865" s="12"/>
      <c r="P865" s="12" t="s">
        <v>130</v>
      </c>
    </row>
    <row r="866" spans="1:16" ht="34.5" hidden="1" customHeight="1" x14ac:dyDescent="0.35">
      <c r="A866" s="12">
        <v>3482</v>
      </c>
      <c r="B866" s="12" t="s">
        <v>100</v>
      </c>
      <c r="C866" s="12" t="s">
        <v>113</v>
      </c>
      <c r="D866" s="12" t="s">
        <v>114</v>
      </c>
      <c r="E866" s="12" t="s">
        <v>131</v>
      </c>
      <c r="F866" s="12" t="s">
        <v>39</v>
      </c>
      <c r="G866" s="12" t="s">
        <v>49</v>
      </c>
      <c r="H866" s="12">
        <v>51</v>
      </c>
      <c r="I866" s="13">
        <v>45905.658067129603</v>
      </c>
      <c r="J866" s="12" t="s">
        <v>127</v>
      </c>
      <c r="K866" s="12" t="s">
        <v>135</v>
      </c>
      <c r="L866" s="14"/>
      <c r="M866" s="14">
        <f t="shared" si="13"/>
        <v>0</v>
      </c>
      <c r="N866" s="7" t="s">
        <v>976</v>
      </c>
      <c r="O866" s="12"/>
      <c r="P866" s="12" t="s">
        <v>130</v>
      </c>
    </row>
    <row r="867" spans="1:16" ht="113.25" hidden="1" customHeight="1" x14ac:dyDescent="0.35">
      <c r="A867" s="12">
        <v>3501</v>
      </c>
      <c r="B867" s="12" t="s">
        <v>100</v>
      </c>
      <c r="C867" s="12" t="s">
        <v>113</v>
      </c>
      <c r="D867" s="12" t="s">
        <v>114</v>
      </c>
      <c r="E867" s="12" t="s">
        <v>134</v>
      </c>
      <c r="F867" s="12" t="s">
        <v>39</v>
      </c>
      <c r="G867" s="12" t="s">
        <v>49</v>
      </c>
      <c r="H867" s="12">
        <v>51</v>
      </c>
      <c r="I867" s="13">
        <v>45905.658067129603</v>
      </c>
      <c r="J867" s="12" t="s">
        <v>127</v>
      </c>
      <c r="K867" s="12" t="s">
        <v>132</v>
      </c>
      <c r="L867" s="14">
        <v>0.66600000000000004</v>
      </c>
      <c r="M867" s="14">
        <f t="shared" si="13"/>
        <v>0.66600000000000004</v>
      </c>
      <c r="N867" s="7" t="s">
        <v>977</v>
      </c>
      <c r="O867" s="12"/>
      <c r="P867" s="12" t="s">
        <v>130</v>
      </c>
    </row>
    <row r="868" spans="1:16" ht="124.5" hidden="1" customHeight="1" x14ac:dyDescent="0.35">
      <c r="A868" s="12">
        <v>1266</v>
      </c>
      <c r="B868" s="12" t="s">
        <v>100</v>
      </c>
      <c r="C868" s="12" t="s">
        <v>101</v>
      </c>
      <c r="D868" s="12" t="s">
        <v>102</v>
      </c>
      <c r="E868" s="12" t="s">
        <v>126</v>
      </c>
      <c r="F868" s="12" t="s">
        <v>39</v>
      </c>
      <c r="G868" s="12" t="s">
        <v>50</v>
      </c>
      <c r="H868" s="12">
        <v>50</v>
      </c>
      <c r="I868" s="13">
        <v>45908.571053240703</v>
      </c>
      <c r="J868" s="12" t="s">
        <v>127</v>
      </c>
      <c r="K868" s="12" t="s">
        <v>128</v>
      </c>
      <c r="L868" s="14">
        <v>1</v>
      </c>
      <c r="M868" s="14">
        <f t="shared" si="13"/>
        <v>1</v>
      </c>
      <c r="N868" s="7" t="s">
        <v>978</v>
      </c>
      <c r="O868" s="12"/>
      <c r="P868" s="12" t="s">
        <v>130</v>
      </c>
    </row>
    <row r="869" spans="1:16" ht="113.25" hidden="1" customHeight="1" x14ac:dyDescent="0.35">
      <c r="A869" s="12">
        <v>1652</v>
      </c>
      <c r="B869" s="12" t="s">
        <v>100</v>
      </c>
      <c r="C869" s="12" t="s">
        <v>101</v>
      </c>
      <c r="D869" s="12" t="s">
        <v>102</v>
      </c>
      <c r="E869" s="12" t="s">
        <v>131</v>
      </c>
      <c r="F869" s="12" t="s">
        <v>39</v>
      </c>
      <c r="G869" s="12" t="s">
        <v>50</v>
      </c>
      <c r="H869" s="12">
        <v>50</v>
      </c>
      <c r="I869" s="13">
        <v>45908.571053240703</v>
      </c>
      <c r="J869" s="12" t="s">
        <v>127</v>
      </c>
      <c r="K869" s="12" t="s">
        <v>128</v>
      </c>
      <c r="L869" s="14">
        <v>1</v>
      </c>
      <c r="M869" s="14">
        <f t="shared" si="13"/>
        <v>1</v>
      </c>
      <c r="N869" s="7" t="s">
        <v>979</v>
      </c>
      <c r="O869" s="12"/>
      <c r="P869" s="12" t="s">
        <v>130</v>
      </c>
    </row>
    <row r="870" spans="1:16" ht="57" hidden="1" customHeight="1" x14ac:dyDescent="0.35">
      <c r="A870" s="12">
        <v>3584</v>
      </c>
      <c r="B870" s="12" t="s">
        <v>100</v>
      </c>
      <c r="C870" s="12" t="s">
        <v>101</v>
      </c>
      <c r="D870" s="12" t="s">
        <v>102</v>
      </c>
      <c r="E870" s="12" t="s">
        <v>134</v>
      </c>
      <c r="F870" s="12" t="s">
        <v>39</v>
      </c>
      <c r="G870" s="12" t="s">
        <v>50</v>
      </c>
      <c r="H870" s="12">
        <v>50</v>
      </c>
      <c r="I870" s="13">
        <v>45908.571053240703</v>
      </c>
      <c r="J870" s="12" t="s">
        <v>127</v>
      </c>
      <c r="K870" s="12" t="s">
        <v>128</v>
      </c>
      <c r="L870" s="14">
        <v>1</v>
      </c>
      <c r="M870" s="14">
        <f t="shared" si="13"/>
        <v>1</v>
      </c>
      <c r="N870" s="7" t="s">
        <v>980</v>
      </c>
      <c r="O870" s="12"/>
      <c r="P870" s="12"/>
    </row>
    <row r="871" spans="1:16" ht="57" hidden="1" customHeight="1" x14ac:dyDescent="0.35">
      <c r="A871" s="12">
        <v>3621</v>
      </c>
      <c r="B871" s="12" t="s">
        <v>100</v>
      </c>
      <c r="C871" s="12" t="s">
        <v>103</v>
      </c>
      <c r="D871" s="12" t="s">
        <v>104</v>
      </c>
      <c r="E871" s="12" t="s">
        <v>126</v>
      </c>
      <c r="F871" s="12" t="s">
        <v>39</v>
      </c>
      <c r="G871" s="12" t="s">
        <v>50</v>
      </c>
      <c r="H871" s="12">
        <v>50</v>
      </c>
      <c r="I871" s="13">
        <v>45908.571053240703</v>
      </c>
      <c r="J871" s="12" t="s">
        <v>127</v>
      </c>
      <c r="K871" s="12" t="s">
        <v>132</v>
      </c>
      <c r="L871" s="14">
        <v>0.66600000000000004</v>
      </c>
      <c r="M871" s="14">
        <f t="shared" si="13"/>
        <v>0.66600000000000004</v>
      </c>
      <c r="N871" s="7" t="s">
        <v>981</v>
      </c>
      <c r="O871" s="12"/>
      <c r="P871" s="12" t="s">
        <v>130</v>
      </c>
    </row>
    <row r="872" spans="1:16" ht="147" hidden="1" customHeight="1" x14ac:dyDescent="0.35">
      <c r="A872" s="12">
        <v>4545</v>
      </c>
      <c r="B872" s="12" t="s">
        <v>100</v>
      </c>
      <c r="C872" s="12" t="s">
        <v>103</v>
      </c>
      <c r="D872" s="12" t="s">
        <v>104</v>
      </c>
      <c r="E872" s="12" t="s">
        <v>131</v>
      </c>
      <c r="F872" s="12" t="s">
        <v>39</v>
      </c>
      <c r="G872" s="12" t="s">
        <v>50</v>
      </c>
      <c r="H872" s="12">
        <v>50</v>
      </c>
      <c r="I872" s="13">
        <v>45908.571053240703</v>
      </c>
      <c r="J872" s="12" t="s">
        <v>127</v>
      </c>
      <c r="K872" s="12" t="s">
        <v>132</v>
      </c>
      <c r="L872" s="14">
        <v>0.66600000000000004</v>
      </c>
      <c r="M872" s="14">
        <f t="shared" si="13"/>
        <v>0.66600000000000004</v>
      </c>
      <c r="N872" s="7" t="s">
        <v>982</v>
      </c>
      <c r="O872" s="12"/>
      <c r="P872" s="12" t="s">
        <v>130</v>
      </c>
    </row>
    <row r="873" spans="1:16" ht="79.5" hidden="1" customHeight="1" x14ac:dyDescent="0.35">
      <c r="A873" s="12">
        <v>4546</v>
      </c>
      <c r="B873" s="12" t="s">
        <v>100</v>
      </c>
      <c r="C873" s="12" t="s">
        <v>103</v>
      </c>
      <c r="D873" s="12" t="s">
        <v>104</v>
      </c>
      <c r="E873" s="12" t="s">
        <v>134</v>
      </c>
      <c r="F873" s="12" t="s">
        <v>39</v>
      </c>
      <c r="G873" s="12" t="s">
        <v>50</v>
      </c>
      <c r="H873" s="12">
        <v>50</v>
      </c>
      <c r="I873" s="13">
        <v>45908.571053240703</v>
      </c>
      <c r="J873" s="12" t="s">
        <v>127</v>
      </c>
      <c r="K873" s="12" t="s">
        <v>135</v>
      </c>
      <c r="L873" s="14"/>
      <c r="M873" s="14">
        <f t="shared" si="13"/>
        <v>0</v>
      </c>
      <c r="N873" s="7" t="s">
        <v>983</v>
      </c>
      <c r="O873" s="12"/>
      <c r="P873" s="12" t="s">
        <v>130</v>
      </c>
    </row>
    <row r="874" spans="1:16" ht="68.25" hidden="1" customHeight="1" x14ac:dyDescent="0.35">
      <c r="A874" s="12">
        <v>4609</v>
      </c>
      <c r="B874" s="12" t="s">
        <v>100</v>
      </c>
      <c r="C874" s="12" t="s">
        <v>105</v>
      </c>
      <c r="D874" s="12" t="s">
        <v>106</v>
      </c>
      <c r="E874" s="12" t="s">
        <v>126</v>
      </c>
      <c r="F874" s="12" t="s">
        <v>39</v>
      </c>
      <c r="G874" s="12" t="s">
        <v>50</v>
      </c>
      <c r="H874" s="12">
        <v>50</v>
      </c>
      <c r="I874" s="13">
        <v>45908.571053240703</v>
      </c>
      <c r="J874" s="12" t="s">
        <v>127</v>
      </c>
      <c r="K874" s="12" t="s">
        <v>132</v>
      </c>
      <c r="L874" s="14">
        <v>0.66600000000000004</v>
      </c>
      <c r="M874" s="14">
        <f t="shared" si="13"/>
        <v>0.66600000000000004</v>
      </c>
      <c r="N874" s="7" t="s">
        <v>984</v>
      </c>
      <c r="O874" s="12"/>
      <c r="P874" s="12" t="s">
        <v>130</v>
      </c>
    </row>
    <row r="875" spans="1:16" ht="102" hidden="1" customHeight="1" x14ac:dyDescent="0.35">
      <c r="A875" s="12">
        <v>6184</v>
      </c>
      <c r="B875" s="12" t="s">
        <v>100</v>
      </c>
      <c r="C875" s="12" t="s">
        <v>105</v>
      </c>
      <c r="D875" s="12" t="s">
        <v>106</v>
      </c>
      <c r="E875" s="12" t="s">
        <v>131</v>
      </c>
      <c r="F875" s="12" t="s">
        <v>39</v>
      </c>
      <c r="G875" s="12" t="s">
        <v>50</v>
      </c>
      <c r="H875" s="12">
        <v>50</v>
      </c>
      <c r="I875" s="13">
        <v>45908.571053240703</v>
      </c>
      <c r="J875" s="12" t="s">
        <v>127</v>
      </c>
      <c r="K875" s="12" t="s">
        <v>142</v>
      </c>
      <c r="L875" s="14">
        <v>0.33300000000000002</v>
      </c>
      <c r="M875" s="14">
        <f t="shared" si="13"/>
        <v>0.33300000000000002</v>
      </c>
      <c r="N875" s="7" t="s">
        <v>985</v>
      </c>
      <c r="O875" s="12"/>
      <c r="P875" s="12" t="s">
        <v>130</v>
      </c>
    </row>
    <row r="876" spans="1:16" ht="23.25" hidden="1" customHeight="1" x14ac:dyDescent="0.35">
      <c r="A876" s="12">
        <v>6204</v>
      </c>
      <c r="B876" s="12" t="s">
        <v>100</v>
      </c>
      <c r="C876" s="12" t="s">
        <v>107</v>
      </c>
      <c r="D876" s="12" t="s">
        <v>108</v>
      </c>
      <c r="E876" s="12" t="s">
        <v>126</v>
      </c>
      <c r="F876" s="12" t="s">
        <v>39</v>
      </c>
      <c r="G876" s="12" t="s">
        <v>50</v>
      </c>
      <c r="H876" s="12">
        <v>50</v>
      </c>
      <c r="I876" s="13">
        <v>45908.571053240703</v>
      </c>
      <c r="J876" s="12" t="s">
        <v>127</v>
      </c>
      <c r="K876" s="12" t="s">
        <v>132</v>
      </c>
      <c r="L876" s="14">
        <v>0.66600000000000004</v>
      </c>
      <c r="M876" s="14">
        <f t="shared" si="13"/>
        <v>0.66600000000000004</v>
      </c>
      <c r="N876" s="7" t="s">
        <v>986</v>
      </c>
      <c r="O876" s="12"/>
      <c r="P876" s="12" t="s">
        <v>130</v>
      </c>
    </row>
    <row r="877" spans="1:16" ht="90.75" hidden="1" customHeight="1" x14ac:dyDescent="0.35">
      <c r="A877" s="12">
        <v>6202</v>
      </c>
      <c r="B877" s="12" t="s">
        <v>100</v>
      </c>
      <c r="C877" s="12" t="s">
        <v>107</v>
      </c>
      <c r="D877" s="12" t="s">
        <v>108</v>
      </c>
      <c r="E877" s="12" t="s">
        <v>131</v>
      </c>
      <c r="F877" s="12" t="s">
        <v>39</v>
      </c>
      <c r="G877" s="12" t="s">
        <v>50</v>
      </c>
      <c r="H877" s="12">
        <v>50</v>
      </c>
      <c r="I877" s="13">
        <v>45908.571053240703</v>
      </c>
      <c r="J877" s="12" t="s">
        <v>127</v>
      </c>
      <c r="K877" s="12" t="s">
        <v>142</v>
      </c>
      <c r="L877" s="14">
        <v>0.33300000000000002</v>
      </c>
      <c r="M877" s="14">
        <f t="shared" si="13"/>
        <v>0.33300000000000002</v>
      </c>
      <c r="N877" s="7" t="s">
        <v>987</v>
      </c>
      <c r="O877" s="12"/>
      <c r="P877" s="12" t="s">
        <v>130</v>
      </c>
    </row>
    <row r="878" spans="1:16" ht="23.25" hidden="1" customHeight="1" x14ac:dyDescent="0.35">
      <c r="A878" s="12">
        <v>6230</v>
      </c>
      <c r="B878" s="12" t="s">
        <v>100</v>
      </c>
      <c r="C878" s="12" t="s">
        <v>107</v>
      </c>
      <c r="D878" s="12" t="s">
        <v>108</v>
      </c>
      <c r="E878" s="12" t="s">
        <v>134</v>
      </c>
      <c r="F878" s="12" t="s">
        <v>39</v>
      </c>
      <c r="G878" s="12" t="s">
        <v>50</v>
      </c>
      <c r="H878" s="12">
        <v>50</v>
      </c>
      <c r="I878" s="13">
        <v>45908.571053240703</v>
      </c>
      <c r="J878" s="12" t="s">
        <v>127</v>
      </c>
      <c r="K878" s="12" t="s">
        <v>142</v>
      </c>
      <c r="L878" s="14">
        <v>0.33300000000000002</v>
      </c>
      <c r="M878" s="14">
        <f t="shared" si="13"/>
        <v>0.33300000000000002</v>
      </c>
      <c r="N878" s="7" t="s">
        <v>988</v>
      </c>
      <c r="O878" s="12"/>
      <c r="P878" s="12" t="s">
        <v>130</v>
      </c>
    </row>
    <row r="879" spans="1:16" ht="202.5" hidden="1" customHeight="1" x14ac:dyDescent="0.35">
      <c r="A879" s="12">
        <v>4288</v>
      </c>
      <c r="B879" s="12" t="s">
        <v>100</v>
      </c>
      <c r="C879" s="12" t="s">
        <v>109</v>
      </c>
      <c r="D879" s="12" t="s">
        <v>110</v>
      </c>
      <c r="E879" s="12" t="s">
        <v>126</v>
      </c>
      <c r="F879" s="12" t="s">
        <v>39</v>
      </c>
      <c r="G879" s="12" t="s">
        <v>50</v>
      </c>
      <c r="H879" s="12">
        <v>50</v>
      </c>
      <c r="I879" s="13">
        <v>45908.571053240703</v>
      </c>
      <c r="J879" s="12" t="s">
        <v>127</v>
      </c>
      <c r="K879" s="12" t="s">
        <v>142</v>
      </c>
      <c r="L879" s="14">
        <v>0.33300000000000002</v>
      </c>
      <c r="M879" s="14">
        <f t="shared" si="13"/>
        <v>0.33300000000000002</v>
      </c>
      <c r="N879" s="7" t="s">
        <v>989</v>
      </c>
      <c r="O879" s="12"/>
      <c r="P879" s="12" t="s">
        <v>130</v>
      </c>
    </row>
    <row r="880" spans="1:16" ht="68.25" hidden="1" customHeight="1" x14ac:dyDescent="0.35">
      <c r="A880" s="12">
        <v>4490</v>
      </c>
      <c r="B880" s="12" t="s">
        <v>100</v>
      </c>
      <c r="C880" s="12" t="s">
        <v>109</v>
      </c>
      <c r="D880" s="12" t="s">
        <v>110</v>
      </c>
      <c r="E880" s="12" t="s">
        <v>131</v>
      </c>
      <c r="F880" s="12" t="s">
        <v>39</v>
      </c>
      <c r="G880" s="12" t="s">
        <v>50</v>
      </c>
      <c r="H880" s="12">
        <v>50</v>
      </c>
      <c r="I880" s="13">
        <v>45908.571053240703</v>
      </c>
      <c r="J880" s="12" t="s">
        <v>127</v>
      </c>
      <c r="K880" s="12" t="s">
        <v>132</v>
      </c>
      <c r="L880" s="14">
        <v>0.66600000000000004</v>
      </c>
      <c r="M880" s="14">
        <f t="shared" si="13"/>
        <v>0.66600000000000004</v>
      </c>
      <c r="N880" s="7" t="s">
        <v>990</v>
      </c>
      <c r="O880" s="12"/>
      <c r="P880" s="12" t="s">
        <v>130</v>
      </c>
    </row>
    <row r="881" spans="1:16" ht="79.5" hidden="1" customHeight="1" x14ac:dyDescent="0.35">
      <c r="A881" s="12">
        <v>6231</v>
      </c>
      <c r="B881" s="12" t="s">
        <v>100</v>
      </c>
      <c r="C881" s="12" t="s">
        <v>111</v>
      </c>
      <c r="D881" s="12" t="s">
        <v>112</v>
      </c>
      <c r="E881" s="12" t="s">
        <v>126</v>
      </c>
      <c r="F881" s="12" t="s">
        <v>39</v>
      </c>
      <c r="G881" s="12" t="s">
        <v>50</v>
      </c>
      <c r="H881" s="12">
        <v>50</v>
      </c>
      <c r="I881" s="13">
        <v>45908.571053240703</v>
      </c>
      <c r="J881" s="12" t="s">
        <v>127</v>
      </c>
      <c r="K881" s="12" t="s">
        <v>142</v>
      </c>
      <c r="L881" s="14">
        <v>0.33300000000000002</v>
      </c>
      <c r="M881" s="14">
        <f t="shared" si="13"/>
        <v>0.33300000000000002</v>
      </c>
      <c r="N881" s="7" t="s">
        <v>991</v>
      </c>
      <c r="O881" s="12"/>
      <c r="P881" s="12" t="s">
        <v>130</v>
      </c>
    </row>
    <row r="882" spans="1:16" ht="90.75" hidden="1" customHeight="1" x14ac:dyDescent="0.35">
      <c r="A882" s="12">
        <v>6421</v>
      </c>
      <c r="B882" s="12" t="s">
        <v>100</v>
      </c>
      <c r="C882" s="12" t="s">
        <v>111</v>
      </c>
      <c r="D882" s="12" t="s">
        <v>112</v>
      </c>
      <c r="E882" s="12" t="s">
        <v>131</v>
      </c>
      <c r="F882" s="12" t="s">
        <v>39</v>
      </c>
      <c r="G882" s="12" t="s">
        <v>50</v>
      </c>
      <c r="H882" s="12">
        <v>50</v>
      </c>
      <c r="I882" s="13">
        <v>45908.571053240703</v>
      </c>
      <c r="J882" s="12" t="s">
        <v>127</v>
      </c>
      <c r="K882" s="12" t="s">
        <v>128</v>
      </c>
      <c r="L882" s="14">
        <v>1</v>
      </c>
      <c r="M882" s="14">
        <f t="shared" si="13"/>
        <v>1</v>
      </c>
      <c r="N882" s="7" t="s">
        <v>992</v>
      </c>
      <c r="O882" s="12"/>
      <c r="P882" s="12" t="s">
        <v>130</v>
      </c>
    </row>
    <row r="883" spans="1:16" ht="113.25" hidden="1" customHeight="1" x14ac:dyDescent="0.35">
      <c r="A883" s="12">
        <v>6426</v>
      </c>
      <c r="B883" s="12" t="s">
        <v>100</v>
      </c>
      <c r="C883" s="12" t="s">
        <v>111</v>
      </c>
      <c r="D883" s="12" t="s">
        <v>112</v>
      </c>
      <c r="E883" s="12" t="s">
        <v>134</v>
      </c>
      <c r="F883" s="12" t="s">
        <v>39</v>
      </c>
      <c r="G883" s="12" t="s">
        <v>50</v>
      </c>
      <c r="H883" s="12">
        <v>50</v>
      </c>
      <c r="I883" s="13">
        <v>45908.571053240703</v>
      </c>
      <c r="J883" s="12" t="s">
        <v>127</v>
      </c>
      <c r="K883" s="12" t="s">
        <v>142</v>
      </c>
      <c r="L883" s="14">
        <v>0.33300000000000002</v>
      </c>
      <c r="M883" s="14">
        <f t="shared" si="13"/>
        <v>0.33300000000000002</v>
      </c>
      <c r="N883" s="7" t="s">
        <v>993</v>
      </c>
      <c r="O883" s="12"/>
      <c r="P883" s="12" t="s">
        <v>130</v>
      </c>
    </row>
    <row r="884" spans="1:16" ht="34.5" hidden="1" customHeight="1" x14ac:dyDescent="0.35">
      <c r="A884" s="12">
        <v>4161</v>
      </c>
      <c r="B884" s="12" t="s">
        <v>100</v>
      </c>
      <c r="C884" s="12" t="s">
        <v>113</v>
      </c>
      <c r="D884" s="12" t="s">
        <v>114</v>
      </c>
      <c r="E884" s="12" t="s">
        <v>126</v>
      </c>
      <c r="F884" s="12" t="s">
        <v>39</v>
      </c>
      <c r="G884" s="12" t="s">
        <v>50</v>
      </c>
      <c r="H884" s="12">
        <v>50</v>
      </c>
      <c r="I884" s="13">
        <v>45908.571053240703</v>
      </c>
      <c r="J884" s="12" t="s">
        <v>127</v>
      </c>
      <c r="K884" s="12" t="s">
        <v>135</v>
      </c>
      <c r="L884" s="14"/>
      <c r="M884" s="14">
        <f t="shared" si="13"/>
        <v>0</v>
      </c>
      <c r="N884" s="7" t="s">
        <v>994</v>
      </c>
      <c r="O884" s="12"/>
      <c r="P884" s="12"/>
    </row>
    <row r="885" spans="1:16" ht="45.75" hidden="1" customHeight="1" x14ac:dyDescent="0.35">
      <c r="A885" s="12">
        <v>4164</v>
      </c>
      <c r="B885" s="12" t="s">
        <v>100</v>
      </c>
      <c r="C885" s="12" t="s">
        <v>113</v>
      </c>
      <c r="D885" s="12" t="s">
        <v>114</v>
      </c>
      <c r="E885" s="12" t="s">
        <v>131</v>
      </c>
      <c r="F885" s="12" t="s">
        <v>39</v>
      </c>
      <c r="G885" s="12" t="s">
        <v>50</v>
      </c>
      <c r="H885" s="12">
        <v>50</v>
      </c>
      <c r="I885" s="13">
        <v>45908.571053240703</v>
      </c>
      <c r="J885" s="12" t="s">
        <v>127</v>
      </c>
      <c r="K885" s="12" t="s">
        <v>135</v>
      </c>
      <c r="L885" s="14"/>
      <c r="M885" s="14">
        <f t="shared" si="13"/>
        <v>0</v>
      </c>
      <c r="N885" s="7" t="s">
        <v>995</v>
      </c>
      <c r="O885" s="12"/>
      <c r="P885" s="12" t="s">
        <v>130</v>
      </c>
    </row>
    <row r="886" spans="1:16" ht="34.5" hidden="1" customHeight="1" x14ac:dyDescent="0.35">
      <c r="A886" s="12">
        <v>4181</v>
      </c>
      <c r="B886" s="12" t="s">
        <v>100</v>
      </c>
      <c r="C886" s="12" t="s">
        <v>113</v>
      </c>
      <c r="D886" s="12" t="s">
        <v>114</v>
      </c>
      <c r="E886" s="12" t="s">
        <v>134</v>
      </c>
      <c r="F886" s="12" t="s">
        <v>39</v>
      </c>
      <c r="G886" s="12" t="s">
        <v>50</v>
      </c>
      <c r="H886" s="12">
        <v>50</v>
      </c>
      <c r="I886" s="13">
        <v>45908.571053240703</v>
      </c>
      <c r="J886" s="12" t="s">
        <v>127</v>
      </c>
      <c r="K886" s="12" t="s">
        <v>142</v>
      </c>
      <c r="L886" s="14">
        <v>0.33300000000000002</v>
      </c>
      <c r="M886" s="14">
        <f t="shared" si="13"/>
        <v>0.33300000000000002</v>
      </c>
      <c r="N886" s="7" t="s">
        <v>996</v>
      </c>
      <c r="O886" s="12"/>
      <c r="P886" s="12" t="s">
        <v>130</v>
      </c>
    </row>
    <row r="887" spans="1:16" ht="202.5" hidden="1" customHeight="1" x14ac:dyDescent="0.35">
      <c r="A887" s="12">
        <v>1649</v>
      </c>
      <c r="B887" s="12" t="s">
        <v>100</v>
      </c>
      <c r="C887" s="12" t="s">
        <v>101</v>
      </c>
      <c r="D887" s="12" t="s">
        <v>102</v>
      </c>
      <c r="E887" s="12" t="s">
        <v>126</v>
      </c>
      <c r="F887" s="12" t="s">
        <v>39</v>
      </c>
      <c r="G887" s="12" t="s">
        <v>51</v>
      </c>
      <c r="H887" s="12">
        <v>31</v>
      </c>
      <c r="I887" s="13">
        <v>45897.470879629604</v>
      </c>
      <c r="J887" s="12" t="s">
        <v>127</v>
      </c>
      <c r="K887" s="12" t="s">
        <v>132</v>
      </c>
      <c r="L887" s="14">
        <v>0.66600000000000004</v>
      </c>
      <c r="M887" s="14">
        <f t="shared" si="13"/>
        <v>0.66600000000000004</v>
      </c>
      <c r="N887" s="7" t="s">
        <v>997</v>
      </c>
      <c r="O887" s="12"/>
      <c r="P887" s="12" t="s">
        <v>130</v>
      </c>
    </row>
    <row r="888" spans="1:16" ht="168.75" hidden="1" customHeight="1" x14ac:dyDescent="0.35">
      <c r="A888" s="12">
        <v>3761</v>
      </c>
      <c r="B888" s="12" t="s">
        <v>100</v>
      </c>
      <c r="C888" s="12" t="s">
        <v>101</v>
      </c>
      <c r="D888" s="12" t="s">
        <v>102</v>
      </c>
      <c r="E888" s="12" t="s">
        <v>131</v>
      </c>
      <c r="F888" s="12" t="s">
        <v>39</v>
      </c>
      <c r="G888" s="12" t="s">
        <v>51</v>
      </c>
      <c r="H888" s="12">
        <v>31</v>
      </c>
      <c r="I888" s="13">
        <v>45897.470879629604</v>
      </c>
      <c r="J888" s="12" t="s">
        <v>127</v>
      </c>
      <c r="K888" s="12" t="s">
        <v>128</v>
      </c>
      <c r="L888" s="14">
        <v>1</v>
      </c>
      <c r="M888" s="14">
        <f t="shared" si="13"/>
        <v>1</v>
      </c>
      <c r="N888" s="7" t="s">
        <v>998</v>
      </c>
      <c r="O888" s="12"/>
      <c r="P888" s="12" t="s">
        <v>130</v>
      </c>
    </row>
    <row r="889" spans="1:16" ht="191.25" hidden="1" customHeight="1" x14ac:dyDescent="0.35">
      <c r="A889" s="12">
        <v>3781</v>
      </c>
      <c r="B889" s="12" t="s">
        <v>100</v>
      </c>
      <c r="C889" s="12" t="s">
        <v>101</v>
      </c>
      <c r="D889" s="12" t="s">
        <v>102</v>
      </c>
      <c r="E889" s="12" t="s">
        <v>134</v>
      </c>
      <c r="F889" s="12" t="s">
        <v>39</v>
      </c>
      <c r="G889" s="12" t="s">
        <v>51</v>
      </c>
      <c r="H889" s="12">
        <v>31</v>
      </c>
      <c r="I889" s="13">
        <v>45897.470879629604</v>
      </c>
      <c r="J889" s="12" t="s">
        <v>127</v>
      </c>
      <c r="K889" s="12" t="s">
        <v>132</v>
      </c>
      <c r="L889" s="14">
        <v>0.66600000000000004</v>
      </c>
      <c r="M889" s="14">
        <f t="shared" si="13"/>
        <v>0.66600000000000004</v>
      </c>
      <c r="N889" s="7" t="s">
        <v>999</v>
      </c>
      <c r="O889" s="12"/>
      <c r="P889" s="12" t="s">
        <v>130</v>
      </c>
    </row>
    <row r="890" spans="1:16" ht="213.75" hidden="1" customHeight="1" x14ac:dyDescent="0.35">
      <c r="A890" s="12">
        <v>3782</v>
      </c>
      <c r="B890" s="12" t="s">
        <v>100</v>
      </c>
      <c r="C890" s="12" t="s">
        <v>103</v>
      </c>
      <c r="D890" s="12" t="s">
        <v>104</v>
      </c>
      <c r="E890" s="12" t="s">
        <v>126</v>
      </c>
      <c r="F890" s="12" t="s">
        <v>39</v>
      </c>
      <c r="G890" s="12" t="s">
        <v>51</v>
      </c>
      <c r="H890" s="12">
        <v>31</v>
      </c>
      <c r="I890" s="13">
        <v>45897.470879629604</v>
      </c>
      <c r="J890" s="12" t="s">
        <v>127</v>
      </c>
      <c r="K890" s="12" t="s">
        <v>128</v>
      </c>
      <c r="L890" s="14">
        <v>1</v>
      </c>
      <c r="M890" s="14">
        <f t="shared" si="13"/>
        <v>1</v>
      </c>
      <c r="N890" s="7" t="s">
        <v>1000</v>
      </c>
      <c r="O890" s="12"/>
      <c r="P890" s="12" t="s">
        <v>130</v>
      </c>
    </row>
    <row r="891" spans="1:16" ht="225" hidden="1" customHeight="1" x14ac:dyDescent="0.35">
      <c r="A891" s="12">
        <v>3841</v>
      </c>
      <c r="B891" s="12" t="s">
        <v>100</v>
      </c>
      <c r="C891" s="12" t="s">
        <v>103</v>
      </c>
      <c r="D891" s="12" t="s">
        <v>104</v>
      </c>
      <c r="E891" s="12" t="s">
        <v>131</v>
      </c>
      <c r="F891" s="12" t="s">
        <v>39</v>
      </c>
      <c r="G891" s="12" t="s">
        <v>51</v>
      </c>
      <c r="H891" s="12">
        <v>31</v>
      </c>
      <c r="I891" s="13">
        <v>45897.470879629604</v>
      </c>
      <c r="J891" s="12" t="s">
        <v>127</v>
      </c>
      <c r="K891" s="12" t="s">
        <v>128</v>
      </c>
      <c r="L891" s="14">
        <v>1</v>
      </c>
      <c r="M891" s="14">
        <f t="shared" si="13"/>
        <v>1</v>
      </c>
      <c r="N891" s="7" t="s">
        <v>1001</v>
      </c>
      <c r="O891" s="12"/>
      <c r="P891" s="12" t="s">
        <v>130</v>
      </c>
    </row>
    <row r="892" spans="1:16" ht="225" hidden="1" customHeight="1" x14ac:dyDescent="0.35">
      <c r="A892" s="12">
        <v>3842</v>
      </c>
      <c r="B892" s="12" t="s">
        <v>100</v>
      </c>
      <c r="C892" s="12" t="s">
        <v>103</v>
      </c>
      <c r="D892" s="12" t="s">
        <v>104</v>
      </c>
      <c r="E892" s="12" t="s">
        <v>134</v>
      </c>
      <c r="F892" s="12" t="s">
        <v>39</v>
      </c>
      <c r="G892" s="12" t="s">
        <v>51</v>
      </c>
      <c r="H892" s="12">
        <v>31</v>
      </c>
      <c r="I892" s="13">
        <v>45897.470879629604</v>
      </c>
      <c r="J892" s="12" t="s">
        <v>127</v>
      </c>
      <c r="K892" s="12" t="s">
        <v>128</v>
      </c>
      <c r="L892" s="14">
        <v>1</v>
      </c>
      <c r="M892" s="14">
        <f t="shared" si="13"/>
        <v>1</v>
      </c>
      <c r="N892" s="7" t="s">
        <v>1002</v>
      </c>
      <c r="O892" s="12"/>
      <c r="P892" s="12" t="s">
        <v>130</v>
      </c>
    </row>
    <row r="893" spans="1:16" ht="168.75" hidden="1" customHeight="1" x14ac:dyDescent="0.35">
      <c r="A893" s="12">
        <v>3921</v>
      </c>
      <c r="B893" s="12" t="s">
        <v>100</v>
      </c>
      <c r="C893" s="12" t="s">
        <v>105</v>
      </c>
      <c r="D893" s="12" t="s">
        <v>106</v>
      </c>
      <c r="E893" s="12" t="s">
        <v>126</v>
      </c>
      <c r="F893" s="12" t="s">
        <v>39</v>
      </c>
      <c r="G893" s="12" t="s">
        <v>51</v>
      </c>
      <c r="H893" s="12">
        <v>31</v>
      </c>
      <c r="I893" s="13">
        <v>45897.470879629604</v>
      </c>
      <c r="J893" s="12" t="s">
        <v>127</v>
      </c>
      <c r="K893" s="12" t="s">
        <v>128</v>
      </c>
      <c r="L893" s="14">
        <v>1</v>
      </c>
      <c r="M893" s="14">
        <f t="shared" si="13"/>
        <v>1</v>
      </c>
      <c r="N893" s="7" t="s">
        <v>1003</v>
      </c>
      <c r="O893" s="12"/>
      <c r="P893" s="12" t="s">
        <v>130</v>
      </c>
    </row>
    <row r="894" spans="1:16" ht="157.5" hidden="1" customHeight="1" x14ac:dyDescent="0.35">
      <c r="A894" s="12">
        <v>3922</v>
      </c>
      <c r="B894" s="12" t="s">
        <v>100</v>
      </c>
      <c r="C894" s="12" t="s">
        <v>105</v>
      </c>
      <c r="D894" s="12" t="s">
        <v>106</v>
      </c>
      <c r="E894" s="12" t="s">
        <v>131</v>
      </c>
      <c r="F894" s="12" t="s">
        <v>39</v>
      </c>
      <c r="G894" s="12" t="s">
        <v>51</v>
      </c>
      <c r="H894" s="12">
        <v>31</v>
      </c>
      <c r="I894" s="13">
        <v>45897.470879629604</v>
      </c>
      <c r="J894" s="12" t="s">
        <v>127</v>
      </c>
      <c r="K894" s="12" t="s">
        <v>132</v>
      </c>
      <c r="L894" s="14">
        <v>0.66600000000000004</v>
      </c>
      <c r="M894" s="14">
        <f t="shared" si="13"/>
        <v>0.66600000000000004</v>
      </c>
      <c r="N894" s="7" t="s">
        <v>1004</v>
      </c>
      <c r="O894" s="12"/>
      <c r="P894" s="12" t="s">
        <v>130</v>
      </c>
    </row>
    <row r="895" spans="1:16" ht="157.5" hidden="1" customHeight="1" x14ac:dyDescent="0.35">
      <c r="A895" s="12">
        <v>4021</v>
      </c>
      <c r="B895" s="12" t="s">
        <v>100</v>
      </c>
      <c r="C895" s="12" t="s">
        <v>107</v>
      </c>
      <c r="D895" s="12" t="s">
        <v>108</v>
      </c>
      <c r="E895" s="12" t="s">
        <v>126</v>
      </c>
      <c r="F895" s="12" t="s">
        <v>39</v>
      </c>
      <c r="G895" s="12" t="s">
        <v>51</v>
      </c>
      <c r="H895" s="12">
        <v>31</v>
      </c>
      <c r="I895" s="13">
        <v>45897.470879629604</v>
      </c>
      <c r="J895" s="12" t="s">
        <v>127</v>
      </c>
      <c r="K895" s="12" t="s">
        <v>128</v>
      </c>
      <c r="L895" s="14">
        <v>1</v>
      </c>
      <c r="M895" s="14">
        <f t="shared" si="13"/>
        <v>1</v>
      </c>
      <c r="N895" s="7" t="s">
        <v>1005</v>
      </c>
      <c r="O895" s="12"/>
      <c r="P895" s="12" t="s">
        <v>130</v>
      </c>
    </row>
    <row r="896" spans="1:16" ht="157.5" hidden="1" customHeight="1" x14ac:dyDescent="0.35">
      <c r="A896" s="12">
        <v>4041</v>
      </c>
      <c r="B896" s="12" t="s">
        <v>100</v>
      </c>
      <c r="C896" s="12" t="s">
        <v>107</v>
      </c>
      <c r="D896" s="12" t="s">
        <v>108</v>
      </c>
      <c r="E896" s="12" t="s">
        <v>131</v>
      </c>
      <c r="F896" s="12" t="s">
        <v>39</v>
      </c>
      <c r="G896" s="12" t="s">
        <v>51</v>
      </c>
      <c r="H896" s="12">
        <v>31</v>
      </c>
      <c r="I896" s="13">
        <v>45897.470879629604</v>
      </c>
      <c r="J896" s="12" t="s">
        <v>127</v>
      </c>
      <c r="K896" s="12" t="s">
        <v>128</v>
      </c>
      <c r="L896" s="14">
        <v>1</v>
      </c>
      <c r="M896" s="14">
        <f t="shared" si="13"/>
        <v>1</v>
      </c>
      <c r="N896" s="7" t="s">
        <v>1006</v>
      </c>
      <c r="O896" s="12"/>
      <c r="P896" s="12" t="s">
        <v>130</v>
      </c>
    </row>
    <row r="897" spans="1:16" ht="213.75" hidden="1" customHeight="1" x14ac:dyDescent="0.35">
      <c r="A897" s="12">
        <v>4141</v>
      </c>
      <c r="B897" s="12" t="s">
        <v>100</v>
      </c>
      <c r="C897" s="12" t="s">
        <v>107</v>
      </c>
      <c r="D897" s="12" t="s">
        <v>108</v>
      </c>
      <c r="E897" s="12" t="s">
        <v>134</v>
      </c>
      <c r="F897" s="12" t="s">
        <v>39</v>
      </c>
      <c r="G897" s="12" t="s">
        <v>51</v>
      </c>
      <c r="H897" s="12">
        <v>31</v>
      </c>
      <c r="I897" s="13">
        <v>45897.470879629604</v>
      </c>
      <c r="J897" s="12" t="s">
        <v>127</v>
      </c>
      <c r="K897" s="12" t="s">
        <v>128</v>
      </c>
      <c r="L897" s="14">
        <v>1</v>
      </c>
      <c r="M897" s="14">
        <f t="shared" si="13"/>
        <v>1</v>
      </c>
      <c r="N897" s="7" t="s">
        <v>1007</v>
      </c>
      <c r="O897" s="12"/>
      <c r="P897" s="12" t="s">
        <v>130</v>
      </c>
    </row>
    <row r="898" spans="1:16" ht="247.5" hidden="1" customHeight="1" x14ac:dyDescent="0.35">
      <c r="A898" s="12">
        <v>4143</v>
      </c>
      <c r="B898" s="12" t="s">
        <v>100</v>
      </c>
      <c r="C898" s="12" t="s">
        <v>109</v>
      </c>
      <c r="D898" s="12" t="s">
        <v>110</v>
      </c>
      <c r="E898" s="12" t="s">
        <v>126</v>
      </c>
      <c r="F898" s="12" t="s">
        <v>39</v>
      </c>
      <c r="G898" s="12" t="s">
        <v>51</v>
      </c>
      <c r="H898" s="12">
        <v>31</v>
      </c>
      <c r="I898" s="13">
        <v>45897.470879629604</v>
      </c>
      <c r="J898" s="12" t="s">
        <v>127</v>
      </c>
      <c r="K898" s="12" t="s">
        <v>128</v>
      </c>
      <c r="L898" s="14">
        <v>1</v>
      </c>
      <c r="M898" s="14">
        <f t="shared" ref="M898:M961" si="14">IF(K898="Sem progresso",0,IF(OR(K898="Não avaliado",K898="Não se aplica",K898=""),"",L898))</f>
        <v>1</v>
      </c>
      <c r="N898" s="7" t="s">
        <v>1008</v>
      </c>
      <c r="O898" s="12"/>
      <c r="P898" s="12" t="s">
        <v>130</v>
      </c>
    </row>
    <row r="899" spans="1:16" ht="202.5" hidden="1" customHeight="1" x14ac:dyDescent="0.35">
      <c r="A899" s="12">
        <v>4165</v>
      </c>
      <c r="B899" s="12" t="s">
        <v>100</v>
      </c>
      <c r="C899" s="12" t="s">
        <v>109</v>
      </c>
      <c r="D899" s="12" t="s">
        <v>110</v>
      </c>
      <c r="E899" s="12" t="s">
        <v>131</v>
      </c>
      <c r="F899" s="12" t="s">
        <v>39</v>
      </c>
      <c r="G899" s="12" t="s">
        <v>51</v>
      </c>
      <c r="H899" s="12">
        <v>31</v>
      </c>
      <c r="I899" s="13">
        <v>45897.470879629604</v>
      </c>
      <c r="J899" s="12" t="s">
        <v>127</v>
      </c>
      <c r="K899" s="12" t="s">
        <v>128</v>
      </c>
      <c r="L899" s="14">
        <v>1</v>
      </c>
      <c r="M899" s="14">
        <f t="shared" si="14"/>
        <v>1</v>
      </c>
      <c r="N899" s="7" t="s">
        <v>1009</v>
      </c>
      <c r="O899" s="12"/>
      <c r="P899" s="12" t="s">
        <v>130</v>
      </c>
    </row>
    <row r="900" spans="1:16" ht="34.5" hidden="1" customHeight="1" x14ac:dyDescent="0.35">
      <c r="A900" s="12">
        <v>4289</v>
      </c>
      <c r="B900" s="12" t="s">
        <v>100</v>
      </c>
      <c r="C900" s="12" t="s">
        <v>111</v>
      </c>
      <c r="D900" s="12" t="s">
        <v>112</v>
      </c>
      <c r="E900" s="12" t="s">
        <v>126</v>
      </c>
      <c r="F900" s="12" t="s">
        <v>39</v>
      </c>
      <c r="G900" s="12" t="s">
        <v>51</v>
      </c>
      <c r="H900" s="12">
        <v>31</v>
      </c>
      <c r="I900" s="13">
        <v>45897.470879629604</v>
      </c>
      <c r="J900" s="12" t="s">
        <v>127</v>
      </c>
      <c r="K900" s="12" t="s">
        <v>132</v>
      </c>
      <c r="L900" s="14">
        <v>0.66600000000000004</v>
      </c>
      <c r="M900" s="14">
        <f t="shared" si="14"/>
        <v>0.66600000000000004</v>
      </c>
      <c r="N900" s="7" t="s">
        <v>1010</v>
      </c>
      <c r="O900" s="12"/>
      <c r="P900" s="12"/>
    </row>
    <row r="901" spans="1:16" ht="202.5" hidden="1" customHeight="1" x14ac:dyDescent="0.35">
      <c r="A901" s="12">
        <v>4464</v>
      </c>
      <c r="B901" s="12" t="s">
        <v>100</v>
      </c>
      <c r="C901" s="12" t="s">
        <v>111</v>
      </c>
      <c r="D901" s="12" t="s">
        <v>112</v>
      </c>
      <c r="E901" s="12" t="s">
        <v>131</v>
      </c>
      <c r="F901" s="12" t="s">
        <v>39</v>
      </c>
      <c r="G901" s="12" t="s">
        <v>51</v>
      </c>
      <c r="H901" s="12">
        <v>31</v>
      </c>
      <c r="I901" s="13">
        <v>45897.470879629604</v>
      </c>
      <c r="J901" s="12" t="s">
        <v>127</v>
      </c>
      <c r="K901" s="12" t="s">
        <v>132</v>
      </c>
      <c r="L901" s="14">
        <v>0.66600000000000004</v>
      </c>
      <c r="M901" s="14">
        <f t="shared" si="14"/>
        <v>0.66600000000000004</v>
      </c>
      <c r="N901" s="7" t="s">
        <v>1011</v>
      </c>
      <c r="O901" s="12"/>
      <c r="P901" s="12" t="s">
        <v>130</v>
      </c>
    </row>
    <row r="902" spans="1:16" ht="202.5" hidden="1" customHeight="1" x14ac:dyDescent="0.35">
      <c r="A902" s="12">
        <v>4495</v>
      </c>
      <c r="B902" s="12" t="s">
        <v>100</v>
      </c>
      <c r="C902" s="12" t="s">
        <v>111</v>
      </c>
      <c r="D902" s="12" t="s">
        <v>112</v>
      </c>
      <c r="E902" s="12" t="s">
        <v>134</v>
      </c>
      <c r="F902" s="12" t="s">
        <v>39</v>
      </c>
      <c r="G902" s="12" t="s">
        <v>51</v>
      </c>
      <c r="H902" s="12">
        <v>31</v>
      </c>
      <c r="I902" s="13">
        <v>45897.470879629604</v>
      </c>
      <c r="J902" s="12" t="s">
        <v>127</v>
      </c>
      <c r="K902" s="12" t="s">
        <v>132</v>
      </c>
      <c r="L902" s="14">
        <v>0.66600000000000004</v>
      </c>
      <c r="M902" s="14">
        <f t="shared" si="14"/>
        <v>0.66600000000000004</v>
      </c>
      <c r="N902" s="7" t="s">
        <v>1012</v>
      </c>
      <c r="O902" s="12"/>
      <c r="P902" s="12" t="s">
        <v>130</v>
      </c>
    </row>
    <row r="903" spans="1:16" ht="168.75" hidden="1" customHeight="1" x14ac:dyDescent="0.35">
      <c r="A903" s="12">
        <v>4581</v>
      </c>
      <c r="B903" s="12" t="s">
        <v>100</v>
      </c>
      <c r="C903" s="12" t="s">
        <v>113</v>
      </c>
      <c r="D903" s="12" t="s">
        <v>114</v>
      </c>
      <c r="E903" s="12" t="s">
        <v>126</v>
      </c>
      <c r="F903" s="12" t="s">
        <v>39</v>
      </c>
      <c r="G903" s="12" t="s">
        <v>51</v>
      </c>
      <c r="H903" s="12">
        <v>31</v>
      </c>
      <c r="I903" s="13">
        <v>45897.470879629604</v>
      </c>
      <c r="J903" s="12" t="s">
        <v>127</v>
      </c>
      <c r="K903" s="12" t="s">
        <v>128</v>
      </c>
      <c r="L903" s="14">
        <v>1</v>
      </c>
      <c r="M903" s="14">
        <f t="shared" si="14"/>
        <v>1</v>
      </c>
      <c r="N903" s="7" t="s">
        <v>1013</v>
      </c>
      <c r="O903" s="12"/>
      <c r="P903" s="12" t="s">
        <v>130</v>
      </c>
    </row>
    <row r="904" spans="1:16" ht="168.75" hidden="1" customHeight="1" x14ac:dyDescent="0.35">
      <c r="A904" s="12">
        <v>4701</v>
      </c>
      <c r="B904" s="12" t="s">
        <v>100</v>
      </c>
      <c r="C904" s="12" t="s">
        <v>113</v>
      </c>
      <c r="D904" s="12" t="s">
        <v>114</v>
      </c>
      <c r="E904" s="12" t="s">
        <v>131</v>
      </c>
      <c r="F904" s="12" t="s">
        <v>39</v>
      </c>
      <c r="G904" s="12" t="s">
        <v>51</v>
      </c>
      <c r="H904" s="12">
        <v>31</v>
      </c>
      <c r="I904" s="13">
        <v>45897.470879629604</v>
      </c>
      <c r="J904" s="12" t="s">
        <v>127</v>
      </c>
      <c r="K904" s="12" t="s">
        <v>128</v>
      </c>
      <c r="L904" s="14">
        <v>1</v>
      </c>
      <c r="M904" s="14">
        <f t="shared" si="14"/>
        <v>1</v>
      </c>
      <c r="N904" s="7" t="s">
        <v>1014</v>
      </c>
      <c r="O904" s="12"/>
      <c r="P904" s="12" t="s">
        <v>130</v>
      </c>
    </row>
    <row r="905" spans="1:16" ht="409.6" hidden="1" customHeight="1" x14ac:dyDescent="0.35">
      <c r="A905" s="12">
        <v>4721</v>
      </c>
      <c r="B905" s="12" t="s">
        <v>100</v>
      </c>
      <c r="C905" s="12" t="s">
        <v>113</v>
      </c>
      <c r="D905" s="12" t="s">
        <v>114</v>
      </c>
      <c r="E905" s="12" t="s">
        <v>134</v>
      </c>
      <c r="F905" s="12" t="s">
        <v>39</v>
      </c>
      <c r="G905" s="12" t="s">
        <v>51</v>
      </c>
      <c r="H905" s="12">
        <v>31</v>
      </c>
      <c r="I905" s="13">
        <v>45897.470879629604</v>
      </c>
      <c r="J905" s="12" t="s">
        <v>127</v>
      </c>
      <c r="K905" s="12" t="s">
        <v>132</v>
      </c>
      <c r="L905" s="14">
        <v>0.66600000000000004</v>
      </c>
      <c r="M905" s="14">
        <f t="shared" si="14"/>
        <v>0.66600000000000004</v>
      </c>
      <c r="N905" s="7" t="s">
        <v>1015</v>
      </c>
      <c r="O905" s="12"/>
      <c r="P905" s="12" t="s">
        <v>130</v>
      </c>
    </row>
    <row r="906" spans="1:16" ht="135.75" hidden="1" customHeight="1" x14ac:dyDescent="0.35">
      <c r="A906" s="12">
        <v>5763</v>
      </c>
      <c r="B906" s="12" t="s">
        <v>100</v>
      </c>
      <c r="C906" s="12" t="s">
        <v>101</v>
      </c>
      <c r="D906" s="12" t="s">
        <v>102</v>
      </c>
      <c r="E906" s="12" t="s">
        <v>126</v>
      </c>
      <c r="F906" s="12" t="s">
        <v>66</v>
      </c>
      <c r="G906" s="12" t="s">
        <v>79</v>
      </c>
      <c r="H906" s="12">
        <v>2408102</v>
      </c>
      <c r="I906" s="13">
        <v>45912.917916666702</v>
      </c>
      <c r="J906" s="12" t="s">
        <v>127</v>
      </c>
      <c r="K906" s="12" t="s">
        <v>128</v>
      </c>
      <c r="L906" s="14">
        <v>1</v>
      </c>
      <c r="M906" s="14">
        <f t="shared" si="14"/>
        <v>1</v>
      </c>
      <c r="N906" s="7" t="s">
        <v>1016</v>
      </c>
      <c r="O906" s="12"/>
      <c r="P906" s="12" t="s">
        <v>130</v>
      </c>
    </row>
    <row r="907" spans="1:16" ht="90.75" hidden="1" customHeight="1" x14ac:dyDescent="0.35">
      <c r="A907" s="12">
        <v>5764</v>
      </c>
      <c r="B907" s="12" t="s">
        <v>100</v>
      </c>
      <c r="C907" s="12" t="s">
        <v>101</v>
      </c>
      <c r="D907" s="12" t="s">
        <v>102</v>
      </c>
      <c r="E907" s="12" t="s">
        <v>131</v>
      </c>
      <c r="F907" s="12" t="s">
        <v>66</v>
      </c>
      <c r="G907" s="12" t="s">
        <v>79</v>
      </c>
      <c r="H907" s="12">
        <v>2408102</v>
      </c>
      <c r="I907" s="13">
        <v>45912.917916666702</v>
      </c>
      <c r="J907" s="12" t="s">
        <v>127</v>
      </c>
      <c r="K907" s="12" t="s">
        <v>128</v>
      </c>
      <c r="L907" s="14">
        <v>1</v>
      </c>
      <c r="M907" s="14">
        <f t="shared" si="14"/>
        <v>1</v>
      </c>
      <c r="N907" s="7" t="s">
        <v>1017</v>
      </c>
      <c r="O907" s="12"/>
      <c r="P907" s="12" t="s">
        <v>130</v>
      </c>
    </row>
    <row r="908" spans="1:16" ht="191.25" hidden="1" customHeight="1" x14ac:dyDescent="0.35">
      <c r="A908" s="12">
        <v>6208</v>
      </c>
      <c r="B908" s="12" t="s">
        <v>100</v>
      </c>
      <c r="C908" s="12" t="s">
        <v>101</v>
      </c>
      <c r="D908" s="12" t="s">
        <v>102</v>
      </c>
      <c r="E908" s="12" t="s">
        <v>134</v>
      </c>
      <c r="F908" s="12" t="s">
        <v>66</v>
      </c>
      <c r="G908" s="12" t="s">
        <v>79</v>
      </c>
      <c r="H908" s="12">
        <v>2408102</v>
      </c>
      <c r="I908" s="13">
        <v>45912.917916666702</v>
      </c>
      <c r="J908" s="12" t="s">
        <v>127</v>
      </c>
      <c r="K908" s="12" t="s">
        <v>132</v>
      </c>
      <c r="L908" s="14">
        <v>0.66600000000000004</v>
      </c>
      <c r="M908" s="14">
        <f t="shared" si="14"/>
        <v>0.66600000000000004</v>
      </c>
      <c r="N908" s="7" t="s">
        <v>1018</v>
      </c>
      <c r="O908" s="12"/>
      <c r="P908" s="12" t="s">
        <v>130</v>
      </c>
    </row>
    <row r="909" spans="1:16" ht="202.5" hidden="1" customHeight="1" x14ac:dyDescent="0.35">
      <c r="A909" s="12">
        <v>5782</v>
      </c>
      <c r="B909" s="12" t="s">
        <v>100</v>
      </c>
      <c r="C909" s="12" t="s">
        <v>103</v>
      </c>
      <c r="D909" s="12" t="s">
        <v>104</v>
      </c>
      <c r="E909" s="12" t="s">
        <v>126</v>
      </c>
      <c r="F909" s="12" t="s">
        <v>66</v>
      </c>
      <c r="G909" s="12" t="s">
        <v>79</v>
      </c>
      <c r="H909" s="12">
        <v>2408102</v>
      </c>
      <c r="I909" s="13">
        <v>45912.917916666702</v>
      </c>
      <c r="J909" s="12" t="s">
        <v>127</v>
      </c>
      <c r="K909" s="12" t="s">
        <v>132</v>
      </c>
      <c r="L909" s="14">
        <v>0.66600000000000004</v>
      </c>
      <c r="M909" s="14">
        <f t="shared" si="14"/>
        <v>0.66600000000000004</v>
      </c>
      <c r="N909" s="7" t="s">
        <v>1019</v>
      </c>
      <c r="O909" s="12"/>
      <c r="P909" s="12" t="s">
        <v>130</v>
      </c>
    </row>
    <row r="910" spans="1:16" ht="79.5" hidden="1" customHeight="1" x14ac:dyDescent="0.35">
      <c r="A910" s="12">
        <v>5768</v>
      </c>
      <c r="B910" s="12" t="s">
        <v>100</v>
      </c>
      <c r="C910" s="12" t="s">
        <v>103</v>
      </c>
      <c r="D910" s="12" t="s">
        <v>104</v>
      </c>
      <c r="E910" s="12" t="s">
        <v>131</v>
      </c>
      <c r="F910" s="12" t="s">
        <v>66</v>
      </c>
      <c r="G910" s="12" t="s">
        <v>79</v>
      </c>
      <c r="H910" s="12">
        <v>2408102</v>
      </c>
      <c r="I910" s="13">
        <v>45912.917916666702</v>
      </c>
      <c r="J910" s="12" t="s">
        <v>127</v>
      </c>
      <c r="K910" s="12" t="s">
        <v>132</v>
      </c>
      <c r="L910" s="14">
        <v>0.66600000000000004</v>
      </c>
      <c r="M910" s="14">
        <f t="shared" si="14"/>
        <v>0.66600000000000004</v>
      </c>
      <c r="N910" s="7" t="s">
        <v>1020</v>
      </c>
      <c r="O910" s="12"/>
      <c r="P910" s="12" t="s">
        <v>130</v>
      </c>
    </row>
    <row r="911" spans="1:16" ht="79.5" hidden="1" customHeight="1" x14ac:dyDescent="0.35">
      <c r="A911" s="12">
        <v>6195</v>
      </c>
      <c r="B911" s="12" t="s">
        <v>100</v>
      </c>
      <c r="C911" s="12" t="s">
        <v>103</v>
      </c>
      <c r="D911" s="12" t="s">
        <v>104</v>
      </c>
      <c r="E911" s="12" t="s">
        <v>134</v>
      </c>
      <c r="F911" s="12" t="s">
        <v>66</v>
      </c>
      <c r="G911" s="12" t="s">
        <v>79</v>
      </c>
      <c r="H911" s="12">
        <v>2408102</v>
      </c>
      <c r="I911" s="13">
        <v>45912.917916666702</v>
      </c>
      <c r="J911" s="12" t="s">
        <v>127</v>
      </c>
      <c r="K911" s="12" t="s">
        <v>135</v>
      </c>
      <c r="L911" s="14"/>
      <c r="M911" s="14">
        <f t="shared" si="14"/>
        <v>0</v>
      </c>
      <c r="N911" s="7" t="s">
        <v>1021</v>
      </c>
      <c r="O911" s="12"/>
      <c r="P911" s="12" t="s">
        <v>130</v>
      </c>
    </row>
    <row r="912" spans="1:16" ht="147" hidden="1" customHeight="1" x14ac:dyDescent="0.35">
      <c r="A912" s="12">
        <v>6189</v>
      </c>
      <c r="B912" s="12" t="s">
        <v>100</v>
      </c>
      <c r="C912" s="12" t="s">
        <v>105</v>
      </c>
      <c r="D912" s="12" t="s">
        <v>106</v>
      </c>
      <c r="E912" s="12" t="s">
        <v>126</v>
      </c>
      <c r="F912" s="12" t="s">
        <v>66</v>
      </c>
      <c r="G912" s="12" t="s">
        <v>79</v>
      </c>
      <c r="H912" s="12">
        <v>2408102</v>
      </c>
      <c r="I912" s="13">
        <v>45912.917916666702</v>
      </c>
      <c r="J912" s="12" t="s">
        <v>127</v>
      </c>
      <c r="K912" s="12" t="s">
        <v>128</v>
      </c>
      <c r="L912" s="14">
        <v>1</v>
      </c>
      <c r="M912" s="14">
        <f t="shared" si="14"/>
        <v>1</v>
      </c>
      <c r="N912" s="7" t="s">
        <v>1022</v>
      </c>
      <c r="O912" s="12"/>
      <c r="P912" s="12" t="s">
        <v>130</v>
      </c>
    </row>
    <row r="913" spans="1:16" ht="79.5" hidden="1" customHeight="1" x14ac:dyDescent="0.35">
      <c r="A913" s="12">
        <v>6191</v>
      </c>
      <c r="B913" s="12" t="s">
        <v>100</v>
      </c>
      <c r="C913" s="12" t="s">
        <v>105</v>
      </c>
      <c r="D913" s="12" t="s">
        <v>106</v>
      </c>
      <c r="E913" s="12" t="s">
        <v>131</v>
      </c>
      <c r="F913" s="12" t="s">
        <v>66</v>
      </c>
      <c r="G913" s="12" t="s">
        <v>79</v>
      </c>
      <c r="H913" s="12">
        <v>2408102</v>
      </c>
      <c r="I913" s="13">
        <v>45912.917916666702</v>
      </c>
      <c r="J913" s="12" t="s">
        <v>127</v>
      </c>
      <c r="K913" s="12" t="s">
        <v>135</v>
      </c>
      <c r="L913" s="14"/>
      <c r="M913" s="14">
        <f t="shared" si="14"/>
        <v>0</v>
      </c>
      <c r="N913" s="7" t="s">
        <v>1023</v>
      </c>
      <c r="O913" s="12"/>
      <c r="P913" s="12" t="s">
        <v>130</v>
      </c>
    </row>
    <row r="914" spans="1:16" ht="68.25" hidden="1" customHeight="1" x14ac:dyDescent="0.35">
      <c r="A914" s="12">
        <v>6216</v>
      </c>
      <c r="B914" s="12" t="s">
        <v>100</v>
      </c>
      <c r="C914" s="12" t="s">
        <v>107</v>
      </c>
      <c r="D914" s="12" t="s">
        <v>108</v>
      </c>
      <c r="E914" s="12" t="s">
        <v>126</v>
      </c>
      <c r="F914" s="12" t="s">
        <v>66</v>
      </c>
      <c r="G914" s="12" t="s">
        <v>79</v>
      </c>
      <c r="H914" s="12">
        <v>2408102</v>
      </c>
      <c r="I914" s="13">
        <v>45912.917916666702</v>
      </c>
      <c r="J914" s="12" t="s">
        <v>127</v>
      </c>
      <c r="K914" s="12" t="s">
        <v>128</v>
      </c>
      <c r="L914" s="14">
        <v>1</v>
      </c>
      <c r="M914" s="14">
        <f t="shared" si="14"/>
        <v>1</v>
      </c>
      <c r="N914" s="7" t="s">
        <v>1024</v>
      </c>
      <c r="O914" s="12"/>
      <c r="P914" s="12"/>
    </row>
    <row r="915" spans="1:16" ht="90.75" hidden="1" customHeight="1" x14ac:dyDescent="0.35">
      <c r="A915" s="12">
        <v>6217</v>
      </c>
      <c r="B915" s="12" t="s">
        <v>100</v>
      </c>
      <c r="C915" s="12" t="s">
        <v>107</v>
      </c>
      <c r="D915" s="12" t="s">
        <v>108</v>
      </c>
      <c r="E915" s="12" t="s">
        <v>131</v>
      </c>
      <c r="F915" s="12" t="s">
        <v>66</v>
      </c>
      <c r="G915" s="12" t="s">
        <v>79</v>
      </c>
      <c r="H915" s="12">
        <v>2408102</v>
      </c>
      <c r="I915" s="13">
        <v>45912.917916666702</v>
      </c>
      <c r="J915" s="12" t="s">
        <v>127</v>
      </c>
      <c r="K915" s="12" t="s">
        <v>142</v>
      </c>
      <c r="L915" s="14">
        <v>0.33300000000000002</v>
      </c>
      <c r="M915" s="14">
        <f t="shared" si="14"/>
        <v>0.33300000000000002</v>
      </c>
      <c r="N915" s="7" t="s">
        <v>1025</v>
      </c>
      <c r="O915" s="12"/>
      <c r="P915" s="12" t="s">
        <v>130</v>
      </c>
    </row>
    <row r="916" spans="1:16" ht="23.25" hidden="1" customHeight="1" x14ac:dyDescent="0.35">
      <c r="A916" s="12">
        <v>6222</v>
      </c>
      <c r="B916" s="12" t="s">
        <v>100</v>
      </c>
      <c r="C916" s="12" t="s">
        <v>107</v>
      </c>
      <c r="D916" s="12" t="s">
        <v>108</v>
      </c>
      <c r="E916" s="12" t="s">
        <v>134</v>
      </c>
      <c r="F916" s="12" t="s">
        <v>66</v>
      </c>
      <c r="G916" s="12" t="s">
        <v>79</v>
      </c>
      <c r="H916" s="12">
        <v>2408102</v>
      </c>
      <c r="I916" s="13">
        <v>45912.917916666702</v>
      </c>
      <c r="J916" s="12" t="s">
        <v>127</v>
      </c>
      <c r="K916" s="12" t="s">
        <v>135</v>
      </c>
      <c r="L916" s="14"/>
      <c r="M916" s="14">
        <f t="shared" si="14"/>
        <v>0</v>
      </c>
      <c r="N916" s="7" t="s">
        <v>1026</v>
      </c>
      <c r="O916" s="12"/>
      <c r="P916" s="12" t="s">
        <v>130</v>
      </c>
    </row>
    <row r="917" spans="1:16" ht="225" hidden="1" customHeight="1" x14ac:dyDescent="0.35">
      <c r="A917" s="12">
        <v>6199</v>
      </c>
      <c r="B917" s="12" t="s">
        <v>100</v>
      </c>
      <c r="C917" s="12" t="s">
        <v>109</v>
      </c>
      <c r="D917" s="12" t="s">
        <v>110</v>
      </c>
      <c r="E917" s="12" t="s">
        <v>126</v>
      </c>
      <c r="F917" s="12" t="s">
        <v>66</v>
      </c>
      <c r="G917" s="12" t="s">
        <v>79</v>
      </c>
      <c r="H917" s="12">
        <v>2408102</v>
      </c>
      <c r="I917" s="13">
        <v>45912.917916666702</v>
      </c>
      <c r="J917" s="12" t="s">
        <v>127</v>
      </c>
      <c r="K917" s="12" t="s">
        <v>132</v>
      </c>
      <c r="L917" s="14">
        <v>0.66600000000000004</v>
      </c>
      <c r="M917" s="14">
        <f t="shared" si="14"/>
        <v>0.66600000000000004</v>
      </c>
      <c r="N917" s="7" t="s">
        <v>1027</v>
      </c>
      <c r="O917" s="12"/>
      <c r="P917" s="12" t="s">
        <v>130</v>
      </c>
    </row>
    <row r="918" spans="1:16" ht="135.75" hidden="1" customHeight="1" x14ac:dyDescent="0.35">
      <c r="A918" s="12">
        <v>6223</v>
      </c>
      <c r="B918" s="12" t="s">
        <v>100</v>
      </c>
      <c r="C918" s="12" t="s">
        <v>109</v>
      </c>
      <c r="D918" s="12" t="s">
        <v>110</v>
      </c>
      <c r="E918" s="12" t="s">
        <v>131</v>
      </c>
      <c r="F918" s="12" t="s">
        <v>66</v>
      </c>
      <c r="G918" s="12" t="s">
        <v>79</v>
      </c>
      <c r="H918" s="12">
        <v>2408102</v>
      </c>
      <c r="I918" s="13">
        <v>45912.917916666702</v>
      </c>
      <c r="J918" s="12" t="s">
        <v>127</v>
      </c>
      <c r="K918" s="12" t="s">
        <v>132</v>
      </c>
      <c r="L918" s="14">
        <v>0.66600000000000004</v>
      </c>
      <c r="M918" s="14">
        <f t="shared" si="14"/>
        <v>0.66600000000000004</v>
      </c>
      <c r="N918" s="7" t="s">
        <v>1028</v>
      </c>
      <c r="O918" s="12"/>
      <c r="P918" s="12" t="s">
        <v>130</v>
      </c>
    </row>
    <row r="919" spans="1:16" ht="79.5" hidden="1" customHeight="1" x14ac:dyDescent="0.35">
      <c r="A919" s="12">
        <v>6224</v>
      </c>
      <c r="B919" s="12" t="s">
        <v>100</v>
      </c>
      <c r="C919" s="12" t="s">
        <v>111</v>
      </c>
      <c r="D919" s="12" t="s">
        <v>112</v>
      </c>
      <c r="E919" s="12" t="s">
        <v>126</v>
      </c>
      <c r="F919" s="12" t="s">
        <v>66</v>
      </c>
      <c r="G919" s="12" t="s">
        <v>79</v>
      </c>
      <c r="H919" s="12">
        <v>2408102</v>
      </c>
      <c r="I919" s="13">
        <v>45912.917916666702</v>
      </c>
      <c r="J919" s="12" t="s">
        <v>127</v>
      </c>
      <c r="K919" s="12" t="s">
        <v>132</v>
      </c>
      <c r="L919" s="14">
        <v>0.66600000000000004</v>
      </c>
      <c r="M919" s="14">
        <f t="shared" si="14"/>
        <v>0.66600000000000004</v>
      </c>
      <c r="N919" s="7" t="s">
        <v>1029</v>
      </c>
      <c r="O919" s="12"/>
      <c r="P919" s="12" t="s">
        <v>130</v>
      </c>
    </row>
    <row r="920" spans="1:16" ht="113.25" hidden="1" customHeight="1" x14ac:dyDescent="0.35">
      <c r="A920" s="12">
        <v>7084</v>
      </c>
      <c r="B920" s="12" t="s">
        <v>100</v>
      </c>
      <c r="C920" s="12" t="s">
        <v>111</v>
      </c>
      <c r="D920" s="12" t="s">
        <v>112</v>
      </c>
      <c r="E920" s="12" t="s">
        <v>131</v>
      </c>
      <c r="F920" s="12" t="s">
        <v>66</v>
      </c>
      <c r="G920" s="12" t="s">
        <v>79</v>
      </c>
      <c r="H920" s="12">
        <v>2408102</v>
      </c>
      <c r="I920" s="13">
        <v>45912.917916666702</v>
      </c>
      <c r="J920" s="12" t="s">
        <v>127</v>
      </c>
      <c r="K920" s="12" t="s">
        <v>142</v>
      </c>
      <c r="L920" s="14">
        <v>0.33300000000000002</v>
      </c>
      <c r="M920" s="14">
        <f t="shared" si="14"/>
        <v>0.33300000000000002</v>
      </c>
      <c r="N920" s="7" t="s">
        <v>1030</v>
      </c>
      <c r="O920" s="12"/>
      <c r="P920" s="12" t="s">
        <v>130</v>
      </c>
    </row>
    <row r="921" spans="1:16" ht="90.75" hidden="1" customHeight="1" x14ac:dyDescent="0.35">
      <c r="A921" s="12">
        <v>7085</v>
      </c>
      <c r="B921" s="12" t="s">
        <v>100</v>
      </c>
      <c r="C921" s="12" t="s">
        <v>111</v>
      </c>
      <c r="D921" s="12" t="s">
        <v>112</v>
      </c>
      <c r="E921" s="12" t="s">
        <v>134</v>
      </c>
      <c r="F921" s="12" t="s">
        <v>66</v>
      </c>
      <c r="G921" s="12" t="s">
        <v>79</v>
      </c>
      <c r="H921" s="12">
        <v>2408102</v>
      </c>
      <c r="I921" s="13">
        <v>45912.917916666702</v>
      </c>
      <c r="J921" s="12" t="s">
        <v>127</v>
      </c>
      <c r="K921" s="12" t="s">
        <v>135</v>
      </c>
      <c r="L921" s="14"/>
      <c r="M921" s="14">
        <f t="shared" si="14"/>
        <v>0</v>
      </c>
      <c r="N921" s="7" t="s">
        <v>1031</v>
      </c>
      <c r="O921" s="12"/>
      <c r="P921" s="12" t="s">
        <v>130</v>
      </c>
    </row>
    <row r="922" spans="1:16" ht="90.75" hidden="1" customHeight="1" x14ac:dyDescent="0.35">
      <c r="A922" s="12">
        <v>6041</v>
      </c>
      <c r="B922" s="12" t="s">
        <v>100</v>
      </c>
      <c r="C922" s="12" t="s">
        <v>113</v>
      </c>
      <c r="D922" s="12" t="s">
        <v>114</v>
      </c>
      <c r="E922" s="12" t="s">
        <v>126</v>
      </c>
      <c r="F922" s="12" t="s">
        <v>66</v>
      </c>
      <c r="G922" s="12" t="s">
        <v>79</v>
      </c>
      <c r="H922" s="12">
        <v>2408102</v>
      </c>
      <c r="I922" s="13">
        <v>45912.917916666702</v>
      </c>
      <c r="J922" s="12" t="s">
        <v>127</v>
      </c>
      <c r="K922" s="12" t="s">
        <v>132</v>
      </c>
      <c r="L922" s="14">
        <v>0.66600000000000004</v>
      </c>
      <c r="M922" s="14">
        <f t="shared" si="14"/>
        <v>0.66600000000000004</v>
      </c>
      <c r="N922" s="7" t="s">
        <v>1032</v>
      </c>
      <c r="O922" s="12"/>
      <c r="P922" s="12" t="s">
        <v>130</v>
      </c>
    </row>
    <row r="923" spans="1:16" ht="168.75" hidden="1" customHeight="1" x14ac:dyDescent="0.35">
      <c r="A923" s="12">
        <v>6021</v>
      </c>
      <c r="B923" s="12" t="s">
        <v>100</v>
      </c>
      <c r="C923" s="12" t="s">
        <v>113</v>
      </c>
      <c r="D923" s="12" t="s">
        <v>114</v>
      </c>
      <c r="E923" s="12" t="s">
        <v>131</v>
      </c>
      <c r="F923" s="12" t="s">
        <v>66</v>
      </c>
      <c r="G923" s="12" t="s">
        <v>79</v>
      </c>
      <c r="H923" s="12">
        <v>2408102</v>
      </c>
      <c r="I923" s="13">
        <v>45912.917916666702</v>
      </c>
      <c r="J923" s="12" t="s">
        <v>127</v>
      </c>
      <c r="K923" s="12" t="s">
        <v>132</v>
      </c>
      <c r="L923" s="14">
        <v>0.66600000000000004</v>
      </c>
      <c r="M923" s="14">
        <f t="shared" si="14"/>
        <v>0.66600000000000004</v>
      </c>
      <c r="N923" s="7" t="s">
        <v>1033</v>
      </c>
      <c r="O923" s="12"/>
      <c r="P923" s="12" t="s">
        <v>130</v>
      </c>
    </row>
    <row r="924" spans="1:16" ht="15" hidden="1" customHeight="1" x14ac:dyDescent="0.35">
      <c r="A924" s="12">
        <v>4707</v>
      </c>
      <c r="B924" s="12" t="s">
        <v>100</v>
      </c>
      <c r="C924" s="12" t="s">
        <v>113</v>
      </c>
      <c r="D924" s="12" t="s">
        <v>114</v>
      </c>
      <c r="E924" s="12" t="s">
        <v>134</v>
      </c>
      <c r="F924" s="12" t="s">
        <v>66</v>
      </c>
      <c r="G924" s="12" t="s">
        <v>79</v>
      </c>
      <c r="H924" s="12">
        <v>2408102</v>
      </c>
      <c r="I924" s="13">
        <v>45912.917916666702</v>
      </c>
      <c r="J924" s="12" t="s">
        <v>127</v>
      </c>
      <c r="K924" s="12" t="s">
        <v>688</v>
      </c>
      <c r="L924" s="14"/>
      <c r="M924" s="14" t="str">
        <f t="shared" si="14"/>
        <v/>
      </c>
      <c r="N924" s="7" t="s">
        <v>1034</v>
      </c>
      <c r="O924" s="12"/>
      <c r="P924" s="12" t="s">
        <v>130</v>
      </c>
    </row>
    <row r="925" spans="1:16" ht="15" hidden="1" customHeight="1" x14ac:dyDescent="0.35">
      <c r="A925" s="12">
        <v>6568</v>
      </c>
      <c r="B925" s="12" t="s">
        <v>100</v>
      </c>
      <c r="C925" s="12" t="s">
        <v>101</v>
      </c>
      <c r="D925" s="12" t="s">
        <v>102</v>
      </c>
      <c r="E925" s="12" t="s">
        <v>126</v>
      </c>
      <c r="F925" s="12" t="s">
        <v>66</v>
      </c>
      <c r="G925" s="12" t="s">
        <v>80</v>
      </c>
      <c r="H925" s="12">
        <v>1721000</v>
      </c>
      <c r="I925" s="13">
        <v>45912.7438078704</v>
      </c>
      <c r="J925" s="12" t="s">
        <v>127</v>
      </c>
      <c r="K925" s="12" t="s">
        <v>128</v>
      </c>
      <c r="L925" s="14">
        <v>1</v>
      </c>
      <c r="M925" s="14">
        <f t="shared" si="14"/>
        <v>1</v>
      </c>
      <c r="N925" s="7" t="s">
        <v>1035</v>
      </c>
      <c r="O925" s="12"/>
      <c r="P925" s="12"/>
    </row>
    <row r="926" spans="1:16" ht="34.5" hidden="1" customHeight="1" x14ac:dyDescent="0.35">
      <c r="A926" s="12">
        <v>6688</v>
      </c>
      <c r="B926" s="12" t="s">
        <v>100</v>
      </c>
      <c r="C926" s="12" t="s">
        <v>101</v>
      </c>
      <c r="D926" s="12" t="s">
        <v>102</v>
      </c>
      <c r="E926" s="12" t="s">
        <v>131</v>
      </c>
      <c r="F926" s="12" t="s">
        <v>66</v>
      </c>
      <c r="G926" s="12" t="s">
        <v>80</v>
      </c>
      <c r="H926" s="12">
        <v>1721000</v>
      </c>
      <c r="I926" s="13">
        <v>45912.7438078704</v>
      </c>
      <c r="J926" s="12" t="s">
        <v>127</v>
      </c>
      <c r="K926" s="12" t="s">
        <v>135</v>
      </c>
      <c r="L926" s="14"/>
      <c r="M926" s="14">
        <f t="shared" si="14"/>
        <v>0</v>
      </c>
      <c r="N926" s="7" t="s">
        <v>1036</v>
      </c>
      <c r="O926" s="12"/>
      <c r="P926" s="12" t="s">
        <v>130</v>
      </c>
    </row>
    <row r="927" spans="1:16" ht="79.5" hidden="1" customHeight="1" x14ac:dyDescent="0.35">
      <c r="A927" s="12">
        <v>6691</v>
      </c>
      <c r="B927" s="12" t="s">
        <v>100</v>
      </c>
      <c r="C927" s="12" t="s">
        <v>101</v>
      </c>
      <c r="D927" s="12" t="s">
        <v>102</v>
      </c>
      <c r="E927" s="12" t="s">
        <v>134</v>
      </c>
      <c r="F927" s="12" t="s">
        <v>66</v>
      </c>
      <c r="G927" s="12" t="s">
        <v>80</v>
      </c>
      <c r="H927" s="12">
        <v>1721000</v>
      </c>
      <c r="I927" s="13">
        <v>45912.7438078704</v>
      </c>
      <c r="J927" s="12" t="s">
        <v>127</v>
      </c>
      <c r="K927" s="12" t="s">
        <v>128</v>
      </c>
      <c r="L927" s="14">
        <v>1</v>
      </c>
      <c r="M927" s="14">
        <f t="shared" si="14"/>
        <v>1</v>
      </c>
      <c r="N927" s="7" t="s">
        <v>1037</v>
      </c>
      <c r="O927" s="12"/>
      <c r="P927" s="12" t="s">
        <v>130</v>
      </c>
    </row>
    <row r="928" spans="1:16" ht="57" hidden="1" customHeight="1" x14ac:dyDescent="0.35">
      <c r="A928" s="12">
        <v>6694</v>
      </c>
      <c r="B928" s="12" t="s">
        <v>100</v>
      </c>
      <c r="C928" s="12" t="s">
        <v>103</v>
      </c>
      <c r="D928" s="12" t="s">
        <v>104</v>
      </c>
      <c r="E928" s="12" t="s">
        <v>126</v>
      </c>
      <c r="F928" s="12" t="s">
        <v>66</v>
      </c>
      <c r="G928" s="12" t="s">
        <v>80</v>
      </c>
      <c r="H928" s="12">
        <v>1721000</v>
      </c>
      <c r="I928" s="13">
        <v>45912.7438078704</v>
      </c>
      <c r="J928" s="12" t="s">
        <v>127</v>
      </c>
      <c r="K928" s="12" t="s">
        <v>132</v>
      </c>
      <c r="L928" s="14">
        <v>0.66600000000000004</v>
      </c>
      <c r="M928" s="14">
        <f t="shared" si="14"/>
        <v>0.66600000000000004</v>
      </c>
      <c r="N928" s="7" t="s">
        <v>1038</v>
      </c>
      <c r="O928" s="12"/>
      <c r="P928" s="12" t="s">
        <v>130</v>
      </c>
    </row>
    <row r="929" spans="1:16" ht="90.75" hidden="1" customHeight="1" x14ac:dyDescent="0.35">
      <c r="A929" s="12">
        <v>6699</v>
      </c>
      <c r="B929" s="12" t="s">
        <v>100</v>
      </c>
      <c r="C929" s="12" t="s">
        <v>103</v>
      </c>
      <c r="D929" s="12" t="s">
        <v>104</v>
      </c>
      <c r="E929" s="12" t="s">
        <v>131</v>
      </c>
      <c r="F929" s="12" t="s">
        <v>66</v>
      </c>
      <c r="G929" s="12" t="s">
        <v>80</v>
      </c>
      <c r="H929" s="12">
        <v>1721000</v>
      </c>
      <c r="I929" s="13">
        <v>45912.7438078704</v>
      </c>
      <c r="J929" s="12" t="s">
        <v>127</v>
      </c>
      <c r="K929" s="12" t="s">
        <v>128</v>
      </c>
      <c r="L929" s="14">
        <v>1</v>
      </c>
      <c r="M929" s="14">
        <f t="shared" si="14"/>
        <v>1</v>
      </c>
      <c r="N929" s="7" t="s">
        <v>1039</v>
      </c>
      <c r="O929" s="12"/>
      <c r="P929" s="12" t="s">
        <v>130</v>
      </c>
    </row>
    <row r="930" spans="1:16" ht="34.5" hidden="1" customHeight="1" x14ac:dyDescent="0.35">
      <c r="A930" s="12">
        <v>6709</v>
      </c>
      <c r="B930" s="12" t="s">
        <v>100</v>
      </c>
      <c r="C930" s="12" t="s">
        <v>103</v>
      </c>
      <c r="D930" s="12" t="s">
        <v>104</v>
      </c>
      <c r="E930" s="12" t="s">
        <v>134</v>
      </c>
      <c r="F930" s="12" t="s">
        <v>66</v>
      </c>
      <c r="G930" s="12" t="s">
        <v>80</v>
      </c>
      <c r="H930" s="12">
        <v>1721000</v>
      </c>
      <c r="I930" s="13">
        <v>45912.7438078704</v>
      </c>
      <c r="J930" s="12" t="s">
        <v>127</v>
      </c>
      <c r="K930" s="12" t="s">
        <v>128</v>
      </c>
      <c r="L930" s="14">
        <v>1</v>
      </c>
      <c r="M930" s="14">
        <f t="shared" si="14"/>
        <v>1</v>
      </c>
      <c r="N930" s="7" t="s">
        <v>1040</v>
      </c>
      <c r="O930" s="12"/>
      <c r="P930" s="12" t="s">
        <v>130</v>
      </c>
    </row>
    <row r="931" spans="1:16" ht="68.25" hidden="1" customHeight="1" x14ac:dyDescent="0.35">
      <c r="A931" s="12">
        <v>6729</v>
      </c>
      <c r="B931" s="12" t="s">
        <v>100</v>
      </c>
      <c r="C931" s="12" t="s">
        <v>105</v>
      </c>
      <c r="D931" s="12" t="s">
        <v>106</v>
      </c>
      <c r="E931" s="12" t="s">
        <v>126</v>
      </c>
      <c r="F931" s="12" t="s">
        <v>66</v>
      </c>
      <c r="G931" s="12" t="s">
        <v>80</v>
      </c>
      <c r="H931" s="12">
        <v>1721000</v>
      </c>
      <c r="I931" s="13">
        <v>45912.7438078704</v>
      </c>
      <c r="J931" s="12" t="s">
        <v>127</v>
      </c>
      <c r="K931" s="12" t="s">
        <v>142</v>
      </c>
      <c r="L931" s="14">
        <v>0.33300000000000002</v>
      </c>
      <c r="M931" s="14">
        <f t="shared" si="14"/>
        <v>0.33300000000000002</v>
      </c>
      <c r="N931" s="7" t="s">
        <v>1041</v>
      </c>
      <c r="O931" s="12"/>
      <c r="P931" s="12" t="s">
        <v>130</v>
      </c>
    </row>
    <row r="932" spans="1:16" ht="102" hidden="1" customHeight="1" x14ac:dyDescent="0.35">
      <c r="A932" s="12">
        <v>6741</v>
      </c>
      <c r="B932" s="12" t="s">
        <v>100</v>
      </c>
      <c r="C932" s="12" t="s">
        <v>105</v>
      </c>
      <c r="D932" s="12" t="s">
        <v>106</v>
      </c>
      <c r="E932" s="12" t="s">
        <v>131</v>
      </c>
      <c r="F932" s="12" t="s">
        <v>66</v>
      </c>
      <c r="G932" s="12" t="s">
        <v>80</v>
      </c>
      <c r="H932" s="12">
        <v>1721000</v>
      </c>
      <c r="I932" s="13">
        <v>45912.7438078704</v>
      </c>
      <c r="J932" s="12" t="s">
        <v>127</v>
      </c>
      <c r="K932" s="12" t="s">
        <v>142</v>
      </c>
      <c r="L932" s="14">
        <v>0.33300000000000002</v>
      </c>
      <c r="M932" s="14">
        <f t="shared" si="14"/>
        <v>0.33300000000000002</v>
      </c>
      <c r="N932" s="7" t="s">
        <v>1042</v>
      </c>
      <c r="O932" s="12"/>
      <c r="P932" s="12" t="s">
        <v>130</v>
      </c>
    </row>
    <row r="933" spans="1:16" ht="57" hidden="1" customHeight="1" x14ac:dyDescent="0.35">
      <c r="A933" s="12">
        <v>7042</v>
      </c>
      <c r="B933" s="12" t="s">
        <v>100</v>
      </c>
      <c r="C933" s="12" t="s">
        <v>107</v>
      </c>
      <c r="D933" s="12" t="s">
        <v>108</v>
      </c>
      <c r="E933" s="12" t="s">
        <v>126</v>
      </c>
      <c r="F933" s="12" t="s">
        <v>66</v>
      </c>
      <c r="G933" s="12" t="s">
        <v>80</v>
      </c>
      <c r="H933" s="12">
        <v>1721000</v>
      </c>
      <c r="I933" s="13">
        <v>45912.7438078704</v>
      </c>
      <c r="J933" s="12" t="s">
        <v>127</v>
      </c>
      <c r="K933" s="12" t="s">
        <v>142</v>
      </c>
      <c r="L933" s="14">
        <v>0.33300000000000002</v>
      </c>
      <c r="M933" s="14">
        <f t="shared" si="14"/>
        <v>0.33300000000000002</v>
      </c>
      <c r="N933" s="7" t="s">
        <v>1043</v>
      </c>
      <c r="O933" s="12"/>
      <c r="P933" s="12" t="s">
        <v>130</v>
      </c>
    </row>
    <row r="934" spans="1:16" ht="57" hidden="1" customHeight="1" x14ac:dyDescent="0.35">
      <c r="A934" s="12">
        <v>7044</v>
      </c>
      <c r="B934" s="12" t="s">
        <v>100</v>
      </c>
      <c r="C934" s="12" t="s">
        <v>107</v>
      </c>
      <c r="D934" s="12" t="s">
        <v>108</v>
      </c>
      <c r="E934" s="12" t="s">
        <v>131</v>
      </c>
      <c r="F934" s="12" t="s">
        <v>66</v>
      </c>
      <c r="G934" s="12" t="s">
        <v>80</v>
      </c>
      <c r="H934" s="12">
        <v>1721000</v>
      </c>
      <c r="I934" s="13">
        <v>45912.7438078704</v>
      </c>
      <c r="J934" s="12" t="s">
        <v>127</v>
      </c>
      <c r="K934" s="12" t="s">
        <v>128</v>
      </c>
      <c r="L934" s="14">
        <v>1</v>
      </c>
      <c r="M934" s="14">
        <f t="shared" si="14"/>
        <v>1</v>
      </c>
      <c r="N934" s="7" t="s">
        <v>1044</v>
      </c>
      <c r="O934" s="12"/>
      <c r="P934" s="12" t="s">
        <v>130</v>
      </c>
    </row>
    <row r="935" spans="1:16" ht="15" hidden="1" customHeight="1" x14ac:dyDescent="0.35">
      <c r="A935" s="12">
        <v>7072</v>
      </c>
      <c r="B935" s="12" t="s">
        <v>100</v>
      </c>
      <c r="C935" s="12" t="s">
        <v>107</v>
      </c>
      <c r="D935" s="12" t="s">
        <v>108</v>
      </c>
      <c r="E935" s="12" t="s">
        <v>134</v>
      </c>
      <c r="F935" s="12" t="s">
        <v>66</v>
      </c>
      <c r="G935" s="12" t="s">
        <v>80</v>
      </c>
      <c r="H935" s="12">
        <v>1721000</v>
      </c>
      <c r="I935" s="13">
        <v>45912.7438078704</v>
      </c>
      <c r="J935" s="12" t="s">
        <v>127</v>
      </c>
      <c r="K935" s="12" t="s">
        <v>135</v>
      </c>
      <c r="L935" s="14"/>
      <c r="M935" s="14">
        <f t="shared" si="14"/>
        <v>0</v>
      </c>
      <c r="N935" s="7" t="s">
        <v>1045</v>
      </c>
      <c r="O935" s="12"/>
      <c r="P935" s="12" t="s">
        <v>130</v>
      </c>
    </row>
    <row r="936" spans="1:16" ht="113.25" hidden="1" customHeight="1" x14ac:dyDescent="0.35">
      <c r="A936" s="12">
        <v>7091</v>
      </c>
      <c r="B936" s="12" t="s">
        <v>100</v>
      </c>
      <c r="C936" s="12" t="s">
        <v>109</v>
      </c>
      <c r="D936" s="12" t="s">
        <v>110</v>
      </c>
      <c r="E936" s="12" t="s">
        <v>126</v>
      </c>
      <c r="F936" s="12" t="s">
        <v>66</v>
      </c>
      <c r="G936" s="12" t="s">
        <v>80</v>
      </c>
      <c r="H936" s="12">
        <v>1721000</v>
      </c>
      <c r="I936" s="13">
        <v>45912.7438078704</v>
      </c>
      <c r="J936" s="12" t="s">
        <v>127</v>
      </c>
      <c r="K936" s="12" t="s">
        <v>142</v>
      </c>
      <c r="L936" s="14">
        <v>0.33300000000000002</v>
      </c>
      <c r="M936" s="14">
        <f t="shared" si="14"/>
        <v>0.33300000000000002</v>
      </c>
      <c r="N936" s="7" t="s">
        <v>1046</v>
      </c>
      <c r="O936" s="12"/>
      <c r="P936" s="12" t="s">
        <v>130</v>
      </c>
    </row>
    <row r="937" spans="1:16" ht="68.25" hidden="1" customHeight="1" x14ac:dyDescent="0.35">
      <c r="A937" s="12">
        <v>7096</v>
      </c>
      <c r="B937" s="12" t="s">
        <v>100</v>
      </c>
      <c r="C937" s="12" t="s">
        <v>109</v>
      </c>
      <c r="D937" s="12" t="s">
        <v>110</v>
      </c>
      <c r="E937" s="12" t="s">
        <v>131</v>
      </c>
      <c r="F937" s="12" t="s">
        <v>66</v>
      </c>
      <c r="G937" s="12" t="s">
        <v>80</v>
      </c>
      <c r="H937" s="12">
        <v>1721000</v>
      </c>
      <c r="I937" s="13">
        <v>45912.7438078704</v>
      </c>
      <c r="J937" s="12" t="s">
        <v>127</v>
      </c>
      <c r="K937" s="12" t="s">
        <v>132</v>
      </c>
      <c r="L937" s="14">
        <v>0.66600000000000004</v>
      </c>
      <c r="M937" s="14">
        <f t="shared" si="14"/>
        <v>0.66600000000000004</v>
      </c>
      <c r="N937" s="7" t="s">
        <v>1047</v>
      </c>
      <c r="O937" s="12"/>
      <c r="P937" s="12" t="s">
        <v>130</v>
      </c>
    </row>
    <row r="938" spans="1:16" ht="34.5" hidden="1" customHeight="1" x14ac:dyDescent="0.35">
      <c r="A938" s="12">
        <v>7404</v>
      </c>
      <c r="B938" s="12" t="s">
        <v>100</v>
      </c>
      <c r="C938" s="12" t="s">
        <v>111</v>
      </c>
      <c r="D938" s="12" t="s">
        <v>112</v>
      </c>
      <c r="E938" s="12" t="s">
        <v>126</v>
      </c>
      <c r="F938" s="12" t="s">
        <v>66</v>
      </c>
      <c r="G938" s="12" t="s">
        <v>80</v>
      </c>
      <c r="H938" s="12">
        <v>1721000</v>
      </c>
      <c r="I938" s="13">
        <v>45912.7438078704</v>
      </c>
      <c r="J938" s="12" t="s">
        <v>127</v>
      </c>
      <c r="K938" s="12" t="s">
        <v>142</v>
      </c>
      <c r="L938" s="14">
        <v>0.33300000000000002</v>
      </c>
      <c r="M938" s="14">
        <f t="shared" si="14"/>
        <v>0.33300000000000002</v>
      </c>
      <c r="N938" s="7" t="s">
        <v>1048</v>
      </c>
      <c r="O938" s="12"/>
      <c r="P938" s="12"/>
    </row>
    <row r="939" spans="1:16" ht="57" hidden="1" customHeight="1" x14ac:dyDescent="0.35">
      <c r="A939" s="12">
        <v>7426</v>
      </c>
      <c r="B939" s="12" t="s">
        <v>100</v>
      </c>
      <c r="C939" s="12" t="s">
        <v>111</v>
      </c>
      <c r="D939" s="12" t="s">
        <v>112</v>
      </c>
      <c r="E939" s="12" t="s">
        <v>131</v>
      </c>
      <c r="F939" s="12" t="s">
        <v>66</v>
      </c>
      <c r="G939" s="12" t="s">
        <v>80</v>
      </c>
      <c r="H939" s="12">
        <v>1721000</v>
      </c>
      <c r="I939" s="13">
        <v>45912.7438078704</v>
      </c>
      <c r="J939" s="12" t="s">
        <v>127</v>
      </c>
      <c r="K939" s="12" t="s">
        <v>135</v>
      </c>
      <c r="L939" s="14"/>
      <c r="M939" s="14">
        <f t="shared" si="14"/>
        <v>0</v>
      </c>
      <c r="N939" s="7" t="s">
        <v>1049</v>
      </c>
      <c r="O939" s="12"/>
      <c r="P939" s="12" t="s">
        <v>130</v>
      </c>
    </row>
    <row r="940" spans="1:16" ht="57" hidden="1" customHeight="1" x14ac:dyDescent="0.35">
      <c r="A940" s="12">
        <v>7427</v>
      </c>
      <c r="B940" s="12" t="s">
        <v>100</v>
      </c>
      <c r="C940" s="12" t="s">
        <v>111</v>
      </c>
      <c r="D940" s="12" t="s">
        <v>112</v>
      </c>
      <c r="E940" s="12" t="s">
        <v>134</v>
      </c>
      <c r="F940" s="12" t="s">
        <v>66</v>
      </c>
      <c r="G940" s="12" t="s">
        <v>80</v>
      </c>
      <c r="H940" s="12">
        <v>1721000</v>
      </c>
      <c r="I940" s="13">
        <v>45912.7438078704</v>
      </c>
      <c r="J940" s="12" t="s">
        <v>127</v>
      </c>
      <c r="K940" s="12" t="s">
        <v>135</v>
      </c>
      <c r="L940" s="14"/>
      <c r="M940" s="14">
        <f t="shared" si="14"/>
        <v>0</v>
      </c>
      <c r="N940" s="7" t="s">
        <v>1050</v>
      </c>
      <c r="O940" s="12"/>
      <c r="P940" s="12" t="s">
        <v>130</v>
      </c>
    </row>
    <row r="941" spans="1:16" ht="68.25" hidden="1" customHeight="1" x14ac:dyDescent="0.35">
      <c r="A941" s="12">
        <v>7443</v>
      </c>
      <c r="B941" s="12" t="s">
        <v>100</v>
      </c>
      <c r="C941" s="12" t="s">
        <v>113</v>
      </c>
      <c r="D941" s="12" t="s">
        <v>114</v>
      </c>
      <c r="E941" s="12" t="s">
        <v>126</v>
      </c>
      <c r="F941" s="12" t="s">
        <v>66</v>
      </c>
      <c r="G941" s="12" t="s">
        <v>80</v>
      </c>
      <c r="H941" s="12">
        <v>1721000</v>
      </c>
      <c r="I941" s="13">
        <v>45912.7438078704</v>
      </c>
      <c r="J941" s="12" t="s">
        <v>127</v>
      </c>
      <c r="K941" s="12" t="s">
        <v>142</v>
      </c>
      <c r="L941" s="14">
        <v>0.33300000000000002</v>
      </c>
      <c r="M941" s="14">
        <f t="shared" si="14"/>
        <v>0.33300000000000002</v>
      </c>
      <c r="N941" s="7" t="s">
        <v>1051</v>
      </c>
      <c r="O941" s="12"/>
      <c r="P941" s="12" t="s">
        <v>130</v>
      </c>
    </row>
    <row r="942" spans="1:16" ht="23.25" hidden="1" customHeight="1" x14ac:dyDescent="0.35">
      <c r="A942" s="12">
        <v>7435</v>
      </c>
      <c r="B942" s="12" t="s">
        <v>100</v>
      </c>
      <c r="C942" s="12" t="s">
        <v>113</v>
      </c>
      <c r="D942" s="12" t="s">
        <v>114</v>
      </c>
      <c r="E942" s="12" t="s">
        <v>131</v>
      </c>
      <c r="F942" s="12" t="s">
        <v>66</v>
      </c>
      <c r="G942" s="12" t="s">
        <v>80</v>
      </c>
      <c r="H942" s="12">
        <v>1721000</v>
      </c>
      <c r="I942" s="13">
        <v>45912.7438078704</v>
      </c>
      <c r="J942" s="12" t="s">
        <v>127</v>
      </c>
      <c r="K942" s="12" t="s">
        <v>135</v>
      </c>
      <c r="L942" s="14"/>
      <c r="M942" s="14">
        <f t="shared" si="14"/>
        <v>0</v>
      </c>
      <c r="N942" s="7" t="s">
        <v>1052</v>
      </c>
      <c r="O942" s="12"/>
      <c r="P942" s="12" t="s">
        <v>130</v>
      </c>
    </row>
    <row r="943" spans="1:16" ht="15" hidden="1" customHeight="1" x14ac:dyDescent="0.35">
      <c r="A943" s="12">
        <v>7436</v>
      </c>
      <c r="B943" s="12" t="s">
        <v>100</v>
      </c>
      <c r="C943" s="12" t="s">
        <v>113</v>
      </c>
      <c r="D943" s="12" t="s">
        <v>114</v>
      </c>
      <c r="E943" s="12" t="s">
        <v>134</v>
      </c>
      <c r="F943" s="12" t="s">
        <v>66</v>
      </c>
      <c r="G943" s="12" t="s">
        <v>80</v>
      </c>
      <c r="H943" s="12">
        <v>1721000</v>
      </c>
      <c r="I943" s="13">
        <v>45912.7438078704</v>
      </c>
      <c r="J943" s="12" t="s">
        <v>127</v>
      </c>
      <c r="K943" s="12" t="s">
        <v>688</v>
      </c>
      <c r="L943" s="14"/>
      <c r="M943" s="14" t="str">
        <f t="shared" si="14"/>
        <v/>
      </c>
      <c r="N943" s="7" t="s">
        <v>1053</v>
      </c>
      <c r="O943" s="12"/>
      <c r="P943" s="12" t="s">
        <v>130</v>
      </c>
    </row>
    <row r="944" spans="1:16" ht="102" hidden="1" customHeight="1" x14ac:dyDescent="0.35">
      <c r="A944" s="12">
        <v>1642</v>
      </c>
      <c r="B944" s="12" t="s">
        <v>100</v>
      </c>
      <c r="C944" s="12" t="s">
        <v>101</v>
      </c>
      <c r="D944" s="12" t="s">
        <v>102</v>
      </c>
      <c r="E944" s="12" t="s">
        <v>126</v>
      </c>
      <c r="F944" s="12" t="s">
        <v>39</v>
      </c>
      <c r="G944" s="12" t="s">
        <v>52</v>
      </c>
      <c r="H944" s="12">
        <v>41</v>
      </c>
      <c r="I944" s="13">
        <v>45917.899907407402</v>
      </c>
      <c r="J944" s="12" t="s">
        <v>127</v>
      </c>
      <c r="K944" s="12" t="s">
        <v>128</v>
      </c>
      <c r="L944" s="14">
        <v>1</v>
      </c>
      <c r="M944" s="14">
        <f t="shared" si="14"/>
        <v>1</v>
      </c>
      <c r="N944" s="7" t="s">
        <v>1054</v>
      </c>
      <c r="O944" s="12"/>
      <c r="P944" s="12" t="s">
        <v>130</v>
      </c>
    </row>
    <row r="945" spans="1:16" ht="202.5" hidden="1" customHeight="1" x14ac:dyDescent="0.35">
      <c r="A945" s="12">
        <v>8581</v>
      </c>
      <c r="B945" s="12" t="s">
        <v>100</v>
      </c>
      <c r="C945" s="12" t="s">
        <v>101</v>
      </c>
      <c r="D945" s="12" t="s">
        <v>102</v>
      </c>
      <c r="E945" s="12" t="s">
        <v>131</v>
      </c>
      <c r="F945" s="12" t="s">
        <v>39</v>
      </c>
      <c r="G945" s="12" t="s">
        <v>52</v>
      </c>
      <c r="H945" s="12">
        <v>41</v>
      </c>
      <c r="I945" s="13">
        <v>45917.899907407402</v>
      </c>
      <c r="J945" s="12" t="s">
        <v>127</v>
      </c>
      <c r="K945" s="12" t="s">
        <v>128</v>
      </c>
      <c r="L945" s="14">
        <v>1</v>
      </c>
      <c r="M945" s="14">
        <f t="shared" si="14"/>
        <v>1</v>
      </c>
      <c r="N945" s="7" t="s">
        <v>1055</v>
      </c>
      <c r="O945" s="12"/>
      <c r="P945" s="12" t="s">
        <v>130</v>
      </c>
    </row>
    <row r="946" spans="1:16" ht="57" hidden="1" customHeight="1" x14ac:dyDescent="0.35">
      <c r="A946" s="12">
        <v>8582</v>
      </c>
      <c r="B946" s="12" t="s">
        <v>100</v>
      </c>
      <c r="C946" s="12" t="s">
        <v>101</v>
      </c>
      <c r="D946" s="12" t="s">
        <v>102</v>
      </c>
      <c r="E946" s="12" t="s">
        <v>134</v>
      </c>
      <c r="F946" s="12" t="s">
        <v>39</v>
      </c>
      <c r="G946" s="12" t="s">
        <v>52</v>
      </c>
      <c r="H946" s="12">
        <v>41</v>
      </c>
      <c r="I946" s="13">
        <v>45917.899907407402</v>
      </c>
      <c r="J946" s="12" t="s">
        <v>127</v>
      </c>
      <c r="K946" s="12" t="s">
        <v>128</v>
      </c>
      <c r="L946" s="14">
        <v>1</v>
      </c>
      <c r="M946" s="14">
        <f t="shared" si="14"/>
        <v>1</v>
      </c>
      <c r="N946" s="7" t="s">
        <v>1056</v>
      </c>
      <c r="O946" s="12"/>
      <c r="P946" s="12"/>
    </row>
    <row r="947" spans="1:16" ht="135.75" hidden="1" customHeight="1" x14ac:dyDescent="0.35">
      <c r="A947" s="12">
        <v>8621</v>
      </c>
      <c r="B947" s="12" t="s">
        <v>100</v>
      </c>
      <c r="C947" s="12" t="s">
        <v>103</v>
      </c>
      <c r="D947" s="12" t="s">
        <v>104</v>
      </c>
      <c r="E947" s="12" t="s">
        <v>126</v>
      </c>
      <c r="F947" s="12" t="s">
        <v>39</v>
      </c>
      <c r="G947" s="12" t="s">
        <v>52</v>
      </c>
      <c r="H947" s="12">
        <v>41</v>
      </c>
      <c r="I947" s="13">
        <v>45917.899907407402</v>
      </c>
      <c r="J947" s="12" t="s">
        <v>127</v>
      </c>
      <c r="K947" s="12" t="s">
        <v>128</v>
      </c>
      <c r="L947" s="14">
        <v>1</v>
      </c>
      <c r="M947" s="14">
        <f t="shared" si="14"/>
        <v>1</v>
      </c>
      <c r="N947" s="7" t="s">
        <v>1057</v>
      </c>
      <c r="O947" s="12"/>
      <c r="P947" s="12" t="s">
        <v>130</v>
      </c>
    </row>
    <row r="948" spans="1:16" ht="102" hidden="1" customHeight="1" x14ac:dyDescent="0.35">
      <c r="A948" s="12">
        <v>8661</v>
      </c>
      <c r="B948" s="12" t="s">
        <v>100</v>
      </c>
      <c r="C948" s="12" t="s">
        <v>103</v>
      </c>
      <c r="D948" s="12" t="s">
        <v>104</v>
      </c>
      <c r="E948" s="12" t="s">
        <v>131</v>
      </c>
      <c r="F948" s="12" t="s">
        <v>39</v>
      </c>
      <c r="G948" s="12" t="s">
        <v>52</v>
      </c>
      <c r="H948" s="12">
        <v>41</v>
      </c>
      <c r="I948" s="13">
        <v>45917.899907407402</v>
      </c>
      <c r="J948" s="12" t="s">
        <v>127</v>
      </c>
      <c r="K948" s="12" t="s">
        <v>128</v>
      </c>
      <c r="L948" s="14">
        <v>1</v>
      </c>
      <c r="M948" s="14">
        <f t="shared" si="14"/>
        <v>1</v>
      </c>
      <c r="N948" s="7" t="s">
        <v>1058</v>
      </c>
      <c r="O948" s="12"/>
      <c r="P948" s="12" t="s">
        <v>130</v>
      </c>
    </row>
    <row r="949" spans="1:16" ht="135.75" hidden="1" customHeight="1" x14ac:dyDescent="0.35">
      <c r="A949" s="12">
        <v>2581</v>
      </c>
      <c r="B949" s="12" t="s">
        <v>100</v>
      </c>
      <c r="C949" s="12" t="s">
        <v>103</v>
      </c>
      <c r="D949" s="12" t="s">
        <v>104</v>
      </c>
      <c r="E949" s="12" t="s">
        <v>134</v>
      </c>
      <c r="F949" s="12" t="s">
        <v>39</v>
      </c>
      <c r="G949" s="12" t="s">
        <v>52</v>
      </c>
      <c r="H949" s="12">
        <v>41</v>
      </c>
      <c r="I949" s="13">
        <v>45917.899907407402</v>
      </c>
      <c r="J949" s="12" t="s">
        <v>127</v>
      </c>
      <c r="K949" s="12" t="s">
        <v>128</v>
      </c>
      <c r="L949" s="14">
        <v>1</v>
      </c>
      <c r="M949" s="14">
        <f t="shared" si="14"/>
        <v>1</v>
      </c>
      <c r="N949" s="7" t="s">
        <v>1059</v>
      </c>
      <c r="O949" s="12"/>
      <c r="P949" s="12"/>
    </row>
    <row r="950" spans="1:16" ht="124.5" hidden="1" customHeight="1" x14ac:dyDescent="0.35">
      <c r="A950" s="12">
        <v>8681</v>
      </c>
      <c r="B950" s="12" t="s">
        <v>100</v>
      </c>
      <c r="C950" s="12" t="s">
        <v>105</v>
      </c>
      <c r="D950" s="12" t="s">
        <v>106</v>
      </c>
      <c r="E950" s="12" t="s">
        <v>126</v>
      </c>
      <c r="F950" s="12" t="s">
        <v>39</v>
      </c>
      <c r="G950" s="12" t="s">
        <v>52</v>
      </c>
      <c r="H950" s="12">
        <v>41</v>
      </c>
      <c r="I950" s="13">
        <v>45917.899907407402</v>
      </c>
      <c r="J950" s="12" t="s">
        <v>127</v>
      </c>
      <c r="K950" s="12" t="s">
        <v>128</v>
      </c>
      <c r="L950" s="14">
        <v>1</v>
      </c>
      <c r="M950" s="14">
        <f t="shared" si="14"/>
        <v>1</v>
      </c>
      <c r="N950" s="7" t="s">
        <v>1060</v>
      </c>
      <c r="O950" s="12"/>
      <c r="P950" s="12" t="s">
        <v>130</v>
      </c>
    </row>
    <row r="951" spans="1:16" ht="225" hidden="1" customHeight="1" x14ac:dyDescent="0.35">
      <c r="A951" s="12">
        <v>8701</v>
      </c>
      <c r="B951" s="12" t="s">
        <v>100</v>
      </c>
      <c r="C951" s="12" t="s">
        <v>105</v>
      </c>
      <c r="D951" s="12" t="s">
        <v>106</v>
      </c>
      <c r="E951" s="12" t="s">
        <v>131</v>
      </c>
      <c r="F951" s="12" t="s">
        <v>39</v>
      </c>
      <c r="G951" s="12" t="s">
        <v>52</v>
      </c>
      <c r="H951" s="12">
        <v>41</v>
      </c>
      <c r="I951" s="13">
        <v>45917.899907407402</v>
      </c>
      <c r="J951" s="12" t="s">
        <v>127</v>
      </c>
      <c r="K951" s="12" t="s">
        <v>132</v>
      </c>
      <c r="L951" s="14">
        <v>0.66600000000000004</v>
      </c>
      <c r="M951" s="14">
        <f t="shared" si="14"/>
        <v>0.66600000000000004</v>
      </c>
      <c r="N951" s="7" t="s">
        <v>1061</v>
      </c>
      <c r="O951" s="12"/>
      <c r="P951" s="12" t="s">
        <v>130</v>
      </c>
    </row>
    <row r="952" spans="1:16" ht="90.75" hidden="1" customHeight="1" x14ac:dyDescent="0.35">
      <c r="A952" s="12">
        <v>8702</v>
      </c>
      <c r="B952" s="12" t="s">
        <v>100</v>
      </c>
      <c r="C952" s="12" t="s">
        <v>107</v>
      </c>
      <c r="D952" s="12" t="s">
        <v>108</v>
      </c>
      <c r="E952" s="12" t="s">
        <v>126</v>
      </c>
      <c r="F952" s="12" t="s">
        <v>39</v>
      </c>
      <c r="G952" s="12" t="s">
        <v>52</v>
      </c>
      <c r="H952" s="12">
        <v>41</v>
      </c>
      <c r="I952" s="13">
        <v>45917.899907407402</v>
      </c>
      <c r="J952" s="12" t="s">
        <v>127</v>
      </c>
      <c r="K952" s="12" t="s">
        <v>128</v>
      </c>
      <c r="L952" s="14">
        <v>1</v>
      </c>
      <c r="M952" s="14">
        <f t="shared" si="14"/>
        <v>1</v>
      </c>
      <c r="N952" s="7" t="s">
        <v>1062</v>
      </c>
      <c r="O952" s="12"/>
      <c r="P952" s="12" t="s">
        <v>130</v>
      </c>
    </row>
    <row r="953" spans="1:16" ht="213.75" hidden="1" customHeight="1" x14ac:dyDescent="0.35">
      <c r="A953" s="12">
        <v>8704</v>
      </c>
      <c r="B953" s="12" t="s">
        <v>100</v>
      </c>
      <c r="C953" s="12" t="s">
        <v>107</v>
      </c>
      <c r="D953" s="12" t="s">
        <v>108</v>
      </c>
      <c r="E953" s="12" t="s">
        <v>131</v>
      </c>
      <c r="F953" s="12" t="s">
        <v>39</v>
      </c>
      <c r="G953" s="12" t="s">
        <v>52</v>
      </c>
      <c r="H953" s="12">
        <v>41</v>
      </c>
      <c r="I953" s="13">
        <v>45917.899907407402</v>
      </c>
      <c r="J953" s="12" t="s">
        <v>127</v>
      </c>
      <c r="K953" s="12" t="s">
        <v>128</v>
      </c>
      <c r="L953" s="14">
        <v>1</v>
      </c>
      <c r="M953" s="14">
        <f t="shared" si="14"/>
        <v>1</v>
      </c>
      <c r="N953" s="7" t="s">
        <v>1063</v>
      </c>
      <c r="O953" s="12"/>
      <c r="P953" s="12" t="s">
        <v>130</v>
      </c>
    </row>
    <row r="954" spans="1:16" ht="168.75" hidden="1" customHeight="1" x14ac:dyDescent="0.35">
      <c r="A954" s="12">
        <v>8683</v>
      </c>
      <c r="B954" s="12" t="s">
        <v>100</v>
      </c>
      <c r="C954" s="12" t="s">
        <v>107</v>
      </c>
      <c r="D954" s="12" t="s">
        <v>108</v>
      </c>
      <c r="E954" s="12" t="s">
        <v>134</v>
      </c>
      <c r="F954" s="12" t="s">
        <v>39</v>
      </c>
      <c r="G954" s="12" t="s">
        <v>52</v>
      </c>
      <c r="H954" s="12">
        <v>41</v>
      </c>
      <c r="I954" s="13">
        <v>45917.899907407402</v>
      </c>
      <c r="J954" s="12" t="s">
        <v>127</v>
      </c>
      <c r="K954" s="12" t="s">
        <v>128</v>
      </c>
      <c r="L954" s="14">
        <v>1</v>
      </c>
      <c r="M954" s="14">
        <f t="shared" si="14"/>
        <v>1</v>
      </c>
      <c r="N954" s="7" t="s">
        <v>1064</v>
      </c>
      <c r="O954" s="12"/>
      <c r="P954" s="12" t="s">
        <v>130</v>
      </c>
    </row>
    <row r="955" spans="1:16" ht="213.75" hidden="1" customHeight="1" x14ac:dyDescent="0.35">
      <c r="A955" s="12">
        <v>8705</v>
      </c>
      <c r="B955" s="12" t="s">
        <v>100</v>
      </c>
      <c r="C955" s="12" t="s">
        <v>109</v>
      </c>
      <c r="D955" s="12" t="s">
        <v>110</v>
      </c>
      <c r="E955" s="12" t="s">
        <v>126</v>
      </c>
      <c r="F955" s="12" t="s">
        <v>39</v>
      </c>
      <c r="G955" s="12" t="s">
        <v>52</v>
      </c>
      <c r="H955" s="12">
        <v>41</v>
      </c>
      <c r="I955" s="13">
        <v>45917.899907407402</v>
      </c>
      <c r="J955" s="12" t="s">
        <v>127</v>
      </c>
      <c r="K955" s="12" t="s">
        <v>132</v>
      </c>
      <c r="L955" s="14">
        <v>0.66600000000000004</v>
      </c>
      <c r="M955" s="14">
        <f t="shared" si="14"/>
        <v>0.66600000000000004</v>
      </c>
      <c r="N955" s="7" t="s">
        <v>1065</v>
      </c>
      <c r="O955" s="12"/>
      <c r="P955" s="12" t="s">
        <v>130</v>
      </c>
    </row>
    <row r="956" spans="1:16" ht="168.75" hidden="1" customHeight="1" x14ac:dyDescent="0.35">
      <c r="A956" s="12">
        <v>8721</v>
      </c>
      <c r="B956" s="12" t="s">
        <v>100</v>
      </c>
      <c r="C956" s="12" t="s">
        <v>109</v>
      </c>
      <c r="D956" s="12" t="s">
        <v>110</v>
      </c>
      <c r="E956" s="12" t="s">
        <v>131</v>
      </c>
      <c r="F956" s="12" t="s">
        <v>39</v>
      </c>
      <c r="G956" s="12" t="s">
        <v>52</v>
      </c>
      <c r="H956" s="12">
        <v>41</v>
      </c>
      <c r="I956" s="13">
        <v>45917.899907407402</v>
      </c>
      <c r="J956" s="12" t="s">
        <v>127</v>
      </c>
      <c r="K956" s="12" t="s">
        <v>132</v>
      </c>
      <c r="L956" s="14">
        <v>0.66600000000000004</v>
      </c>
      <c r="M956" s="14">
        <f t="shared" si="14"/>
        <v>0.66600000000000004</v>
      </c>
      <c r="N956" s="7" t="s">
        <v>1066</v>
      </c>
      <c r="O956" s="12"/>
      <c r="P956" s="12" t="s">
        <v>130</v>
      </c>
    </row>
    <row r="957" spans="1:16" ht="34.5" hidden="1" customHeight="1" x14ac:dyDescent="0.35">
      <c r="A957" s="12">
        <v>8722</v>
      </c>
      <c r="B957" s="12" t="s">
        <v>100</v>
      </c>
      <c r="C957" s="12" t="s">
        <v>111</v>
      </c>
      <c r="D957" s="12" t="s">
        <v>112</v>
      </c>
      <c r="E957" s="12" t="s">
        <v>126</v>
      </c>
      <c r="F957" s="12" t="s">
        <v>39</v>
      </c>
      <c r="G957" s="12" t="s">
        <v>52</v>
      </c>
      <c r="H957" s="12">
        <v>41</v>
      </c>
      <c r="I957" s="13">
        <v>45917.899907407402</v>
      </c>
      <c r="J957" s="12" t="s">
        <v>127</v>
      </c>
      <c r="K957" s="12" t="s">
        <v>132</v>
      </c>
      <c r="L957" s="14">
        <v>0.66600000000000004</v>
      </c>
      <c r="M957" s="14">
        <f t="shared" si="14"/>
        <v>0.66600000000000004</v>
      </c>
      <c r="N957" s="7" t="s">
        <v>1067</v>
      </c>
      <c r="O957" s="12"/>
      <c r="P957" s="12"/>
    </row>
    <row r="958" spans="1:16" ht="113.25" hidden="1" customHeight="1" x14ac:dyDescent="0.35">
      <c r="A958" s="12">
        <v>8724</v>
      </c>
      <c r="B958" s="12" t="s">
        <v>100</v>
      </c>
      <c r="C958" s="12" t="s">
        <v>111</v>
      </c>
      <c r="D958" s="12" t="s">
        <v>112</v>
      </c>
      <c r="E958" s="12" t="s">
        <v>131</v>
      </c>
      <c r="F958" s="12" t="s">
        <v>39</v>
      </c>
      <c r="G958" s="12" t="s">
        <v>52</v>
      </c>
      <c r="H958" s="12">
        <v>41</v>
      </c>
      <c r="I958" s="13">
        <v>45917.899907407402</v>
      </c>
      <c r="J958" s="12" t="s">
        <v>127</v>
      </c>
      <c r="K958" s="12" t="s">
        <v>132</v>
      </c>
      <c r="L958" s="14">
        <v>0.66600000000000004</v>
      </c>
      <c r="M958" s="14">
        <f t="shared" si="14"/>
        <v>0.66600000000000004</v>
      </c>
      <c r="N958" s="7" t="s">
        <v>1068</v>
      </c>
      <c r="O958" s="12"/>
      <c r="P958" s="12" t="s">
        <v>130</v>
      </c>
    </row>
    <row r="959" spans="1:16" ht="202.5" hidden="1" customHeight="1" x14ac:dyDescent="0.35">
      <c r="A959" s="12">
        <v>8723</v>
      </c>
      <c r="B959" s="12" t="s">
        <v>100</v>
      </c>
      <c r="C959" s="12" t="s">
        <v>111</v>
      </c>
      <c r="D959" s="12" t="s">
        <v>112</v>
      </c>
      <c r="E959" s="12" t="s">
        <v>134</v>
      </c>
      <c r="F959" s="12" t="s">
        <v>39</v>
      </c>
      <c r="G959" s="12" t="s">
        <v>52</v>
      </c>
      <c r="H959" s="12">
        <v>41</v>
      </c>
      <c r="I959" s="13">
        <v>45917.899907407402</v>
      </c>
      <c r="J959" s="12" t="s">
        <v>127</v>
      </c>
      <c r="K959" s="12" t="s">
        <v>135</v>
      </c>
      <c r="L959" s="14"/>
      <c r="M959" s="14">
        <f t="shared" si="14"/>
        <v>0</v>
      </c>
      <c r="N959" s="7" t="s">
        <v>1069</v>
      </c>
      <c r="O959" s="12"/>
      <c r="P959" s="12" t="s">
        <v>130</v>
      </c>
    </row>
    <row r="960" spans="1:16" ht="34.5" hidden="1" customHeight="1" x14ac:dyDescent="0.35">
      <c r="A960" s="12">
        <v>8647</v>
      </c>
      <c r="B960" s="12" t="s">
        <v>100</v>
      </c>
      <c r="C960" s="12" t="s">
        <v>113</v>
      </c>
      <c r="D960" s="12" t="s">
        <v>114</v>
      </c>
      <c r="E960" s="12" t="s">
        <v>126</v>
      </c>
      <c r="F960" s="12" t="s">
        <v>39</v>
      </c>
      <c r="G960" s="12" t="s">
        <v>52</v>
      </c>
      <c r="H960" s="12">
        <v>41</v>
      </c>
      <c r="I960" s="13">
        <v>45917.899907407402</v>
      </c>
      <c r="J960" s="12" t="s">
        <v>127</v>
      </c>
      <c r="K960" s="12" t="s">
        <v>128</v>
      </c>
      <c r="L960" s="14">
        <v>1</v>
      </c>
      <c r="M960" s="14">
        <f t="shared" si="14"/>
        <v>1</v>
      </c>
      <c r="N960" s="7" t="s">
        <v>1070</v>
      </c>
      <c r="O960" s="12"/>
      <c r="P960" s="12"/>
    </row>
    <row r="961" spans="1:16" ht="157.5" hidden="1" customHeight="1" x14ac:dyDescent="0.35">
      <c r="A961" s="12">
        <v>8682</v>
      </c>
      <c r="B961" s="12" t="s">
        <v>100</v>
      </c>
      <c r="C961" s="12" t="s">
        <v>113</v>
      </c>
      <c r="D961" s="12" t="s">
        <v>114</v>
      </c>
      <c r="E961" s="12" t="s">
        <v>131</v>
      </c>
      <c r="F961" s="12" t="s">
        <v>39</v>
      </c>
      <c r="G961" s="12" t="s">
        <v>52</v>
      </c>
      <c r="H961" s="12">
        <v>41</v>
      </c>
      <c r="I961" s="13">
        <v>45917.899907407402</v>
      </c>
      <c r="J961" s="12" t="s">
        <v>127</v>
      </c>
      <c r="K961" s="12" t="s">
        <v>142</v>
      </c>
      <c r="L961" s="14">
        <v>0.33300000000000002</v>
      </c>
      <c r="M961" s="14">
        <f t="shared" si="14"/>
        <v>0.33300000000000002</v>
      </c>
      <c r="N961" s="7" t="s">
        <v>1071</v>
      </c>
      <c r="O961" s="12"/>
      <c r="P961" s="12" t="s">
        <v>130</v>
      </c>
    </row>
    <row r="962" spans="1:16" ht="213.75" hidden="1" customHeight="1" x14ac:dyDescent="0.35">
      <c r="A962" s="12">
        <v>8703</v>
      </c>
      <c r="B962" s="12" t="s">
        <v>100</v>
      </c>
      <c r="C962" s="12" t="s">
        <v>113</v>
      </c>
      <c r="D962" s="12" t="s">
        <v>114</v>
      </c>
      <c r="E962" s="12" t="s">
        <v>134</v>
      </c>
      <c r="F962" s="12" t="s">
        <v>39</v>
      </c>
      <c r="G962" s="12" t="s">
        <v>52</v>
      </c>
      <c r="H962" s="12">
        <v>41</v>
      </c>
      <c r="I962" s="13">
        <v>45917.899907407402</v>
      </c>
      <c r="J962" s="12" t="s">
        <v>127</v>
      </c>
      <c r="K962" s="12" t="s">
        <v>142</v>
      </c>
      <c r="L962" s="14">
        <v>0.33300000000000002</v>
      </c>
      <c r="M962" s="14">
        <f t="shared" ref="M962:M1025" si="15">IF(K962="Sem progresso",0,IF(OR(K962="Não avaliado",K962="Não se aplica",K962=""),"",L962))</f>
        <v>0.33300000000000002</v>
      </c>
      <c r="N962" s="7" t="s">
        <v>1072</v>
      </c>
      <c r="O962" s="12"/>
      <c r="P962" s="12" t="s">
        <v>130</v>
      </c>
    </row>
    <row r="963" spans="1:16" ht="102" hidden="1" customHeight="1" x14ac:dyDescent="0.35">
      <c r="A963" s="12">
        <v>2341</v>
      </c>
      <c r="B963" s="12" t="s">
        <v>100</v>
      </c>
      <c r="C963" s="12" t="s">
        <v>101</v>
      </c>
      <c r="D963" s="12" t="s">
        <v>102</v>
      </c>
      <c r="E963" s="12" t="s">
        <v>126</v>
      </c>
      <c r="F963" s="12" t="s">
        <v>39</v>
      </c>
      <c r="G963" s="12" t="s">
        <v>53</v>
      </c>
      <c r="H963" s="12">
        <v>25</v>
      </c>
      <c r="I963" s="13">
        <v>45909.450138888897</v>
      </c>
      <c r="J963" s="12" t="s">
        <v>127</v>
      </c>
      <c r="K963" s="12" t="s">
        <v>132</v>
      </c>
      <c r="L963" s="14">
        <v>0.66600000000000004</v>
      </c>
      <c r="M963" s="14">
        <f t="shared" si="15"/>
        <v>0.66600000000000004</v>
      </c>
      <c r="N963" s="7" t="s">
        <v>1073</v>
      </c>
      <c r="O963" s="12"/>
      <c r="P963" s="12" t="s">
        <v>130</v>
      </c>
    </row>
    <row r="964" spans="1:16" ht="102" hidden="1" customHeight="1" x14ac:dyDescent="0.35">
      <c r="A964" s="12">
        <v>2361</v>
      </c>
      <c r="B964" s="12" t="s">
        <v>100</v>
      </c>
      <c r="C964" s="12" t="s">
        <v>101</v>
      </c>
      <c r="D964" s="12" t="s">
        <v>102</v>
      </c>
      <c r="E964" s="12" t="s">
        <v>131</v>
      </c>
      <c r="F964" s="12" t="s">
        <v>39</v>
      </c>
      <c r="G964" s="12" t="s">
        <v>53</v>
      </c>
      <c r="H964" s="12">
        <v>25</v>
      </c>
      <c r="I964" s="13">
        <v>45909.450138888897</v>
      </c>
      <c r="J964" s="12" t="s">
        <v>127</v>
      </c>
      <c r="K964" s="12" t="s">
        <v>135</v>
      </c>
      <c r="L964" s="14"/>
      <c r="M964" s="14">
        <f t="shared" si="15"/>
        <v>0</v>
      </c>
      <c r="N964" s="7" t="s">
        <v>1074</v>
      </c>
      <c r="O964" s="12"/>
      <c r="P964" s="12" t="s">
        <v>130</v>
      </c>
    </row>
    <row r="965" spans="1:16" ht="102" hidden="1" customHeight="1" x14ac:dyDescent="0.35">
      <c r="A965" s="12">
        <v>2381</v>
      </c>
      <c r="B965" s="12" t="s">
        <v>100</v>
      </c>
      <c r="C965" s="12" t="s">
        <v>101</v>
      </c>
      <c r="D965" s="12" t="s">
        <v>102</v>
      </c>
      <c r="E965" s="12" t="s">
        <v>134</v>
      </c>
      <c r="F965" s="12" t="s">
        <v>39</v>
      </c>
      <c r="G965" s="12" t="s">
        <v>53</v>
      </c>
      <c r="H965" s="12">
        <v>25</v>
      </c>
      <c r="I965" s="13">
        <v>45909.450138888897</v>
      </c>
      <c r="J965" s="12" t="s">
        <v>127</v>
      </c>
      <c r="K965" s="12" t="s">
        <v>132</v>
      </c>
      <c r="L965" s="14">
        <v>0.66600000000000004</v>
      </c>
      <c r="M965" s="14">
        <f t="shared" si="15"/>
        <v>0.66600000000000004</v>
      </c>
      <c r="N965" s="7" t="s">
        <v>1075</v>
      </c>
      <c r="O965" s="12"/>
      <c r="P965" s="12" t="s">
        <v>130</v>
      </c>
    </row>
    <row r="966" spans="1:16" ht="57" hidden="1" customHeight="1" x14ac:dyDescent="0.35">
      <c r="A966" s="12">
        <v>2401</v>
      </c>
      <c r="B966" s="12" t="s">
        <v>100</v>
      </c>
      <c r="C966" s="12" t="s">
        <v>103</v>
      </c>
      <c r="D966" s="12" t="s">
        <v>104</v>
      </c>
      <c r="E966" s="12" t="s">
        <v>126</v>
      </c>
      <c r="F966" s="12" t="s">
        <v>39</v>
      </c>
      <c r="G966" s="12" t="s">
        <v>53</v>
      </c>
      <c r="H966" s="12">
        <v>25</v>
      </c>
      <c r="I966" s="13">
        <v>45909.450138888897</v>
      </c>
      <c r="J966" s="12" t="s">
        <v>127</v>
      </c>
      <c r="K966" s="12" t="s">
        <v>132</v>
      </c>
      <c r="L966" s="14">
        <v>0.66600000000000004</v>
      </c>
      <c r="M966" s="14">
        <f t="shared" si="15"/>
        <v>0.66600000000000004</v>
      </c>
      <c r="N966" s="7" t="s">
        <v>1076</v>
      </c>
      <c r="O966" s="12"/>
      <c r="P966" s="12" t="s">
        <v>130</v>
      </c>
    </row>
    <row r="967" spans="1:16" ht="45.75" hidden="1" customHeight="1" x14ac:dyDescent="0.35">
      <c r="A967" s="12">
        <v>2421</v>
      </c>
      <c r="B967" s="12" t="s">
        <v>100</v>
      </c>
      <c r="C967" s="12" t="s">
        <v>103</v>
      </c>
      <c r="D967" s="12" t="s">
        <v>104</v>
      </c>
      <c r="E967" s="12" t="s">
        <v>131</v>
      </c>
      <c r="F967" s="12" t="s">
        <v>39</v>
      </c>
      <c r="G967" s="12" t="s">
        <v>53</v>
      </c>
      <c r="H967" s="12">
        <v>25</v>
      </c>
      <c r="I967" s="13">
        <v>45909.450138888897</v>
      </c>
      <c r="J967" s="12" t="s">
        <v>127</v>
      </c>
      <c r="K967" s="12" t="s">
        <v>142</v>
      </c>
      <c r="L967" s="14">
        <v>0.33300000000000002</v>
      </c>
      <c r="M967" s="14">
        <f t="shared" si="15"/>
        <v>0.33300000000000002</v>
      </c>
      <c r="N967" s="7" t="s">
        <v>1077</v>
      </c>
      <c r="O967" s="12"/>
      <c r="P967" s="12" t="s">
        <v>130</v>
      </c>
    </row>
    <row r="968" spans="1:16" ht="34.5" hidden="1" customHeight="1" x14ac:dyDescent="0.35">
      <c r="A968" s="12">
        <v>2402</v>
      </c>
      <c r="B968" s="12" t="s">
        <v>100</v>
      </c>
      <c r="C968" s="12" t="s">
        <v>103</v>
      </c>
      <c r="D968" s="12" t="s">
        <v>104</v>
      </c>
      <c r="E968" s="12" t="s">
        <v>134</v>
      </c>
      <c r="F968" s="12" t="s">
        <v>39</v>
      </c>
      <c r="G968" s="12" t="s">
        <v>53</v>
      </c>
      <c r="H968" s="12">
        <v>25</v>
      </c>
      <c r="I968" s="13">
        <v>45909.450138888897</v>
      </c>
      <c r="J968" s="12" t="s">
        <v>127</v>
      </c>
      <c r="K968" s="12" t="s">
        <v>132</v>
      </c>
      <c r="L968" s="14">
        <v>0.66600000000000004</v>
      </c>
      <c r="M968" s="14">
        <f t="shared" si="15"/>
        <v>0.66600000000000004</v>
      </c>
      <c r="N968" s="7" t="s">
        <v>1078</v>
      </c>
      <c r="O968" s="12"/>
      <c r="P968" s="12" t="s">
        <v>130</v>
      </c>
    </row>
    <row r="969" spans="1:16" ht="124.5" hidden="1" customHeight="1" x14ac:dyDescent="0.35">
      <c r="A969" s="12">
        <v>8862</v>
      </c>
      <c r="B969" s="12" t="s">
        <v>100</v>
      </c>
      <c r="C969" s="12" t="s">
        <v>105</v>
      </c>
      <c r="D969" s="12" t="s">
        <v>106</v>
      </c>
      <c r="E969" s="12" t="s">
        <v>126</v>
      </c>
      <c r="F969" s="12" t="s">
        <v>39</v>
      </c>
      <c r="G969" s="12" t="s">
        <v>53</v>
      </c>
      <c r="H969" s="12">
        <v>25</v>
      </c>
      <c r="I969" s="13">
        <v>45909.450138888897</v>
      </c>
      <c r="J969" s="12" t="s">
        <v>127</v>
      </c>
      <c r="K969" s="12" t="s">
        <v>135</v>
      </c>
      <c r="L969" s="14"/>
      <c r="M969" s="14">
        <f t="shared" si="15"/>
        <v>0</v>
      </c>
      <c r="N969" s="7" t="s">
        <v>1079</v>
      </c>
      <c r="O969" s="12"/>
      <c r="P969" s="12" t="s">
        <v>130</v>
      </c>
    </row>
    <row r="970" spans="1:16" ht="15" hidden="1" customHeight="1" x14ac:dyDescent="0.35">
      <c r="A970" s="12">
        <v>8863</v>
      </c>
      <c r="B970" s="12" t="s">
        <v>100</v>
      </c>
      <c r="C970" s="12" t="s">
        <v>105</v>
      </c>
      <c r="D970" s="12" t="s">
        <v>106</v>
      </c>
      <c r="E970" s="12" t="s">
        <v>131</v>
      </c>
      <c r="F970" s="12" t="s">
        <v>39</v>
      </c>
      <c r="G970" s="12" t="s">
        <v>53</v>
      </c>
      <c r="H970" s="12">
        <v>25</v>
      </c>
      <c r="I970" s="13">
        <v>45909.450138888897</v>
      </c>
      <c r="J970" s="12" t="s">
        <v>127</v>
      </c>
      <c r="K970" s="12" t="s">
        <v>135</v>
      </c>
      <c r="L970" s="14"/>
      <c r="M970" s="14">
        <f t="shared" si="15"/>
        <v>0</v>
      </c>
      <c r="N970" s="7" t="s">
        <v>1080</v>
      </c>
      <c r="O970" s="12"/>
      <c r="P970" s="12" t="s">
        <v>130</v>
      </c>
    </row>
    <row r="971" spans="1:16" ht="45.75" hidden="1" customHeight="1" x14ac:dyDescent="0.35">
      <c r="A971" s="12">
        <v>8864</v>
      </c>
      <c r="B971" s="12" t="s">
        <v>100</v>
      </c>
      <c r="C971" s="12" t="s">
        <v>107</v>
      </c>
      <c r="D971" s="12" t="s">
        <v>108</v>
      </c>
      <c r="E971" s="12" t="s">
        <v>126</v>
      </c>
      <c r="F971" s="12" t="s">
        <v>39</v>
      </c>
      <c r="G971" s="12" t="s">
        <v>53</v>
      </c>
      <c r="H971" s="12">
        <v>25</v>
      </c>
      <c r="I971" s="13">
        <v>45909.450138888897</v>
      </c>
      <c r="J971" s="12" t="s">
        <v>127</v>
      </c>
      <c r="K971" s="12" t="s">
        <v>142</v>
      </c>
      <c r="L971" s="14">
        <v>0.33300000000000002</v>
      </c>
      <c r="M971" s="14">
        <f t="shared" si="15"/>
        <v>0.33300000000000002</v>
      </c>
      <c r="N971" s="7" t="s">
        <v>1081</v>
      </c>
      <c r="O971" s="12"/>
      <c r="P971" s="12" t="s">
        <v>130</v>
      </c>
    </row>
    <row r="972" spans="1:16" ht="68.25" hidden="1" customHeight="1" x14ac:dyDescent="0.35">
      <c r="A972" s="12">
        <v>8865</v>
      </c>
      <c r="B972" s="12" t="s">
        <v>100</v>
      </c>
      <c r="C972" s="12" t="s">
        <v>107</v>
      </c>
      <c r="D972" s="12" t="s">
        <v>108</v>
      </c>
      <c r="E972" s="12" t="s">
        <v>131</v>
      </c>
      <c r="F972" s="12" t="s">
        <v>39</v>
      </c>
      <c r="G972" s="12" t="s">
        <v>53</v>
      </c>
      <c r="H972" s="12">
        <v>25</v>
      </c>
      <c r="I972" s="13">
        <v>45909.450138888897</v>
      </c>
      <c r="J972" s="12" t="s">
        <v>127</v>
      </c>
      <c r="K972" s="12" t="s">
        <v>142</v>
      </c>
      <c r="L972" s="14">
        <v>0.33300000000000002</v>
      </c>
      <c r="M972" s="14">
        <f t="shared" si="15"/>
        <v>0.33300000000000002</v>
      </c>
      <c r="N972" s="7" t="s">
        <v>1082</v>
      </c>
      <c r="O972" s="12"/>
      <c r="P972" s="12" t="s">
        <v>130</v>
      </c>
    </row>
    <row r="973" spans="1:16" ht="23.25" hidden="1" customHeight="1" x14ac:dyDescent="0.35">
      <c r="A973" s="12">
        <v>8881</v>
      </c>
      <c r="B973" s="12" t="s">
        <v>100</v>
      </c>
      <c r="C973" s="12" t="s">
        <v>107</v>
      </c>
      <c r="D973" s="12" t="s">
        <v>108</v>
      </c>
      <c r="E973" s="12" t="s">
        <v>134</v>
      </c>
      <c r="F973" s="12" t="s">
        <v>39</v>
      </c>
      <c r="G973" s="12" t="s">
        <v>53</v>
      </c>
      <c r="H973" s="12">
        <v>25</v>
      </c>
      <c r="I973" s="13">
        <v>45909.450138888897</v>
      </c>
      <c r="J973" s="12" t="s">
        <v>127</v>
      </c>
      <c r="K973" s="12" t="s">
        <v>142</v>
      </c>
      <c r="L973" s="14">
        <v>0.33300000000000002</v>
      </c>
      <c r="M973" s="14">
        <f t="shared" si="15"/>
        <v>0.33300000000000002</v>
      </c>
      <c r="N973" s="7" t="s">
        <v>1083</v>
      </c>
      <c r="O973" s="12"/>
      <c r="P973" s="12" t="s">
        <v>130</v>
      </c>
    </row>
    <row r="974" spans="1:16" ht="57" hidden="1" customHeight="1" x14ac:dyDescent="0.35">
      <c r="A974" s="12">
        <v>8866</v>
      </c>
      <c r="B974" s="12" t="s">
        <v>100</v>
      </c>
      <c r="C974" s="12" t="s">
        <v>109</v>
      </c>
      <c r="D974" s="12" t="s">
        <v>110</v>
      </c>
      <c r="E974" s="12" t="s">
        <v>126</v>
      </c>
      <c r="F974" s="12" t="s">
        <v>39</v>
      </c>
      <c r="G974" s="12" t="s">
        <v>53</v>
      </c>
      <c r="H974" s="12">
        <v>25</v>
      </c>
      <c r="I974" s="13">
        <v>45909.450138888897</v>
      </c>
      <c r="J974" s="12" t="s">
        <v>127</v>
      </c>
      <c r="K974" s="12" t="s">
        <v>135</v>
      </c>
      <c r="L974" s="14"/>
      <c r="M974" s="14">
        <f t="shared" si="15"/>
        <v>0</v>
      </c>
      <c r="N974" s="7" t="s">
        <v>1084</v>
      </c>
      <c r="O974" s="12"/>
      <c r="P974" s="12" t="s">
        <v>130</v>
      </c>
    </row>
    <row r="975" spans="1:16" ht="15" hidden="1" customHeight="1" x14ac:dyDescent="0.35">
      <c r="A975" s="12">
        <v>8867</v>
      </c>
      <c r="B975" s="12" t="s">
        <v>100</v>
      </c>
      <c r="C975" s="12" t="s">
        <v>109</v>
      </c>
      <c r="D975" s="12" t="s">
        <v>110</v>
      </c>
      <c r="E975" s="12" t="s">
        <v>131</v>
      </c>
      <c r="F975" s="12" t="s">
        <v>39</v>
      </c>
      <c r="G975" s="12" t="s">
        <v>53</v>
      </c>
      <c r="H975" s="12">
        <v>25</v>
      </c>
      <c r="I975" s="13">
        <v>45909.450138888897</v>
      </c>
      <c r="J975" s="12" t="s">
        <v>127</v>
      </c>
      <c r="K975" s="12" t="s">
        <v>135</v>
      </c>
      <c r="L975" s="14"/>
      <c r="M975" s="14">
        <f t="shared" si="15"/>
        <v>0</v>
      </c>
      <c r="N975" s="7" t="s">
        <v>1085</v>
      </c>
      <c r="O975" s="12"/>
      <c r="P975" s="12" t="s">
        <v>130</v>
      </c>
    </row>
    <row r="976" spans="1:16" ht="23.25" hidden="1" customHeight="1" x14ac:dyDescent="0.35">
      <c r="A976" s="12">
        <v>2501</v>
      </c>
      <c r="B976" s="12" t="s">
        <v>100</v>
      </c>
      <c r="C976" s="12" t="s">
        <v>111</v>
      </c>
      <c r="D976" s="12" t="s">
        <v>112</v>
      </c>
      <c r="E976" s="12" t="s">
        <v>126</v>
      </c>
      <c r="F976" s="12" t="s">
        <v>39</v>
      </c>
      <c r="G976" s="12" t="s">
        <v>53</v>
      </c>
      <c r="H976" s="12">
        <v>25</v>
      </c>
      <c r="I976" s="13">
        <v>45909.450138888897</v>
      </c>
      <c r="J976" s="12" t="s">
        <v>127</v>
      </c>
      <c r="K976" s="12" t="s">
        <v>135</v>
      </c>
      <c r="L976" s="14"/>
      <c r="M976" s="14">
        <f t="shared" si="15"/>
        <v>0</v>
      </c>
      <c r="N976" s="7" t="s">
        <v>1086</v>
      </c>
      <c r="O976" s="12"/>
      <c r="P976" s="12" t="s">
        <v>130</v>
      </c>
    </row>
    <row r="977" spans="1:16" ht="23.25" hidden="1" customHeight="1" x14ac:dyDescent="0.35">
      <c r="A977" s="12">
        <v>8944</v>
      </c>
      <c r="B977" s="12" t="s">
        <v>100</v>
      </c>
      <c r="C977" s="12" t="s">
        <v>111</v>
      </c>
      <c r="D977" s="12" t="s">
        <v>112</v>
      </c>
      <c r="E977" s="12" t="s">
        <v>131</v>
      </c>
      <c r="F977" s="12" t="s">
        <v>39</v>
      </c>
      <c r="G977" s="12" t="s">
        <v>53</v>
      </c>
      <c r="H977" s="12">
        <v>25</v>
      </c>
      <c r="I977" s="13">
        <v>45909.450138888897</v>
      </c>
      <c r="J977" s="12" t="s">
        <v>127</v>
      </c>
      <c r="K977" s="12" t="s">
        <v>135</v>
      </c>
      <c r="L977" s="14"/>
      <c r="M977" s="14">
        <f t="shared" si="15"/>
        <v>0</v>
      </c>
      <c r="N977" s="7" t="s">
        <v>1086</v>
      </c>
      <c r="O977" s="12"/>
      <c r="P977" s="12" t="s">
        <v>130</v>
      </c>
    </row>
    <row r="978" spans="1:16" ht="23.25" hidden="1" customHeight="1" x14ac:dyDescent="0.35">
      <c r="A978" s="12">
        <v>8961</v>
      </c>
      <c r="B978" s="12" t="s">
        <v>100</v>
      </c>
      <c r="C978" s="12" t="s">
        <v>111</v>
      </c>
      <c r="D978" s="12" t="s">
        <v>112</v>
      </c>
      <c r="E978" s="12" t="s">
        <v>134</v>
      </c>
      <c r="F978" s="12" t="s">
        <v>39</v>
      </c>
      <c r="G978" s="12" t="s">
        <v>53</v>
      </c>
      <c r="H978" s="12">
        <v>25</v>
      </c>
      <c r="I978" s="13">
        <v>45909.450138888897</v>
      </c>
      <c r="J978" s="12" t="s">
        <v>127</v>
      </c>
      <c r="K978" s="12" t="s">
        <v>135</v>
      </c>
      <c r="L978" s="14"/>
      <c r="M978" s="14">
        <f t="shared" si="15"/>
        <v>0</v>
      </c>
      <c r="N978" s="7" t="s">
        <v>1086</v>
      </c>
      <c r="O978" s="12"/>
      <c r="P978" s="12" t="s">
        <v>130</v>
      </c>
    </row>
    <row r="979" spans="1:16" ht="45.75" hidden="1" customHeight="1" x14ac:dyDescent="0.35">
      <c r="A979" s="12">
        <v>2502</v>
      </c>
      <c r="B979" s="12" t="s">
        <v>100</v>
      </c>
      <c r="C979" s="12" t="s">
        <v>113</v>
      </c>
      <c r="D979" s="12" t="s">
        <v>114</v>
      </c>
      <c r="E979" s="12" t="s">
        <v>126</v>
      </c>
      <c r="F979" s="12" t="s">
        <v>39</v>
      </c>
      <c r="G979" s="12" t="s">
        <v>53</v>
      </c>
      <c r="H979" s="12">
        <v>25</v>
      </c>
      <c r="I979" s="13">
        <v>45909.450138888897</v>
      </c>
      <c r="J979" s="12" t="s">
        <v>127</v>
      </c>
      <c r="K979" s="12" t="s">
        <v>142</v>
      </c>
      <c r="L979" s="14">
        <v>0.33300000000000002</v>
      </c>
      <c r="M979" s="14">
        <f t="shared" si="15"/>
        <v>0.33300000000000002</v>
      </c>
      <c r="N979" s="7" t="s">
        <v>1087</v>
      </c>
      <c r="O979" s="12"/>
      <c r="P979" s="12" t="s">
        <v>130</v>
      </c>
    </row>
    <row r="980" spans="1:16" ht="45.75" hidden="1" customHeight="1" x14ac:dyDescent="0.35">
      <c r="A980" s="12">
        <v>2503</v>
      </c>
      <c r="B980" s="12" t="s">
        <v>100</v>
      </c>
      <c r="C980" s="12" t="s">
        <v>113</v>
      </c>
      <c r="D980" s="12" t="s">
        <v>114</v>
      </c>
      <c r="E980" s="12" t="s">
        <v>131</v>
      </c>
      <c r="F980" s="12" t="s">
        <v>39</v>
      </c>
      <c r="G980" s="12" t="s">
        <v>53</v>
      </c>
      <c r="H980" s="12">
        <v>25</v>
      </c>
      <c r="I980" s="13">
        <v>45909.450138888897</v>
      </c>
      <c r="J980" s="12" t="s">
        <v>127</v>
      </c>
      <c r="K980" s="12" t="s">
        <v>128</v>
      </c>
      <c r="L980" s="14">
        <v>1</v>
      </c>
      <c r="M980" s="14">
        <f t="shared" si="15"/>
        <v>1</v>
      </c>
      <c r="N980" s="7" t="s">
        <v>1088</v>
      </c>
      <c r="O980" s="12"/>
      <c r="P980" s="12" t="s">
        <v>130</v>
      </c>
    </row>
    <row r="981" spans="1:16" ht="157.5" hidden="1" customHeight="1" x14ac:dyDescent="0.35">
      <c r="A981" s="12">
        <v>2521</v>
      </c>
      <c r="B981" s="12" t="s">
        <v>100</v>
      </c>
      <c r="C981" s="12" t="s">
        <v>113</v>
      </c>
      <c r="D981" s="12" t="s">
        <v>114</v>
      </c>
      <c r="E981" s="12" t="s">
        <v>134</v>
      </c>
      <c r="F981" s="12" t="s">
        <v>39</v>
      </c>
      <c r="G981" s="12" t="s">
        <v>53</v>
      </c>
      <c r="H981" s="12">
        <v>25</v>
      </c>
      <c r="I981" s="13">
        <v>45909.450138888897</v>
      </c>
      <c r="J981" s="12" t="s">
        <v>127</v>
      </c>
      <c r="K981" s="12" t="s">
        <v>132</v>
      </c>
      <c r="L981" s="14">
        <v>0.66600000000000004</v>
      </c>
      <c r="M981" s="14">
        <f t="shared" si="15"/>
        <v>0.66600000000000004</v>
      </c>
      <c r="N981" s="7" t="s">
        <v>1089</v>
      </c>
      <c r="O981" s="12"/>
      <c r="P981" s="12" t="s">
        <v>130</v>
      </c>
    </row>
    <row r="982" spans="1:16" ht="147" hidden="1" customHeight="1" x14ac:dyDescent="0.35">
      <c r="A982" s="12">
        <v>1981</v>
      </c>
      <c r="B982" s="12" t="s">
        <v>100</v>
      </c>
      <c r="C982" s="12" t="s">
        <v>101</v>
      </c>
      <c r="D982" s="12" t="s">
        <v>102</v>
      </c>
      <c r="E982" s="12" t="s">
        <v>126</v>
      </c>
      <c r="F982" s="12" t="s">
        <v>39</v>
      </c>
      <c r="G982" s="12" t="s">
        <v>54</v>
      </c>
      <c r="H982" s="12">
        <v>15</v>
      </c>
      <c r="I982" s="13">
        <v>45908.521342592598</v>
      </c>
      <c r="J982" s="12" t="s">
        <v>127</v>
      </c>
      <c r="K982" s="12" t="s">
        <v>128</v>
      </c>
      <c r="L982" s="14">
        <v>1</v>
      </c>
      <c r="M982" s="14">
        <f t="shared" si="15"/>
        <v>1</v>
      </c>
      <c r="N982" s="7" t="s">
        <v>1090</v>
      </c>
      <c r="O982" s="12"/>
      <c r="P982" s="12" t="s">
        <v>130</v>
      </c>
    </row>
    <row r="983" spans="1:16" ht="90.75" hidden="1" customHeight="1" x14ac:dyDescent="0.35">
      <c r="A983" s="12">
        <v>2881</v>
      </c>
      <c r="B983" s="12" t="s">
        <v>100</v>
      </c>
      <c r="C983" s="12" t="s">
        <v>101</v>
      </c>
      <c r="D983" s="12" t="s">
        <v>102</v>
      </c>
      <c r="E983" s="12" t="s">
        <v>131</v>
      </c>
      <c r="F983" s="12" t="s">
        <v>39</v>
      </c>
      <c r="G983" s="12" t="s">
        <v>54</v>
      </c>
      <c r="H983" s="12">
        <v>15</v>
      </c>
      <c r="I983" s="13">
        <v>45908.521342592598</v>
      </c>
      <c r="J983" s="12" t="s">
        <v>127</v>
      </c>
      <c r="K983" s="12" t="s">
        <v>128</v>
      </c>
      <c r="L983" s="14">
        <v>1</v>
      </c>
      <c r="M983" s="14">
        <f t="shared" si="15"/>
        <v>1</v>
      </c>
      <c r="N983" s="7" t="s">
        <v>1091</v>
      </c>
      <c r="O983" s="12"/>
      <c r="P983" s="12" t="s">
        <v>130</v>
      </c>
    </row>
    <row r="984" spans="1:16" ht="57" hidden="1" customHeight="1" x14ac:dyDescent="0.35">
      <c r="A984" s="12">
        <v>2901</v>
      </c>
      <c r="B984" s="12" t="s">
        <v>100</v>
      </c>
      <c r="C984" s="12" t="s">
        <v>101</v>
      </c>
      <c r="D984" s="12" t="s">
        <v>102</v>
      </c>
      <c r="E984" s="12" t="s">
        <v>134</v>
      </c>
      <c r="F984" s="12" t="s">
        <v>39</v>
      </c>
      <c r="G984" s="12" t="s">
        <v>54</v>
      </c>
      <c r="H984" s="12">
        <v>15</v>
      </c>
      <c r="I984" s="13">
        <v>45908.521342592598</v>
      </c>
      <c r="J984" s="12" t="s">
        <v>127</v>
      </c>
      <c r="K984" s="12" t="s">
        <v>128</v>
      </c>
      <c r="L984" s="14">
        <v>1</v>
      </c>
      <c r="M984" s="14">
        <f t="shared" si="15"/>
        <v>1</v>
      </c>
      <c r="N984" s="7" t="s">
        <v>1092</v>
      </c>
      <c r="O984" s="12"/>
      <c r="P984" s="12" t="s">
        <v>130</v>
      </c>
    </row>
    <row r="985" spans="1:16" ht="45.75" hidden="1" customHeight="1" x14ac:dyDescent="0.35">
      <c r="A985" s="12">
        <v>2681</v>
      </c>
      <c r="B985" s="12" t="s">
        <v>100</v>
      </c>
      <c r="C985" s="12" t="s">
        <v>103</v>
      </c>
      <c r="D985" s="12" t="s">
        <v>104</v>
      </c>
      <c r="E985" s="12" t="s">
        <v>126</v>
      </c>
      <c r="F985" s="12" t="s">
        <v>39</v>
      </c>
      <c r="G985" s="12" t="s">
        <v>54</v>
      </c>
      <c r="H985" s="12">
        <v>15</v>
      </c>
      <c r="I985" s="13">
        <v>45908.521342592598</v>
      </c>
      <c r="J985" s="12" t="s">
        <v>127</v>
      </c>
      <c r="K985" s="12" t="s">
        <v>132</v>
      </c>
      <c r="L985" s="14">
        <v>0.66600000000000004</v>
      </c>
      <c r="M985" s="14">
        <f t="shared" si="15"/>
        <v>0.66600000000000004</v>
      </c>
      <c r="N985" s="7" t="s">
        <v>1093</v>
      </c>
      <c r="O985" s="12"/>
      <c r="P985" s="12"/>
    </row>
    <row r="986" spans="1:16" ht="147" hidden="1" customHeight="1" x14ac:dyDescent="0.35">
      <c r="A986" s="12">
        <v>2741</v>
      </c>
      <c r="B986" s="12" t="s">
        <v>100</v>
      </c>
      <c r="C986" s="12" t="s">
        <v>103</v>
      </c>
      <c r="D986" s="12" t="s">
        <v>104</v>
      </c>
      <c r="E986" s="12" t="s">
        <v>131</v>
      </c>
      <c r="F986" s="12" t="s">
        <v>39</v>
      </c>
      <c r="G986" s="12" t="s">
        <v>54</v>
      </c>
      <c r="H986" s="12">
        <v>15</v>
      </c>
      <c r="I986" s="13">
        <v>45908.521342592598</v>
      </c>
      <c r="J986" s="12" t="s">
        <v>127</v>
      </c>
      <c r="K986" s="12" t="s">
        <v>132</v>
      </c>
      <c r="L986" s="14">
        <v>0.66600000000000004</v>
      </c>
      <c r="M986" s="14">
        <f t="shared" si="15"/>
        <v>0.66600000000000004</v>
      </c>
      <c r="N986" s="7" t="s">
        <v>1094</v>
      </c>
      <c r="O986" s="12"/>
      <c r="P986" s="12" t="s">
        <v>130</v>
      </c>
    </row>
    <row r="987" spans="1:16" ht="79.5" hidden="1" customHeight="1" x14ac:dyDescent="0.35">
      <c r="A987" s="12">
        <v>2703</v>
      </c>
      <c r="B987" s="12" t="s">
        <v>100</v>
      </c>
      <c r="C987" s="12" t="s">
        <v>103</v>
      </c>
      <c r="D987" s="12" t="s">
        <v>104</v>
      </c>
      <c r="E987" s="12" t="s">
        <v>134</v>
      </c>
      <c r="F987" s="12" t="s">
        <v>39</v>
      </c>
      <c r="G987" s="12" t="s">
        <v>54</v>
      </c>
      <c r="H987" s="12">
        <v>15</v>
      </c>
      <c r="I987" s="13">
        <v>45908.521342592598</v>
      </c>
      <c r="J987" s="12" t="s">
        <v>127</v>
      </c>
      <c r="K987" s="12" t="s">
        <v>128</v>
      </c>
      <c r="L987" s="14">
        <v>1</v>
      </c>
      <c r="M987" s="14">
        <f t="shared" si="15"/>
        <v>1</v>
      </c>
      <c r="N987" s="7" t="s">
        <v>1095</v>
      </c>
      <c r="O987" s="12"/>
      <c r="P987" s="12"/>
    </row>
    <row r="988" spans="1:16" ht="90.75" hidden="1" customHeight="1" x14ac:dyDescent="0.35">
      <c r="A988" s="12">
        <v>3323</v>
      </c>
      <c r="B988" s="12" t="s">
        <v>100</v>
      </c>
      <c r="C988" s="12" t="s">
        <v>105</v>
      </c>
      <c r="D988" s="12" t="s">
        <v>106</v>
      </c>
      <c r="E988" s="12" t="s">
        <v>126</v>
      </c>
      <c r="F988" s="12" t="s">
        <v>39</v>
      </c>
      <c r="G988" s="12" t="s">
        <v>54</v>
      </c>
      <c r="H988" s="12">
        <v>15</v>
      </c>
      <c r="I988" s="13">
        <v>45908.521342592598</v>
      </c>
      <c r="J988" s="12" t="s">
        <v>127</v>
      </c>
      <c r="K988" s="12" t="s">
        <v>135</v>
      </c>
      <c r="L988" s="14"/>
      <c r="M988" s="14">
        <f t="shared" si="15"/>
        <v>0</v>
      </c>
      <c r="N988" s="7" t="s">
        <v>1096</v>
      </c>
      <c r="O988" s="12"/>
      <c r="P988" s="12" t="s">
        <v>130</v>
      </c>
    </row>
    <row r="989" spans="1:16" ht="180" hidden="1" customHeight="1" x14ac:dyDescent="0.35">
      <c r="A989" s="12">
        <v>3341</v>
      </c>
      <c r="B989" s="12" t="s">
        <v>100</v>
      </c>
      <c r="C989" s="12" t="s">
        <v>105</v>
      </c>
      <c r="D989" s="12" t="s">
        <v>106</v>
      </c>
      <c r="E989" s="12" t="s">
        <v>131</v>
      </c>
      <c r="F989" s="12" t="s">
        <v>39</v>
      </c>
      <c r="G989" s="12" t="s">
        <v>54</v>
      </c>
      <c r="H989" s="12">
        <v>15</v>
      </c>
      <c r="I989" s="13">
        <v>45908.521342592598</v>
      </c>
      <c r="J989" s="12" t="s">
        <v>127</v>
      </c>
      <c r="K989" s="12" t="s">
        <v>142</v>
      </c>
      <c r="L989" s="14">
        <v>0.33300000000000002</v>
      </c>
      <c r="M989" s="14">
        <f t="shared" si="15"/>
        <v>0.33300000000000002</v>
      </c>
      <c r="N989" s="7" t="s">
        <v>1097</v>
      </c>
      <c r="O989" s="12"/>
      <c r="P989" s="12" t="s">
        <v>130</v>
      </c>
    </row>
    <row r="990" spans="1:16" ht="68.25" hidden="1" customHeight="1" x14ac:dyDescent="0.35">
      <c r="A990" s="12">
        <v>3083</v>
      </c>
      <c r="B990" s="12" t="s">
        <v>100</v>
      </c>
      <c r="C990" s="12" t="s">
        <v>107</v>
      </c>
      <c r="D990" s="12" t="s">
        <v>108</v>
      </c>
      <c r="E990" s="12" t="s">
        <v>126</v>
      </c>
      <c r="F990" s="12" t="s">
        <v>39</v>
      </c>
      <c r="G990" s="12" t="s">
        <v>54</v>
      </c>
      <c r="H990" s="12">
        <v>15</v>
      </c>
      <c r="I990" s="13">
        <v>45908.521342592598</v>
      </c>
      <c r="J990" s="12" t="s">
        <v>127</v>
      </c>
      <c r="K990" s="12" t="s">
        <v>132</v>
      </c>
      <c r="L990" s="14">
        <v>0.66600000000000004</v>
      </c>
      <c r="M990" s="14">
        <f t="shared" si="15"/>
        <v>0.66600000000000004</v>
      </c>
      <c r="N990" s="7" t="s">
        <v>1098</v>
      </c>
      <c r="O990" s="12"/>
      <c r="P990" s="12"/>
    </row>
    <row r="991" spans="1:16" ht="157.5" hidden="1" customHeight="1" x14ac:dyDescent="0.35">
      <c r="A991" s="12">
        <v>3101</v>
      </c>
      <c r="B991" s="12" t="s">
        <v>100</v>
      </c>
      <c r="C991" s="12" t="s">
        <v>107</v>
      </c>
      <c r="D991" s="12" t="s">
        <v>108</v>
      </c>
      <c r="E991" s="12" t="s">
        <v>131</v>
      </c>
      <c r="F991" s="12" t="s">
        <v>39</v>
      </c>
      <c r="G991" s="12" t="s">
        <v>54</v>
      </c>
      <c r="H991" s="12">
        <v>15</v>
      </c>
      <c r="I991" s="13">
        <v>45908.521342592598</v>
      </c>
      <c r="J991" s="12" t="s">
        <v>127</v>
      </c>
      <c r="K991" s="12" t="s">
        <v>128</v>
      </c>
      <c r="L991" s="14">
        <v>1</v>
      </c>
      <c r="M991" s="14">
        <f t="shared" si="15"/>
        <v>1</v>
      </c>
      <c r="N991" s="7" t="s">
        <v>1099</v>
      </c>
      <c r="O991" s="12"/>
      <c r="P991" s="12" t="s">
        <v>130</v>
      </c>
    </row>
    <row r="992" spans="1:16" ht="79.5" hidden="1" customHeight="1" x14ac:dyDescent="0.35">
      <c r="A992" s="12">
        <v>3181</v>
      </c>
      <c r="B992" s="12" t="s">
        <v>100</v>
      </c>
      <c r="C992" s="12" t="s">
        <v>107</v>
      </c>
      <c r="D992" s="12" t="s">
        <v>108</v>
      </c>
      <c r="E992" s="12" t="s">
        <v>134</v>
      </c>
      <c r="F992" s="12" t="s">
        <v>39</v>
      </c>
      <c r="G992" s="12" t="s">
        <v>54</v>
      </c>
      <c r="H992" s="12">
        <v>15</v>
      </c>
      <c r="I992" s="13">
        <v>45908.521342592598</v>
      </c>
      <c r="J992" s="12" t="s">
        <v>127</v>
      </c>
      <c r="K992" s="12" t="s">
        <v>132</v>
      </c>
      <c r="L992" s="14">
        <v>0.66600000000000004</v>
      </c>
      <c r="M992" s="14">
        <f t="shared" si="15"/>
        <v>0.66600000000000004</v>
      </c>
      <c r="N992" s="7" t="s">
        <v>1100</v>
      </c>
      <c r="O992" s="12"/>
      <c r="P992" s="12" t="s">
        <v>130</v>
      </c>
    </row>
    <row r="993" spans="1:16" ht="191.25" hidden="1" customHeight="1" x14ac:dyDescent="0.35">
      <c r="A993" s="12">
        <v>5283</v>
      </c>
      <c r="B993" s="12" t="s">
        <v>100</v>
      </c>
      <c r="C993" s="12" t="s">
        <v>109</v>
      </c>
      <c r="D993" s="12" t="s">
        <v>110</v>
      </c>
      <c r="E993" s="12" t="s">
        <v>126</v>
      </c>
      <c r="F993" s="12" t="s">
        <v>39</v>
      </c>
      <c r="G993" s="12" t="s">
        <v>54</v>
      </c>
      <c r="H993" s="12">
        <v>15</v>
      </c>
      <c r="I993" s="13">
        <v>45908.521342592598</v>
      </c>
      <c r="J993" s="12" t="s">
        <v>127</v>
      </c>
      <c r="K993" s="12" t="s">
        <v>132</v>
      </c>
      <c r="L993" s="14">
        <v>0.66600000000000004</v>
      </c>
      <c r="M993" s="14">
        <f t="shared" si="15"/>
        <v>0.66600000000000004</v>
      </c>
      <c r="N993" s="7" t="s">
        <v>1101</v>
      </c>
      <c r="O993" s="12"/>
      <c r="P993" s="12" t="s">
        <v>130</v>
      </c>
    </row>
    <row r="994" spans="1:16" ht="202.5" hidden="1" customHeight="1" x14ac:dyDescent="0.35">
      <c r="A994" s="12">
        <v>5301</v>
      </c>
      <c r="B994" s="12" t="s">
        <v>100</v>
      </c>
      <c r="C994" s="12" t="s">
        <v>109</v>
      </c>
      <c r="D994" s="12" t="s">
        <v>110</v>
      </c>
      <c r="E994" s="12" t="s">
        <v>131</v>
      </c>
      <c r="F994" s="12" t="s">
        <v>39</v>
      </c>
      <c r="G994" s="12" t="s">
        <v>54</v>
      </c>
      <c r="H994" s="12">
        <v>15</v>
      </c>
      <c r="I994" s="13">
        <v>45908.521342592598</v>
      </c>
      <c r="J994" s="12" t="s">
        <v>127</v>
      </c>
      <c r="K994" s="12" t="s">
        <v>128</v>
      </c>
      <c r="L994" s="14">
        <v>1</v>
      </c>
      <c r="M994" s="14">
        <f t="shared" si="15"/>
        <v>1</v>
      </c>
      <c r="N994" s="7" t="s">
        <v>1102</v>
      </c>
      <c r="O994" s="12"/>
      <c r="P994" s="12" t="s">
        <v>130</v>
      </c>
    </row>
    <row r="995" spans="1:16" ht="225" hidden="1" customHeight="1" x14ac:dyDescent="0.35">
      <c r="A995" s="12">
        <v>3266</v>
      </c>
      <c r="B995" s="12" t="s">
        <v>100</v>
      </c>
      <c r="C995" s="12" t="s">
        <v>111</v>
      </c>
      <c r="D995" s="12" t="s">
        <v>112</v>
      </c>
      <c r="E995" s="12" t="s">
        <v>126</v>
      </c>
      <c r="F995" s="12" t="s">
        <v>39</v>
      </c>
      <c r="G995" s="12" t="s">
        <v>54</v>
      </c>
      <c r="H995" s="12">
        <v>15</v>
      </c>
      <c r="I995" s="13">
        <v>45908.521342592598</v>
      </c>
      <c r="J995" s="12" t="s">
        <v>127</v>
      </c>
      <c r="K995" s="12" t="s">
        <v>132</v>
      </c>
      <c r="L995" s="14">
        <v>0.66600000000000004</v>
      </c>
      <c r="M995" s="14">
        <f t="shared" si="15"/>
        <v>0.66600000000000004</v>
      </c>
      <c r="N995" s="7" t="s">
        <v>1103</v>
      </c>
      <c r="O995" s="12"/>
      <c r="P995" s="12" t="s">
        <v>130</v>
      </c>
    </row>
    <row r="996" spans="1:16" ht="191.25" hidden="1" customHeight="1" x14ac:dyDescent="0.35">
      <c r="A996" s="12">
        <v>3301</v>
      </c>
      <c r="B996" s="12" t="s">
        <v>100</v>
      </c>
      <c r="C996" s="12" t="s">
        <v>111</v>
      </c>
      <c r="D996" s="12" t="s">
        <v>112</v>
      </c>
      <c r="E996" s="12" t="s">
        <v>131</v>
      </c>
      <c r="F996" s="12" t="s">
        <v>39</v>
      </c>
      <c r="G996" s="12" t="s">
        <v>54</v>
      </c>
      <c r="H996" s="12">
        <v>15</v>
      </c>
      <c r="I996" s="13">
        <v>45908.521342592598</v>
      </c>
      <c r="J996" s="12" t="s">
        <v>127</v>
      </c>
      <c r="K996" s="12" t="s">
        <v>128</v>
      </c>
      <c r="L996" s="14">
        <v>1</v>
      </c>
      <c r="M996" s="14">
        <f t="shared" si="15"/>
        <v>1</v>
      </c>
      <c r="N996" s="7" t="s">
        <v>1104</v>
      </c>
      <c r="O996" s="12"/>
      <c r="P996" s="12" t="s">
        <v>130</v>
      </c>
    </row>
    <row r="997" spans="1:16" ht="157.5" hidden="1" customHeight="1" x14ac:dyDescent="0.35">
      <c r="A997" s="12">
        <v>3361</v>
      </c>
      <c r="B997" s="12" t="s">
        <v>100</v>
      </c>
      <c r="C997" s="12" t="s">
        <v>111</v>
      </c>
      <c r="D997" s="12" t="s">
        <v>112</v>
      </c>
      <c r="E997" s="12" t="s">
        <v>134</v>
      </c>
      <c r="F997" s="12" t="s">
        <v>39</v>
      </c>
      <c r="G997" s="12" t="s">
        <v>54</v>
      </c>
      <c r="H997" s="12">
        <v>15</v>
      </c>
      <c r="I997" s="13">
        <v>45908.521342592598</v>
      </c>
      <c r="J997" s="12" t="s">
        <v>127</v>
      </c>
      <c r="K997" s="12" t="s">
        <v>128</v>
      </c>
      <c r="L997" s="14">
        <v>1</v>
      </c>
      <c r="M997" s="14">
        <f t="shared" si="15"/>
        <v>1</v>
      </c>
      <c r="N997" s="7" t="s">
        <v>1105</v>
      </c>
      <c r="O997" s="12"/>
      <c r="P997" s="12" t="s">
        <v>130</v>
      </c>
    </row>
    <row r="998" spans="1:16" ht="180" hidden="1" customHeight="1" x14ac:dyDescent="0.35">
      <c r="A998" s="12">
        <v>2105</v>
      </c>
      <c r="B998" s="12" t="s">
        <v>100</v>
      </c>
      <c r="C998" s="12" t="s">
        <v>113</v>
      </c>
      <c r="D998" s="12" t="s">
        <v>114</v>
      </c>
      <c r="E998" s="12" t="s">
        <v>126</v>
      </c>
      <c r="F998" s="12" t="s">
        <v>39</v>
      </c>
      <c r="G998" s="12" t="s">
        <v>54</v>
      </c>
      <c r="H998" s="12">
        <v>15</v>
      </c>
      <c r="I998" s="13">
        <v>45908.521342592598</v>
      </c>
      <c r="J998" s="12" t="s">
        <v>127</v>
      </c>
      <c r="K998" s="12" t="s">
        <v>128</v>
      </c>
      <c r="L998" s="14">
        <v>1</v>
      </c>
      <c r="M998" s="14">
        <f t="shared" si="15"/>
        <v>1</v>
      </c>
      <c r="N998" s="7" t="s">
        <v>1106</v>
      </c>
      <c r="O998" s="12"/>
      <c r="P998" s="12" t="s">
        <v>130</v>
      </c>
    </row>
    <row r="999" spans="1:16" ht="213.75" hidden="1" customHeight="1" x14ac:dyDescent="0.35">
      <c r="A999" s="12">
        <v>2281</v>
      </c>
      <c r="B999" s="12" t="s">
        <v>100</v>
      </c>
      <c r="C999" s="12" t="s">
        <v>113</v>
      </c>
      <c r="D999" s="12" t="s">
        <v>114</v>
      </c>
      <c r="E999" s="12" t="s">
        <v>131</v>
      </c>
      <c r="F999" s="12" t="s">
        <v>39</v>
      </c>
      <c r="G999" s="12" t="s">
        <v>54</v>
      </c>
      <c r="H999" s="12">
        <v>15</v>
      </c>
      <c r="I999" s="13">
        <v>45908.521342592598</v>
      </c>
      <c r="J999" s="12" t="s">
        <v>127</v>
      </c>
      <c r="K999" s="12" t="s">
        <v>132</v>
      </c>
      <c r="L999" s="14">
        <v>0.66600000000000004</v>
      </c>
      <c r="M999" s="14">
        <f t="shared" si="15"/>
        <v>0.66600000000000004</v>
      </c>
      <c r="N999" s="7" t="s">
        <v>1107</v>
      </c>
      <c r="O999" s="12"/>
      <c r="P999" s="12" t="s">
        <v>130</v>
      </c>
    </row>
    <row r="1000" spans="1:16" ht="124.5" hidden="1" customHeight="1" x14ac:dyDescent="0.35">
      <c r="A1000" s="12">
        <v>2921</v>
      </c>
      <c r="B1000" s="12" t="s">
        <v>100</v>
      </c>
      <c r="C1000" s="12" t="s">
        <v>113</v>
      </c>
      <c r="D1000" s="12" t="s">
        <v>114</v>
      </c>
      <c r="E1000" s="12" t="s">
        <v>134</v>
      </c>
      <c r="F1000" s="12" t="s">
        <v>39</v>
      </c>
      <c r="G1000" s="12" t="s">
        <v>54</v>
      </c>
      <c r="H1000" s="12">
        <v>15</v>
      </c>
      <c r="I1000" s="13">
        <v>45908.521342592598</v>
      </c>
      <c r="J1000" s="12" t="s">
        <v>127</v>
      </c>
      <c r="K1000" s="12" t="s">
        <v>128</v>
      </c>
      <c r="L1000" s="14">
        <v>1</v>
      </c>
      <c r="M1000" s="14">
        <f t="shared" si="15"/>
        <v>1</v>
      </c>
      <c r="N1000" s="7" t="s">
        <v>1108</v>
      </c>
      <c r="O1000" s="12"/>
      <c r="P1000" s="12"/>
    </row>
    <row r="1001" spans="1:16" ht="113.25" hidden="1" customHeight="1" x14ac:dyDescent="0.35">
      <c r="A1001" s="12">
        <v>1961</v>
      </c>
      <c r="B1001" s="12" t="s">
        <v>100</v>
      </c>
      <c r="C1001" s="12" t="s">
        <v>101</v>
      </c>
      <c r="D1001" s="12" t="s">
        <v>102</v>
      </c>
      <c r="E1001" s="12" t="s">
        <v>126</v>
      </c>
      <c r="F1001" s="12" t="s">
        <v>39</v>
      </c>
      <c r="G1001" s="12" t="s">
        <v>55</v>
      </c>
      <c r="H1001" s="12">
        <v>26</v>
      </c>
      <c r="I1001" s="13">
        <v>45911.618599537003</v>
      </c>
      <c r="J1001" s="12" t="s">
        <v>127</v>
      </c>
      <c r="K1001" s="12" t="s">
        <v>128</v>
      </c>
      <c r="L1001" s="14">
        <v>1</v>
      </c>
      <c r="M1001" s="14">
        <f t="shared" si="15"/>
        <v>1</v>
      </c>
      <c r="N1001" s="7" t="s">
        <v>1109</v>
      </c>
      <c r="O1001" s="12"/>
      <c r="P1001" s="12" t="s">
        <v>130</v>
      </c>
    </row>
    <row r="1002" spans="1:16" ht="202.5" hidden="1" customHeight="1" x14ac:dyDescent="0.35">
      <c r="A1002" s="12">
        <v>2001</v>
      </c>
      <c r="B1002" s="12" t="s">
        <v>100</v>
      </c>
      <c r="C1002" s="12" t="s">
        <v>101</v>
      </c>
      <c r="D1002" s="12" t="s">
        <v>102</v>
      </c>
      <c r="E1002" s="12" t="s">
        <v>131</v>
      </c>
      <c r="F1002" s="12" t="s">
        <v>39</v>
      </c>
      <c r="G1002" s="12" t="s">
        <v>55</v>
      </c>
      <c r="H1002" s="12">
        <v>26</v>
      </c>
      <c r="I1002" s="13">
        <v>45911.618599537003</v>
      </c>
      <c r="J1002" s="12" t="s">
        <v>127</v>
      </c>
      <c r="K1002" s="12" t="s">
        <v>128</v>
      </c>
      <c r="L1002" s="14">
        <v>1</v>
      </c>
      <c r="M1002" s="14">
        <f t="shared" si="15"/>
        <v>1</v>
      </c>
      <c r="N1002" s="7" t="s">
        <v>1110</v>
      </c>
      <c r="O1002" s="12"/>
      <c r="P1002" s="12" t="s">
        <v>130</v>
      </c>
    </row>
    <row r="1003" spans="1:16" ht="191.25" hidden="1" customHeight="1" x14ac:dyDescent="0.35">
      <c r="A1003" s="12">
        <v>2021</v>
      </c>
      <c r="B1003" s="12" t="s">
        <v>100</v>
      </c>
      <c r="C1003" s="12" t="s">
        <v>101</v>
      </c>
      <c r="D1003" s="12" t="s">
        <v>102</v>
      </c>
      <c r="E1003" s="12" t="s">
        <v>134</v>
      </c>
      <c r="F1003" s="12" t="s">
        <v>39</v>
      </c>
      <c r="G1003" s="12" t="s">
        <v>55</v>
      </c>
      <c r="H1003" s="12">
        <v>26</v>
      </c>
      <c r="I1003" s="13">
        <v>45911.618599537003</v>
      </c>
      <c r="J1003" s="12" t="s">
        <v>127</v>
      </c>
      <c r="K1003" s="12" t="s">
        <v>128</v>
      </c>
      <c r="L1003" s="14">
        <v>1</v>
      </c>
      <c r="M1003" s="14">
        <f t="shared" si="15"/>
        <v>1</v>
      </c>
      <c r="N1003" s="7" t="s">
        <v>1111</v>
      </c>
      <c r="O1003" s="12"/>
      <c r="P1003" s="12"/>
    </row>
    <row r="1004" spans="1:16" ht="124.5" hidden="1" customHeight="1" x14ac:dyDescent="0.35">
      <c r="A1004" s="12">
        <v>2041</v>
      </c>
      <c r="B1004" s="12" t="s">
        <v>100</v>
      </c>
      <c r="C1004" s="12" t="s">
        <v>103</v>
      </c>
      <c r="D1004" s="12" t="s">
        <v>104</v>
      </c>
      <c r="E1004" s="12" t="s">
        <v>126</v>
      </c>
      <c r="F1004" s="12" t="s">
        <v>39</v>
      </c>
      <c r="G1004" s="12" t="s">
        <v>55</v>
      </c>
      <c r="H1004" s="12">
        <v>26</v>
      </c>
      <c r="I1004" s="13">
        <v>45911.618599537003</v>
      </c>
      <c r="J1004" s="12" t="s">
        <v>127</v>
      </c>
      <c r="K1004" s="12" t="s">
        <v>128</v>
      </c>
      <c r="L1004" s="14">
        <v>1</v>
      </c>
      <c r="M1004" s="14">
        <f t="shared" si="15"/>
        <v>1</v>
      </c>
      <c r="N1004" s="7" t="s">
        <v>1112</v>
      </c>
      <c r="O1004" s="12"/>
      <c r="P1004" s="12" t="s">
        <v>130</v>
      </c>
    </row>
    <row r="1005" spans="1:16" ht="191.25" hidden="1" customHeight="1" x14ac:dyDescent="0.35">
      <c r="A1005" s="12">
        <v>2061</v>
      </c>
      <c r="B1005" s="12" t="s">
        <v>100</v>
      </c>
      <c r="C1005" s="12" t="s">
        <v>103</v>
      </c>
      <c r="D1005" s="12" t="s">
        <v>104</v>
      </c>
      <c r="E1005" s="12" t="s">
        <v>131</v>
      </c>
      <c r="F1005" s="12" t="s">
        <v>39</v>
      </c>
      <c r="G1005" s="12" t="s">
        <v>55</v>
      </c>
      <c r="H1005" s="12">
        <v>26</v>
      </c>
      <c r="I1005" s="13">
        <v>45911.618599537003</v>
      </c>
      <c r="J1005" s="12" t="s">
        <v>127</v>
      </c>
      <c r="K1005" s="12" t="s">
        <v>128</v>
      </c>
      <c r="L1005" s="14">
        <v>1</v>
      </c>
      <c r="M1005" s="14">
        <f t="shared" si="15"/>
        <v>1</v>
      </c>
      <c r="N1005" s="7" t="s">
        <v>1113</v>
      </c>
      <c r="O1005" s="12"/>
      <c r="P1005" s="12" t="s">
        <v>130</v>
      </c>
    </row>
    <row r="1006" spans="1:16" ht="225" hidden="1" customHeight="1" x14ac:dyDescent="0.35">
      <c r="A1006" s="12">
        <v>2081</v>
      </c>
      <c r="B1006" s="12" t="s">
        <v>100</v>
      </c>
      <c r="C1006" s="12" t="s">
        <v>103</v>
      </c>
      <c r="D1006" s="12" t="s">
        <v>104</v>
      </c>
      <c r="E1006" s="12" t="s">
        <v>134</v>
      </c>
      <c r="F1006" s="12" t="s">
        <v>39</v>
      </c>
      <c r="G1006" s="12" t="s">
        <v>55</v>
      </c>
      <c r="H1006" s="12">
        <v>26</v>
      </c>
      <c r="I1006" s="13">
        <v>45911.618599537003</v>
      </c>
      <c r="J1006" s="12" t="s">
        <v>127</v>
      </c>
      <c r="K1006" s="12" t="s">
        <v>128</v>
      </c>
      <c r="L1006" s="14">
        <v>1</v>
      </c>
      <c r="M1006" s="14">
        <f t="shared" si="15"/>
        <v>1</v>
      </c>
      <c r="N1006" s="7" t="s">
        <v>1114</v>
      </c>
      <c r="O1006" s="12"/>
      <c r="P1006" s="12" t="s">
        <v>130</v>
      </c>
    </row>
    <row r="1007" spans="1:16" ht="225" hidden="1" customHeight="1" x14ac:dyDescent="0.35">
      <c r="A1007" s="12">
        <v>2101</v>
      </c>
      <c r="B1007" s="12" t="s">
        <v>100</v>
      </c>
      <c r="C1007" s="12" t="s">
        <v>105</v>
      </c>
      <c r="D1007" s="12" t="s">
        <v>106</v>
      </c>
      <c r="E1007" s="12" t="s">
        <v>126</v>
      </c>
      <c r="F1007" s="12" t="s">
        <v>39</v>
      </c>
      <c r="G1007" s="12" t="s">
        <v>55</v>
      </c>
      <c r="H1007" s="12">
        <v>26</v>
      </c>
      <c r="I1007" s="13">
        <v>45911.618599537003</v>
      </c>
      <c r="J1007" s="12" t="s">
        <v>127</v>
      </c>
      <c r="K1007" s="12" t="s">
        <v>132</v>
      </c>
      <c r="L1007" s="14">
        <v>0.66600000000000004</v>
      </c>
      <c r="M1007" s="14">
        <f t="shared" si="15"/>
        <v>0.66600000000000004</v>
      </c>
      <c r="N1007" s="7" t="s">
        <v>1115</v>
      </c>
      <c r="O1007" s="12"/>
      <c r="P1007" s="12" t="s">
        <v>130</v>
      </c>
    </row>
    <row r="1008" spans="1:16" ht="225" hidden="1" customHeight="1" x14ac:dyDescent="0.35">
      <c r="A1008" s="12">
        <v>2121</v>
      </c>
      <c r="B1008" s="12" t="s">
        <v>100</v>
      </c>
      <c r="C1008" s="12" t="s">
        <v>105</v>
      </c>
      <c r="D1008" s="12" t="s">
        <v>106</v>
      </c>
      <c r="E1008" s="12" t="s">
        <v>131</v>
      </c>
      <c r="F1008" s="12" t="s">
        <v>39</v>
      </c>
      <c r="G1008" s="12" t="s">
        <v>55</v>
      </c>
      <c r="H1008" s="12">
        <v>26</v>
      </c>
      <c r="I1008" s="13">
        <v>45911.618599537003</v>
      </c>
      <c r="J1008" s="12" t="s">
        <v>127</v>
      </c>
      <c r="K1008" s="12" t="s">
        <v>128</v>
      </c>
      <c r="L1008" s="14">
        <v>1</v>
      </c>
      <c r="M1008" s="14">
        <f t="shared" si="15"/>
        <v>1</v>
      </c>
      <c r="N1008" s="7" t="s">
        <v>1116</v>
      </c>
      <c r="O1008" s="12"/>
      <c r="P1008" s="12" t="s">
        <v>130</v>
      </c>
    </row>
    <row r="1009" spans="1:16" ht="213.75" hidden="1" customHeight="1" x14ac:dyDescent="0.35">
      <c r="A1009" s="12">
        <v>2102</v>
      </c>
      <c r="B1009" s="12" t="s">
        <v>100</v>
      </c>
      <c r="C1009" s="12" t="s">
        <v>107</v>
      </c>
      <c r="D1009" s="12" t="s">
        <v>108</v>
      </c>
      <c r="E1009" s="12" t="s">
        <v>126</v>
      </c>
      <c r="F1009" s="12" t="s">
        <v>39</v>
      </c>
      <c r="G1009" s="12" t="s">
        <v>55</v>
      </c>
      <c r="H1009" s="12">
        <v>26</v>
      </c>
      <c r="I1009" s="13">
        <v>45911.618599537003</v>
      </c>
      <c r="J1009" s="12" t="s">
        <v>127</v>
      </c>
      <c r="K1009" s="12" t="s">
        <v>128</v>
      </c>
      <c r="L1009" s="14">
        <v>1</v>
      </c>
      <c r="M1009" s="14">
        <f t="shared" si="15"/>
        <v>1</v>
      </c>
      <c r="N1009" s="7" t="s">
        <v>1117</v>
      </c>
      <c r="O1009" s="12"/>
      <c r="P1009" s="12" t="s">
        <v>130</v>
      </c>
    </row>
    <row r="1010" spans="1:16" ht="236.25" hidden="1" customHeight="1" x14ac:dyDescent="0.35">
      <c r="A1010" s="12">
        <v>2122</v>
      </c>
      <c r="B1010" s="12" t="s">
        <v>100</v>
      </c>
      <c r="C1010" s="12" t="s">
        <v>107</v>
      </c>
      <c r="D1010" s="12" t="s">
        <v>108</v>
      </c>
      <c r="E1010" s="12" t="s">
        <v>131</v>
      </c>
      <c r="F1010" s="12" t="s">
        <v>39</v>
      </c>
      <c r="G1010" s="12" t="s">
        <v>55</v>
      </c>
      <c r="H1010" s="12">
        <v>26</v>
      </c>
      <c r="I1010" s="13">
        <v>45911.618599537003</v>
      </c>
      <c r="J1010" s="12" t="s">
        <v>127</v>
      </c>
      <c r="K1010" s="12" t="s">
        <v>142</v>
      </c>
      <c r="L1010" s="14">
        <v>0.33300000000000002</v>
      </c>
      <c r="M1010" s="14">
        <f t="shared" si="15"/>
        <v>0.33300000000000002</v>
      </c>
      <c r="N1010" s="7" t="s">
        <v>1118</v>
      </c>
      <c r="O1010" s="12"/>
      <c r="P1010" s="12" t="s">
        <v>130</v>
      </c>
    </row>
    <row r="1011" spans="1:16" ht="236.25" hidden="1" customHeight="1" x14ac:dyDescent="0.35">
      <c r="A1011" s="12">
        <v>2103</v>
      </c>
      <c r="B1011" s="12" t="s">
        <v>100</v>
      </c>
      <c r="C1011" s="12" t="s">
        <v>107</v>
      </c>
      <c r="D1011" s="12" t="s">
        <v>108</v>
      </c>
      <c r="E1011" s="12" t="s">
        <v>134</v>
      </c>
      <c r="F1011" s="12" t="s">
        <v>39</v>
      </c>
      <c r="G1011" s="12" t="s">
        <v>55</v>
      </c>
      <c r="H1011" s="12">
        <v>26</v>
      </c>
      <c r="I1011" s="13">
        <v>45911.618599537003</v>
      </c>
      <c r="J1011" s="12" t="s">
        <v>127</v>
      </c>
      <c r="K1011" s="12" t="s">
        <v>132</v>
      </c>
      <c r="L1011" s="14">
        <v>0.66600000000000004</v>
      </c>
      <c r="M1011" s="14">
        <f t="shared" si="15"/>
        <v>0.66600000000000004</v>
      </c>
      <c r="N1011" s="7" t="s">
        <v>1119</v>
      </c>
      <c r="O1011" s="12"/>
      <c r="P1011" s="12" t="s">
        <v>130</v>
      </c>
    </row>
    <row r="1012" spans="1:16" ht="213.75" hidden="1" customHeight="1" x14ac:dyDescent="0.35">
      <c r="A1012" s="12">
        <v>2104</v>
      </c>
      <c r="B1012" s="12" t="s">
        <v>100</v>
      </c>
      <c r="C1012" s="12" t="s">
        <v>109</v>
      </c>
      <c r="D1012" s="12" t="s">
        <v>110</v>
      </c>
      <c r="E1012" s="12" t="s">
        <v>126</v>
      </c>
      <c r="F1012" s="12" t="s">
        <v>39</v>
      </c>
      <c r="G1012" s="12" t="s">
        <v>55</v>
      </c>
      <c r="H1012" s="12">
        <v>26</v>
      </c>
      <c r="I1012" s="13">
        <v>45911.618599537003</v>
      </c>
      <c r="J1012" s="12" t="s">
        <v>127</v>
      </c>
      <c r="K1012" s="12" t="s">
        <v>132</v>
      </c>
      <c r="L1012" s="14">
        <v>0.66600000000000004</v>
      </c>
      <c r="M1012" s="14">
        <f t="shared" si="15"/>
        <v>0.66600000000000004</v>
      </c>
      <c r="N1012" s="7" t="s">
        <v>1120</v>
      </c>
      <c r="O1012" s="12"/>
      <c r="P1012" s="12" t="s">
        <v>130</v>
      </c>
    </row>
    <row r="1013" spans="1:16" ht="168.75" hidden="1" customHeight="1" x14ac:dyDescent="0.35">
      <c r="A1013" s="12">
        <v>2261</v>
      </c>
      <c r="B1013" s="12" t="s">
        <v>100</v>
      </c>
      <c r="C1013" s="12" t="s">
        <v>109</v>
      </c>
      <c r="D1013" s="12" t="s">
        <v>110</v>
      </c>
      <c r="E1013" s="12" t="s">
        <v>131</v>
      </c>
      <c r="F1013" s="12" t="s">
        <v>39</v>
      </c>
      <c r="G1013" s="12" t="s">
        <v>55</v>
      </c>
      <c r="H1013" s="12">
        <v>26</v>
      </c>
      <c r="I1013" s="13">
        <v>45911.618599537003</v>
      </c>
      <c r="J1013" s="12" t="s">
        <v>127</v>
      </c>
      <c r="K1013" s="12" t="s">
        <v>128</v>
      </c>
      <c r="L1013" s="14">
        <v>1</v>
      </c>
      <c r="M1013" s="14">
        <f t="shared" si="15"/>
        <v>1</v>
      </c>
      <c r="N1013" s="7" t="s">
        <v>1121</v>
      </c>
      <c r="O1013" s="12"/>
      <c r="P1013" s="12" t="s">
        <v>130</v>
      </c>
    </row>
    <row r="1014" spans="1:16" ht="135.75" hidden="1" customHeight="1" x14ac:dyDescent="0.35">
      <c r="A1014" s="12">
        <v>2301</v>
      </c>
      <c r="B1014" s="12" t="s">
        <v>100</v>
      </c>
      <c r="C1014" s="12" t="s">
        <v>111</v>
      </c>
      <c r="D1014" s="12" t="s">
        <v>112</v>
      </c>
      <c r="E1014" s="12" t="s">
        <v>126</v>
      </c>
      <c r="F1014" s="12" t="s">
        <v>39</v>
      </c>
      <c r="G1014" s="12" t="s">
        <v>55</v>
      </c>
      <c r="H1014" s="12">
        <v>26</v>
      </c>
      <c r="I1014" s="13">
        <v>45911.618599537003</v>
      </c>
      <c r="J1014" s="12" t="s">
        <v>127</v>
      </c>
      <c r="K1014" s="12" t="s">
        <v>132</v>
      </c>
      <c r="L1014" s="14">
        <v>0.66600000000000004</v>
      </c>
      <c r="M1014" s="14">
        <f t="shared" si="15"/>
        <v>0.66600000000000004</v>
      </c>
      <c r="N1014" s="7" t="s">
        <v>1122</v>
      </c>
      <c r="O1014" s="12"/>
      <c r="P1014" s="12" t="s">
        <v>130</v>
      </c>
    </row>
    <row r="1015" spans="1:16" ht="225" hidden="1" customHeight="1" x14ac:dyDescent="0.35">
      <c r="A1015" s="12">
        <v>2321</v>
      </c>
      <c r="B1015" s="12" t="s">
        <v>100</v>
      </c>
      <c r="C1015" s="12" t="s">
        <v>111</v>
      </c>
      <c r="D1015" s="12" t="s">
        <v>112</v>
      </c>
      <c r="E1015" s="12" t="s">
        <v>131</v>
      </c>
      <c r="F1015" s="12" t="s">
        <v>39</v>
      </c>
      <c r="G1015" s="12" t="s">
        <v>55</v>
      </c>
      <c r="H1015" s="12">
        <v>26</v>
      </c>
      <c r="I1015" s="13">
        <v>45911.618599537003</v>
      </c>
      <c r="J1015" s="12" t="s">
        <v>127</v>
      </c>
      <c r="K1015" s="12" t="s">
        <v>142</v>
      </c>
      <c r="L1015" s="14">
        <v>0.33300000000000002</v>
      </c>
      <c r="M1015" s="14">
        <f t="shared" si="15"/>
        <v>0.33300000000000002</v>
      </c>
      <c r="N1015" s="7" t="s">
        <v>1123</v>
      </c>
      <c r="O1015" s="12"/>
      <c r="P1015" s="12" t="s">
        <v>130</v>
      </c>
    </row>
    <row r="1016" spans="1:16" ht="213.75" hidden="1" customHeight="1" x14ac:dyDescent="0.35">
      <c r="A1016" s="12">
        <v>2362</v>
      </c>
      <c r="B1016" s="12" t="s">
        <v>100</v>
      </c>
      <c r="C1016" s="12" t="s">
        <v>111</v>
      </c>
      <c r="D1016" s="12" t="s">
        <v>112</v>
      </c>
      <c r="E1016" s="12" t="s">
        <v>134</v>
      </c>
      <c r="F1016" s="12" t="s">
        <v>39</v>
      </c>
      <c r="G1016" s="12" t="s">
        <v>55</v>
      </c>
      <c r="H1016" s="12">
        <v>26</v>
      </c>
      <c r="I1016" s="13">
        <v>45911.618599537003</v>
      </c>
      <c r="J1016" s="12" t="s">
        <v>127</v>
      </c>
      <c r="K1016" s="12" t="s">
        <v>142</v>
      </c>
      <c r="L1016" s="14">
        <v>0.33300000000000002</v>
      </c>
      <c r="M1016" s="14">
        <f t="shared" si="15"/>
        <v>0.33300000000000002</v>
      </c>
      <c r="N1016" s="7" t="s">
        <v>1124</v>
      </c>
      <c r="O1016" s="12"/>
      <c r="P1016" s="12" t="s">
        <v>130</v>
      </c>
    </row>
    <row r="1017" spans="1:16" ht="202.5" hidden="1" customHeight="1" x14ac:dyDescent="0.35">
      <c r="A1017" s="12">
        <v>2382</v>
      </c>
      <c r="B1017" s="12" t="s">
        <v>100</v>
      </c>
      <c r="C1017" s="12" t="s">
        <v>113</v>
      </c>
      <c r="D1017" s="12" t="s">
        <v>114</v>
      </c>
      <c r="E1017" s="12" t="s">
        <v>126</v>
      </c>
      <c r="F1017" s="12" t="s">
        <v>39</v>
      </c>
      <c r="G1017" s="12" t="s">
        <v>55</v>
      </c>
      <c r="H1017" s="12">
        <v>26</v>
      </c>
      <c r="I1017" s="13">
        <v>45911.618599537003</v>
      </c>
      <c r="J1017" s="12" t="s">
        <v>127</v>
      </c>
      <c r="K1017" s="12" t="s">
        <v>132</v>
      </c>
      <c r="L1017" s="14">
        <v>0.66600000000000004</v>
      </c>
      <c r="M1017" s="14">
        <f t="shared" si="15"/>
        <v>0.66600000000000004</v>
      </c>
      <c r="N1017" s="7" t="s">
        <v>1125</v>
      </c>
      <c r="O1017" s="12"/>
      <c r="P1017" s="12" t="s">
        <v>130</v>
      </c>
    </row>
    <row r="1018" spans="1:16" ht="225" hidden="1" customHeight="1" x14ac:dyDescent="0.35">
      <c r="A1018" s="12">
        <v>2441</v>
      </c>
      <c r="B1018" s="12" t="s">
        <v>100</v>
      </c>
      <c r="C1018" s="12" t="s">
        <v>113</v>
      </c>
      <c r="D1018" s="12" t="s">
        <v>114</v>
      </c>
      <c r="E1018" s="12" t="s">
        <v>131</v>
      </c>
      <c r="F1018" s="12" t="s">
        <v>39</v>
      </c>
      <c r="G1018" s="12" t="s">
        <v>55</v>
      </c>
      <c r="H1018" s="12">
        <v>26</v>
      </c>
      <c r="I1018" s="13">
        <v>45911.618599537003</v>
      </c>
      <c r="J1018" s="12" t="s">
        <v>127</v>
      </c>
      <c r="K1018" s="12" t="s">
        <v>132</v>
      </c>
      <c r="L1018" s="14">
        <v>0.66600000000000004</v>
      </c>
      <c r="M1018" s="14">
        <f t="shared" si="15"/>
        <v>0.66600000000000004</v>
      </c>
      <c r="N1018" s="7" t="s">
        <v>1126</v>
      </c>
      <c r="O1018" s="12"/>
      <c r="P1018" s="12" t="s">
        <v>130</v>
      </c>
    </row>
    <row r="1019" spans="1:16" ht="191.25" hidden="1" customHeight="1" x14ac:dyDescent="0.35">
      <c r="A1019" s="12">
        <v>2422</v>
      </c>
      <c r="B1019" s="12" t="s">
        <v>100</v>
      </c>
      <c r="C1019" s="12" t="s">
        <v>113</v>
      </c>
      <c r="D1019" s="12" t="s">
        <v>114</v>
      </c>
      <c r="E1019" s="12" t="s">
        <v>134</v>
      </c>
      <c r="F1019" s="12" t="s">
        <v>39</v>
      </c>
      <c r="G1019" s="12" t="s">
        <v>55</v>
      </c>
      <c r="H1019" s="12">
        <v>26</v>
      </c>
      <c r="I1019" s="13">
        <v>45911.618599537003</v>
      </c>
      <c r="J1019" s="12" t="s">
        <v>127</v>
      </c>
      <c r="K1019" s="12" t="s">
        <v>135</v>
      </c>
      <c r="L1019" s="14"/>
      <c r="M1019" s="14">
        <f t="shared" si="15"/>
        <v>0</v>
      </c>
      <c r="N1019" s="7" t="s">
        <v>1127</v>
      </c>
      <c r="O1019" s="12"/>
      <c r="P1019" s="12" t="s">
        <v>130</v>
      </c>
    </row>
    <row r="1020" spans="1:16" ht="270" hidden="1" customHeight="1" x14ac:dyDescent="0.35">
      <c r="A1020" s="12">
        <v>7045</v>
      </c>
      <c r="B1020" s="12" t="s">
        <v>100</v>
      </c>
      <c r="C1020" s="12" t="s">
        <v>101</v>
      </c>
      <c r="D1020" s="12" t="s">
        <v>102</v>
      </c>
      <c r="E1020" s="12" t="s">
        <v>126</v>
      </c>
      <c r="F1020" s="12" t="s">
        <v>39</v>
      </c>
      <c r="G1020" s="12" t="s">
        <v>56</v>
      </c>
      <c r="H1020" s="12">
        <v>22</v>
      </c>
      <c r="I1020" s="13">
        <v>45915.634861111103</v>
      </c>
      <c r="J1020" s="12" t="s">
        <v>127</v>
      </c>
      <c r="K1020" s="12" t="s">
        <v>128</v>
      </c>
      <c r="L1020" s="14">
        <v>1</v>
      </c>
      <c r="M1020" s="14">
        <f t="shared" si="15"/>
        <v>1</v>
      </c>
      <c r="N1020" s="7" t="s">
        <v>1128</v>
      </c>
      <c r="O1020" s="12"/>
      <c r="P1020" s="12" t="s">
        <v>130</v>
      </c>
    </row>
    <row r="1021" spans="1:16" ht="168.75" hidden="1" customHeight="1" x14ac:dyDescent="0.35">
      <c r="A1021" s="12">
        <v>7046</v>
      </c>
      <c r="B1021" s="12" t="s">
        <v>100</v>
      </c>
      <c r="C1021" s="12" t="s">
        <v>101</v>
      </c>
      <c r="D1021" s="12" t="s">
        <v>102</v>
      </c>
      <c r="E1021" s="12" t="s">
        <v>131</v>
      </c>
      <c r="F1021" s="12" t="s">
        <v>39</v>
      </c>
      <c r="G1021" s="12" t="s">
        <v>56</v>
      </c>
      <c r="H1021" s="12">
        <v>22</v>
      </c>
      <c r="I1021" s="13">
        <v>45915.634861111103</v>
      </c>
      <c r="J1021" s="12" t="s">
        <v>127</v>
      </c>
      <c r="K1021" s="12" t="s">
        <v>128</v>
      </c>
      <c r="L1021" s="14">
        <v>1</v>
      </c>
      <c r="M1021" s="14">
        <f t="shared" si="15"/>
        <v>1</v>
      </c>
      <c r="N1021" s="7" t="s">
        <v>1129</v>
      </c>
      <c r="O1021" s="12"/>
      <c r="P1021" s="12" t="s">
        <v>130</v>
      </c>
    </row>
    <row r="1022" spans="1:16" ht="236.25" hidden="1" customHeight="1" x14ac:dyDescent="0.35">
      <c r="A1022" s="12">
        <v>7066</v>
      </c>
      <c r="B1022" s="12" t="s">
        <v>100</v>
      </c>
      <c r="C1022" s="12" t="s">
        <v>101</v>
      </c>
      <c r="D1022" s="12" t="s">
        <v>102</v>
      </c>
      <c r="E1022" s="12" t="s">
        <v>134</v>
      </c>
      <c r="F1022" s="12" t="s">
        <v>39</v>
      </c>
      <c r="G1022" s="12" t="s">
        <v>56</v>
      </c>
      <c r="H1022" s="12">
        <v>22</v>
      </c>
      <c r="I1022" s="13">
        <v>45915.634861111103</v>
      </c>
      <c r="J1022" s="12" t="s">
        <v>127</v>
      </c>
      <c r="K1022" s="12" t="s">
        <v>132</v>
      </c>
      <c r="L1022" s="14">
        <v>0.66600000000000004</v>
      </c>
      <c r="M1022" s="14">
        <f t="shared" si="15"/>
        <v>0.66600000000000004</v>
      </c>
      <c r="N1022" s="7" t="s">
        <v>1130</v>
      </c>
      <c r="O1022" s="12"/>
      <c r="P1022" s="12" t="s">
        <v>130</v>
      </c>
    </row>
    <row r="1023" spans="1:16" ht="168.75" hidden="1" customHeight="1" x14ac:dyDescent="0.35">
      <c r="A1023" s="12">
        <v>7068</v>
      </c>
      <c r="B1023" s="12" t="s">
        <v>100</v>
      </c>
      <c r="C1023" s="12" t="s">
        <v>103</v>
      </c>
      <c r="D1023" s="12" t="s">
        <v>104</v>
      </c>
      <c r="E1023" s="12" t="s">
        <v>126</v>
      </c>
      <c r="F1023" s="12" t="s">
        <v>39</v>
      </c>
      <c r="G1023" s="12" t="s">
        <v>56</v>
      </c>
      <c r="H1023" s="12">
        <v>22</v>
      </c>
      <c r="I1023" s="13">
        <v>45915.634861111103</v>
      </c>
      <c r="J1023" s="12" t="s">
        <v>127</v>
      </c>
      <c r="K1023" s="12" t="s">
        <v>132</v>
      </c>
      <c r="L1023" s="14">
        <v>0.66600000000000004</v>
      </c>
      <c r="M1023" s="14">
        <f t="shared" si="15"/>
        <v>0.66600000000000004</v>
      </c>
      <c r="N1023" s="7" t="s">
        <v>1131</v>
      </c>
      <c r="O1023" s="12"/>
      <c r="P1023" s="12" t="s">
        <v>130</v>
      </c>
    </row>
    <row r="1024" spans="1:16" ht="247.5" hidden="1" customHeight="1" x14ac:dyDescent="0.35">
      <c r="A1024" s="12">
        <v>7047</v>
      </c>
      <c r="B1024" s="12" t="s">
        <v>100</v>
      </c>
      <c r="C1024" s="12" t="s">
        <v>103</v>
      </c>
      <c r="D1024" s="12" t="s">
        <v>104</v>
      </c>
      <c r="E1024" s="12" t="s">
        <v>131</v>
      </c>
      <c r="F1024" s="12" t="s">
        <v>39</v>
      </c>
      <c r="G1024" s="12" t="s">
        <v>56</v>
      </c>
      <c r="H1024" s="12">
        <v>22</v>
      </c>
      <c r="I1024" s="13">
        <v>45915.634861111103</v>
      </c>
      <c r="J1024" s="12" t="s">
        <v>127</v>
      </c>
      <c r="K1024" s="12" t="s">
        <v>132</v>
      </c>
      <c r="L1024" s="14">
        <v>0.66600000000000004</v>
      </c>
      <c r="M1024" s="14">
        <f t="shared" si="15"/>
        <v>0.66600000000000004</v>
      </c>
      <c r="N1024" s="7" t="s">
        <v>1132</v>
      </c>
      <c r="O1024" s="12"/>
      <c r="P1024" s="12" t="s">
        <v>130</v>
      </c>
    </row>
    <row r="1025" spans="1:16" ht="113.25" hidden="1" customHeight="1" x14ac:dyDescent="0.35">
      <c r="A1025" s="12">
        <v>7069</v>
      </c>
      <c r="B1025" s="12" t="s">
        <v>100</v>
      </c>
      <c r="C1025" s="12" t="s">
        <v>103</v>
      </c>
      <c r="D1025" s="12" t="s">
        <v>104</v>
      </c>
      <c r="E1025" s="12" t="s">
        <v>134</v>
      </c>
      <c r="F1025" s="12" t="s">
        <v>39</v>
      </c>
      <c r="G1025" s="12" t="s">
        <v>56</v>
      </c>
      <c r="H1025" s="12">
        <v>22</v>
      </c>
      <c r="I1025" s="13">
        <v>45915.634861111103</v>
      </c>
      <c r="J1025" s="12" t="s">
        <v>127</v>
      </c>
      <c r="K1025" s="12" t="s">
        <v>128</v>
      </c>
      <c r="L1025" s="14">
        <v>1</v>
      </c>
      <c r="M1025" s="14">
        <f t="shared" si="15"/>
        <v>1</v>
      </c>
      <c r="N1025" s="7" t="s">
        <v>1133</v>
      </c>
      <c r="O1025" s="12"/>
      <c r="P1025" s="12" t="s">
        <v>130</v>
      </c>
    </row>
    <row r="1026" spans="1:16" ht="79.5" hidden="1" customHeight="1" x14ac:dyDescent="0.35">
      <c r="A1026" s="12">
        <v>7049</v>
      </c>
      <c r="B1026" s="12" t="s">
        <v>100</v>
      </c>
      <c r="C1026" s="12" t="s">
        <v>105</v>
      </c>
      <c r="D1026" s="12" t="s">
        <v>106</v>
      </c>
      <c r="E1026" s="12" t="s">
        <v>126</v>
      </c>
      <c r="F1026" s="12" t="s">
        <v>39</v>
      </c>
      <c r="G1026" s="12" t="s">
        <v>56</v>
      </c>
      <c r="H1026" s="12">
        <v>22</v>
      </c>
      <c r="I1026" s="13">
        <v>45915.634861111103</v>
      </c>
      <c r="J1026" s="12" t="s">
        <v>127</v>
      </c>
      <c r="K1026" s="12" t="s">
        <v>135</v>
      </c>
      <c r="L1026" s="14"/>
      <c r="M1026" s="14">
        <f t="shared" ref="M1026:M1089" si="16">IF(K1026="Sem progresso",0,IF(OR(K1026="Não avaliado",K1026="Não se aplica",K1026=""),"",L1026))</f>
        <v>0</v>
      </c>
      <c r="N1026" s="7" t="s">
        <v>1134</v>
      </c>
      <c r="O1026" s="12"/>
      <c r="P1026" s="12" t="s">
        <v>130</v>
      </c>
    </row>
    <row r="1027" spans="1:16" ht="90.75" hidden="1" customHeight="1" x14ac:dyDescent="0.35">
      <c r="A1027" s="12">
        <v>7073</v>
      </c>
      <c r="B1027" s="12" t="s">
        <v>100</v>
      </c>
      <c r="C1027" s="12" t="s">
        <v>105</v>
      </c>
      <c r="D1027" s="12" t="s">
        <v>106</v>
      </c>
      <c r="E1027" s="12" t="s">
        <v>131</v>
      </c>
      <c r="F1027" s="12" t="s">
        <v>39</v>
      </c>
      <c r="G1027" s="12" t="s">
        <v>56</v>
      </c>
      <c r="H1027" s="12">
        <v>22</v>
      </c>
      <c r="I1027" s="13">
        <v>45915.634861111103</v>
      </c>
      <c r="J1027" s="12" t="s">
        <v>127</v>
      </c>
      <c r="K1027" s="12" t="s">
        <v>688</v>
      </c>
      <c r="L1027" s="14"/>
      <c r="M1027" s="14" t="str">
        <f t="shared" si="16"/>
        <v/>
      </c>
      <c r="N1027" s="7" t="s">
        <v>1135</v>
      </c>
      <c r="O1027" s="12"/>
      <c r="P1027" s="12" t="s">
        <v>130</v>
      </c>
    </row>
    <row r="1028" spans="1:16" ht="147" hidden="1" customHeight="1" x14ac:dyDescent="0.35">
      <c r="A1028" s="12">
        <v>7050</v>
      </c>
      <c r="B1028" s="12" t="s">
        <v>100</v>
      </c>
      <c r="C1028" s="12" t="s">
        <v>107</v>
      </c>
      <c r="D1028" s="12" t="s">
        <v>108</v>
      </c>
      <c r="E1028" s="12" t="s">
        <v>126</v>
      </c>
      <c r="F1028" s="12" t="s">
        <v>39</v>
      </c>
      <c r="G1028" s="12" t="s">
        <v>56</v>
      </c>
      <c r="H1028" s="12">
        <v>22</v>
      </c>
      <c r="I1028" s="13">
        <v>45915.634861111103</v>
      </c>
      <c r="J1028" s="12" t="s">
        <v>127</v>
      </c>
      <c r="K1028" s="12" t="s">
        <v>128</v>
      </c>
      <c r="L1028" s="14">
        <v>1</v>
      </c>
      <c r="M1028" s="14">
        <f t="shared" si="16"/>
        <v>1</v>
      </c>
      <c r="N1028" s="7" t="s">
        <v>1136</v>
      </c>
      <c r="O1028" s="12"/>
      <c r="P1028" s="12" t="s">
        <v>130</v>
      </c>
    </row>
    <row r="1029" spans="1:16" ht="236.25" hidden="1" customHeight="1" x14ac:dyDescent="0.35">
      <c r="A1029" s="12">
        <v>7075</v>
      </c>
      <c r="B1029" s="12" t="s">
        <v>100</v>
      </c>
      <c r="C1029" s="12" t="s">
        <v>107</v>
      </c>
      <c r="D1029" s="12" t="s">
        <v>108</v>
      </c>
      <c r="E1029" s="12" t="s">
        <v>131</v>
      </c>
      <c r="F1029" s="12" t="s">
        <v>39</v>
      </c>
      <c r="G1029" s="12" t="s">
        <v>56</v>
      </c>
      <c r="H1029" s="12">
        <v>22</v>
      </c>
      <c r="I1029" s="13">
        <v>45915.634861111103</v>
      </c>
      <c r="J1029" s="12" t="s">
        <v>127</v>
      </c>
      <c r="K1029" s="12" t="s">
        <v>128</v>
      </c>
      <c r="L1029" s="14">
        <v>1</v>
      </c>
      <c r="M1029" s="14">
        <f t="shared" si="16"/>
        <v>1</v>
      </c>
      <c r="N1029" s="7" t="s">
        <v>1137</v>
      </c>
      <c r="O1029" s="12"/>
      <c r="P1029" s="12" t="s">
        <v>130</v>
      </c>
    </row>
    <row r="1030" spans="1:16" ht="157.5" hidden="1" customHeight="1" x14ac:dyDescent="0.35">
      <c r="A1030" s="12">
        <v>7076</v>
      </c>
      <c r="B1030" s="12" t="s">
        <v>100</v>
      </c>
      <c r="C1030" s="12" t="s">
        <v>107</v>
      </c>
      <c r="D1030" s="12" t="s">
        <v>108</v>
      </c>
      <c r="E1030" s="12" t="s">
        <v>134</v>
      </c>
      <c r="F1030" s="12" t="s">
        <v>39</v>
      </c>
      <c r="G1030" s="12" t="s">
        <v>56</v>
      </c>
      <c r="H1030" s="12">
        <v>22</v>
      </c>
      <c r="I1030" s="13">
        <v>45915.634861111103</v>
      </c>
      <c r="J1030" s="12" t="s">
        <v>127</v>
      </c>
      <c r="K1030" s="12" t="s">
        <v>132</v>
      </c>
      <c r="L1030" s="14">
        <v>0.66600000000000004</v>
      </c>
      <c r="M1030" s="14">
        <f t="shared" si="16"/>
        <v>0.66600000000000004</v>
      </c>
      <c r="N1030" s="7" t="s">
        <v>1138</v>
      </c>
      <c r="O1030" s="12"/>
      <c r="P1030" s="12" t="s">
        <v>130</v>
      </c>
    </row>
    <row r="1031" spans="1:16" ht="202.5" hidden="1" customHeight="1" x14ac:dyDescent="0.35">
      <c r="A1031" s="12">
        <v>7078</v>
      </c>
      <c r="B1031" s="12" t="s">
        <v>100</v>
      </c>
      <c r="C1031" s="12" t="s">
        <v>109</v>
      </c>
      <c r="D1031" s="12" t="s">
        <v>110</v>
      </c>
      <c r="E1031" s="12" t="s">
        <v>126</v>
      </c>
      <c r="F1031" s="12" t="s">
        <v>39</v>
      </c>
      <c r="G1031" s="12" t="s">
        <v>56</v>
      </c>
      <c r="H1031" s="12">
        <v>22</v>
      </c>
      <c r="I1031" s="13">
        <v>45915.634861111103</v>
      </c>
      <c r="J1031" s="12" t="s">
        <v>127</v>
      </c>
      <c r="K1031" s="12" t="s">
        <v>128</v>
      </c>
      <c r="L1031" s="14">
        <v>1</v>
      </c>
      <c r="M1031" s="14">
        <f t="shared" si="16"/>
        <v>1</v>
      </c>
      <c r="N1031" s="7" t="s">
        <v>1139</v>
      </c>
      <c r="O1031" s="12"/>
      <c r="P1031" s="12" t="s">
        <v>130</v>
      </c>
    </row>
    <row r="1032" spans="1:16" ht="57" hidden="1" customHeight="1" x14ac:dyDescent="0.35">
      <c r="A1032" s="12">
        <v>7079</v>
      </c>
      <c r="B1032" s="12" t="s">
        <v>100</v>
      </c>
      <c r="C1032" s="12" t="s">
        <v>109</v>
      </c>
      <c r="D1032" s="12" t="s">
        <v>110</v>
      </c>
      <c r="E1032" s="12" t="s">
        <v>131</v>
      </c>
      <c r="F1032" s="12" t="s">
        <v>39</v>
      </c>
      <c r="G1032" s="12" t="s">
        <v>56</v>
      </c>
      <c r="H1032" s="12">
        <v>22</v>
      </c>
      <c r="I1032" s="13">
        <v>45915.634861111103</v>
      </c>
      <c r="J1032" s="12" t="s">
        <v>127</v>
      </c>
      <c r="K1032" s="12" t="s">
        <v>128</v>
      </c>
      <c r="L1032" s="14">
        <v>1</v>
      </c>
      <c r="M1032" s="14">
        <f t="shared" si="16"/>
        <v>1</v>
      </c>
      <c r="N1032" s="7" t="s">
        <v>1140</v>
      </c>
      <c r="O1032" s="12"/>
      <c r="P1032" s="12"/>
    </row>
    <row r="1033" spans="1:16" ht="90.75" hidden="1" customHeight="1" x14ac:dyDescent="0.35">
      <c r="A1033" s="12">
        <v>7142</v>
      </c>
      <c r="B1033" s="12" t="s">
        <v>100</v>
      </c>
      <c r="C1033" s="12" t="s">
        <v>111</v>
      </c>
      <c r="D1033" s="12" t="s">
        <v>112</v>
      </c>
      <c r="E1033" s="12" t="s">
        <v>126</v>
      </c>
      <c r="F1033" s="12" t="s">
        <v>39</v>
      </c>
      <c r="G1033" s="12" t="s">
        <v>56</v>
      </c>
      <c r="H1033" s="12">
        <v>22</v>
      </c>
      <c r="I1033" s="13">
        <v>45915.634861111103</v>
      </c>
      <c r="J1033" s="12" t="s">
        <v>127</v>
      </c>
      <c r="K1033" s="12" t="s">
        <v>135</v>
      </c>
      <c r="L1033" s="14"/>
      <c r="M1033" s="14">
        <f t="shared" si="16"/>
        <v>0</v>
      </c>
      <c r="N1033" s="7" t="s">
        <v>1141</v>
      </c>
      <c r="O1033" s="12"/>
      <c r="P1033" s="12" t="s">
        <v>130</v>
      </c>
    </row>
    <row r="1034" spans="1:16" ht="102" hidden="1" customHeight="1" x14ac:dyDescent="0.35">
      <c r="A1034" s="12">
        <v>7164</v>
      </c>
      <c r="B1034" s="12" t="s">
        <v>100</v>
      </c>
      <c r="C1034" s="12" t="s">
        <v>111</v>
      </c>
      <c r="D1034" s="12" t="s">
        <v>112</v>
      </c>
      <c r="E1034" s="12" t="s">
        <v>131</v>
      </c>
      <c r="F1034" s="12" t="s">
        <v>39</v>
      </c>
      <c r="G1034" s="12" t="s">
        <v>56</v>
      </c>
      <c r="H1034" s="12">
        <v>22</v>
      </c>
      <c r="I1034" s="13">
        <v>45915.634861111103</v>
      </c>
      <c r="J1034" s="12" t="s">
        <v>127</v>
      </c>
      <c r="K1034" s="12" t="s">
        <v>135</v>
      </c>
      <c r="L1034" s="14"/>
      <c r="M1034" s="14">
        <f t="shared" si="16"/>
        <v>0</v>
      </c>
      <c r="N1034" s="7" t="s">
        <v>1142</v>
      </c>
      <c r="O1034" s="12"/>
      <c r="P1034" s="12" t="s">
        <v>130</v>
      </c>
    </row>
    <row r="1035" spans="1:16" ht="168.75" hidden="1" customHeight="1" x14ac:dyDescent="0.35">
      <c r="A1035" s="12">
        <v>7143</v>
      </c>
      <c r="B1035" s="12" t="s">
        <v>100</v>
      </c>
      <c r="C1035" s="12" t="s">
        <v>111</v>
      </c>
      <c r="D1035" s="12" t="s">
        <v>112</v>
      </c>
      <c r="E1035" s="12" t="s">
        <v>134</v>
      </c>
      <c r="F1035" s="12" t="s">
        <v>39</v>
      </c>
      <c r="G1035" s="12" t="s">
        <v>56</v>
      </c>
      <c r="H1035" s="12">
        <v>22</v>
      </c>
      <c r="I1035" s="13">
        <v>45915.634861111103</v>
      </c>
      <c r="J1035" s="12" t="s">
        <v>127</v>
      </c>
      <c r="K1035" s="12" t="s">
        <v>132</v>
      </c>
      <c r="L1035" s="14">
        <v>0.66600000000000004</v>
      </c>
      <c r="M1035" s="14">
        <f t="shared" si="16"/>
        <v>0.66600000000000004</v>
      </c>
      <c r="N1035" s="7" t="s">
        <v>1143</v>
      </c>
      <c r="O1035" s="12"/>
      <c r="P1035" s="12" t="s">
        <v>130</v>
      </c>
    </row>
    <row r="1036" spans="1:16" ht="157.5" hidden="1" customHeight="1" x14ac:dyDescent="0.35">
      <c r="A1036" s="12">
        <v>7144</v>
      </c>
      <c r="B1036" s="12" t="s">
        <v>100</v>
      </c>
      <c r="C1036" s="12" t="s">
        <v>113</v>
      </c>
      <c r="D1036" s="12" t="s">
        <v>114</v>
      </c>
      <c r="E1036" s="12" t="s">
        <v>126</v>
      </c>
      <c r="F1036" s="12" t="s">
        <v>39</v>
      </c>
      <c r="G1036" s="12" t="s">
        <v>56</v>
      </c>
      <c r="H1036" s="12">
        <v>22</v>
      </c>
      <c r="I1036" s="13">
        <v>45915.634861111103</v>
      </c>
      <c r="J1036" s="12" t="s">
        <v>127</v>
      </c>
      <c r="K1036" s="12" t="s">
        <v>132</v>
      </c>
      <c r="L1036" s="14">
        <v>0.66600000000000004</v>
      </c>
      <c r="M1036" s="14">
        <f t="shared" si="16"/>
        <v>0.66600000000000004</v>
      </c>
      <c r="N1036" s="7" t="s">
        <v>1144</v>
      </c>
      <c r="O1036" s="12"/>
      <c r="P1036" s="12" t="s">
        <v>130</v>
      </c>
    </row>
    <row r="1037" spans="1:16" ht="124.5" hidden="1" customHeight="1" x14ac:dyDescent="0.35">
      <c r="A1037" s="12">
        <v>7165</v>
      </c>
      <c r="B1037" s="12" t="s">
        <v>100</v>
      </c>
      <c r="C1037" s="12" t="s">
        <v>113</v>
      </c>
      <c r="D1037" s="12" t="s">
        <v>114</v>
      </c>
      <c r="E1037" s="12" t="s">
        <v>131</v>
      </c>
      <c r="F1037" s="12" t="s">
        <v>39</v>
      </c>
      <c r="G1037" s="12" t="s">
        <v>56</v>
      </c>
      <c r="H1037" s="12">
        <v>22</v>
      </c>
      <c r="I1037" s="13">
        <v>45915.634861111103</v>
      </c>
      <c r="J1037" s="12" t="s">
        <v>127</v>
      </c>
      <c r="K1037" s="12" t="s">
        <v>135</v>
      </c>
      <c r="L1037" s="14"/>
      <c r="M1037" s="14">
        <f t="shared" si="16"/>
        <v>0</v>
      </c>
      <c r="N1037" s="7" t="s">
        <v>1145</v>
      </c>
      <c r="O1037" s="12"/>
      <c r="P1037" s="12" t="s">
        <v>130</v>
      </c>
    </row>
    <row r="1038" spans="1:16" ht="113.25" hidden="1" customHeight="1" x14ac:dyDescent="0.35">
      <c r="A1038" s="12">
        <v>7145</v>
      </c>
      <c r="B1038" s="12" t="s">
        <v>100</v>
      </c>
      <c r="C1038" s="12" t="s">
        <v>113</v>
      </c>
      <c r="D1038" s="12" t="s">
        <v>114</v>
      </c>
      <c r="E1038" s="12" t="s">
        <v>134</v>
      </c>
      <c r="F1038" s="12" t="s">
        <v>39</v>
      </c>
      <c r="G1038" s="12" t="s">
        <v>56</v>
      </c>
      <c r="H1038" s="12">
        <v>22</v>
      </c>
      <c r="I1038" s="13">
        <v>45915.634861111103</v>
      </c>
      <c r="J1038" s="12" t="s">
        <v>127</v>
      </c>
      <c r="K1038" s="12" t="s">
        <v>142</v>
      </c>
      <c r="L1038" s="14">
        <v>0.33300000000000002</v>
      </c>
      <c r="M1038" s="14">
        <f t="shared" si="16"/>
        <v>0.33300000000000002</v>
      </c>
      <c r="N1038" s="7" t="s">
        <v>1146</v>
      </c>
      <c r="O1038" s="12"/>
      <c r="P1038" s="12"/>
    </row>
    <row r="1039" spans="1:16" ht="225" hidden="1" customHeight="1" x14ac:dyDescent="0.35">
      <c r="A1039" s="12">
        <v>6325</v>
      </c>
      <c r="B1039" s="12" t="s">
        <v>100</v>
      </c>
      <c r="C1039" s="12" t="s">
        <v>101</v>
      </c>
      <c r="D1039" s="12" t="s">
        <v>102</v>
      </c>
      <c r="E1039" s="12" t="s">
        <v>126</v>
      </c>
      <c r="F1039" s="12" t="s">
        <v>66</v>
      </c>
      <c r="G1039" s="12" t="s">
        <v>81</v>
      </c>
      <c r="H1039" s="12">
        <v>4314902</v>
      </c>
      <c r="I1039" s="13">
        <v>45918.781226851897</v>
      </c>
      <c r="J1039" s="12" t="s">
        <v>127</v>
      </c>
      <c r="K1039" s="12" t="s">
        <v>128</v>
      </c>
      <c r="L1039" s="14">
        <v>1</v>
      </c>
      <c r="M1039" s="14">
        <f t="shared" si="16"/>
        <v>1</v>
      </c>
      <c r="N1039" s="7" t="s">
        <v>1147</v>
      </c>
      <c r="O1039" s="12"/>
      <c r="P1039" s="12" t="s">
        <v>130</v>
      </c>
    </row>
    <row r="1040" spans="1:16" ht="236.25" hidden="1" customHeight="1" x14ac:dyDescent="0.35">
      <c r="A1040" s="12">
        <v>6538</v>
      </c>
      <c r="B1040" s="12" t="s">
        <v>100</v>
      </c>
      <c r="C1040" s="12" t="s">
        <v>101</v>
      </c>
      <c r="D1040" s="12" t="s">
        <v>102</v>
      </c>
      <c r="E1040" s="12" t="s">
        <v>131</v>
      </c>
      <c r="F1040" s="12" t="s">
        <v>66</v>
      </c>
      <c r="G1040" s="12" t="s">
        <v>81</v>
      </c>
      <c r="H1040" s="12">
        <v>4314902</v>
      </c>
      <c r="I1040" s="13">
        <v>45918.781226851897</v>
      </c>
      <c r="J1040" s="12" t="s">
        <v>127</v>
      </c>
      <c r="K1040" s="12" t="s">
        <v>128</v>
      </c>
      <c r="L1040" s="14">
        <v>1</v>
      </c>
      <c r="M1040" s="14">
        <f t="shared" si="16"/>
        <v>1</v>
      </c>
      <c r="N1040" s="7" t="s">
        <v>1148</v>
      </c>
      <c r="O1040" s="12"/>
      <c r="P1040" s="12" t="s">
        <v>130</v>
      </c>
    </row>
    <row r="1041" spans="1:16" ht="213.75" hidden="1" customHeight="1" x14ac:dyDescent="0.35">
      <c r="A1041" s="12">
        <v>6539</v>
      </c>
      <c r="B1041" s="12" t="s">
        <v>100</v>
      </c>
      <c r="C1041" s="12" t="s">
        <v>101</v>
      </c>
      <c r="D1041" s="12" t="s">
        <v>102</v>
      </c>
      <c r="E1041" s="12" t="s">
        <v>134</v>
      </c>
      <c r="F1041" s="12" t="s">
        <v>66</v>
      </c>
      <c r="G1041" s="12" t="s">
        <v>81</v>
      </c>
      <c r="H1041" s="12">
        <v>4314902</v>
      </c>
      <c r="I1041" s="13">
        <v>45918.781226851897</v>
      </c>
      <c r="J1041" s="12" t="s">
        <v>127</v>
      </c>
      <c r="K1041" s="12" t="s">
        <v>128</v>
      </c>
      <c r="L1041" s="14">
        <v>1</v>
      </c>
      <c r="M1041" s="14">
        <f t="shared" si="16"/>
        <v>1</v>
      </c>
      <c r="N1041" s="7" t="s">
        <v>1149</v>
      </c>
      <c r="O1041" s="12"/>
      <c r="P1041" s="12" t="s">
        <v>130</v>
      </c>
    </row>
    <row r="1042" spans="1:16" ht="247.5" hidden="1" customHeight="1" x14ac:dyDescent="0.35">
      <c r="A1042" s="12">
        <v>6605</v>
      </c>
      <c r="B1042" s="12" t="s">
        <v>100</v>
      </c>
      <c r="C1042" s="12" t="s">
        <v>103</v>
      </c>
      <c r="D1042" s="12" t="s">
        <v>104</v>
      </c>
      <c r="E1042" s="12" t="s">
        <v>126</v>
      </c>
      <c r="F1042" s="12" t="s">
        <v>66</v>
      </c>
      <c r="G1042" s="12" t="s">
        <v>81</v>
      </c>
      <c r="H1042" s="12">
        <v>4314902</v>
      </c>
      <c r="I1042" s="13">
        <v>45918.781226851897</v>
      </c>
      <c r="J1042" s="12" t="s">
        <v>127</v>
      </c>
      <c r="K1042" s="12" t="s">
        <v>132</v>
      </c>
      <c r="L1042" s="14">
        <v>0.66600000000000004</v>
      </c>
      <c r="M1042" s="14">
        <f t="shared" si="16"/>
        <v>0.66600000000000004</v>
      </c>
      <c r="N1042" s="7" t="s">
        <v>1150</v>
      </c>
      <c r="O1042" s="12"/>
      <c r="P1042" s="12" t="s">
        <v>130</v>
      </c>
    </row>
    <row r="1043" spans="1:16" ht="213.75" hidden="1" customHeight="1" x14ac:dyDescent="0.35">
      <c r="A1043" s="12">
        <v>6704</v>
      </c>
      <c r="B1043" s="12" t="s">
        <v>100</v>
      </c>
      <c r="C1043" s="12" t="s">
        <v>103</v>
      </c>
      <c r="D1043" s="12" t="s">
        <v>104</v>
      </c>
      <c r="E1043" s="12" t="s">
        <v>131</v>
      </c>
      <c r="F1043" s="12" t="s">
        <v>66</v>
      </c>
      <c r="G1043" s="12" t="s">
        <v>81</v>
      </c>
      <c r="H1043" s="12">
        <v>4314902</v>
      </c>
      <c r="I1043" s="13">
        <v>45918.781226851897</v>
      </c>
      <c r="J1043" s="12" t="s">
        <v>127</v>
      </c>
      <c r="K1043" s="12" t="s">
        <v>132</v>
      </c>
      <c r="L1043" s="14">
        <v>0.66600000000000004</v>
      </c>
      <c r="M1043" s="14">
        <f t="shared" si="16"/>
        <v>0.66600000000000004</v>
      </c>
      <c r="N1043" s="7" t="s">
        <v>1151</v>
      </c>
      <c r="O1043" s="12"/>
      <c r="P1043" s="12" t="s">
        <v>130</v>
      </c>
    </row>
    <row r="1044" spans="1:16" ht="168.75" hidden="1" customHeight="1" x14ac:dyDescent="0.35">
      <c r="A1044" s="12">
        <v>6742</v>
      </c>
      <c r="B1044" s="12" t="s">
        <v>100</v>
      </c>
      <c r="C1044" s="12" t="s">
        <v>103</v>
      </c>
      <c r="D1044" s="12" t="s">
        <v>104</v>
      </c>
      <c r="E1044" s="12" t="s">
        <v>134</v>
      </c>
      <c r="F1044" s="12" t="s">
        <v>66</v>
      </c>
      <c r="G1044" s="12" t="s">
        <v>81</v>
      </c>
      <c r="H1044" s="12">
        <v>4314902</v>
      </c>
      <c r="I1044" s="13">
        <v>45918.781226851897</v>
      </c>
      <c r="J1044" s="12" t="s">
        <v>127</v>
      </c>
      <c r="K1044" s="12" t="s">
        <v>132</v>
      </c>
      <c r="L1044" s="14">
        <v>0.66600000000000004</v>
      </c>
      <c r="M1044" s="14">
        <f t="shared" si="16"/>
        <v>0.66600000000000004</v>
      </c>
      <c r="N1044" s="7" t="s">
        <v>1152</v>
      </c>
      <c r="O1044" s="12"/>
      <c r="P1044" s="12" t="s">
        <v>130</v>
      </c>
    </row>
    <row r="1045" spans="1:16" ht="157.5" hidden="1" customHeight="1" x14ac:dyDescent="0.35">
      <c r="A1045" s="12">
        <v>6761</v>
      </c>
      <c r="B1045" s="12" t="s">
        <v>100</v>
      </c>
      <c r="C1045" s="12" t="s">
        <v>105</v>
      </c>
      <c r="D1045" s="12" t="s">
        <v>106</v>
      </c>
      <c r="E1045" s="12" t="s">
        <v>126</v>
      </c>
      <c r="F1045" s="12" t="s">
        <v>66</v>
      </c>
      <c r="G1045" s="12" t="s">
        <v>81</v>
      </c>
      <c r="H1045" s="12">
        <v>4314902</v>
      </c>
      <c r="I1045" s="13">
        <v>45918.781226851897</v>
      </c>
      <c r="J1045" s="12" t="s">
        <v>127</v>
      </c>
      <c r="K1045" s="12" t="s">
        <v>128</v>
      </c>
      <c r="L1045" s="14">
        <v>1</v>
      </c>
      <c r="M1045" s="14">
        <f t="shared" si="16"/>
        <v>1</v>
      </c>
      <c r="N1045" s="7" t="s">
        <v>1153</v>
      </c>
      <c r="O1045" s="12"/>
      <c r="P1045" s="12" t="s">
        <v>130</v>
      </c>
    </row>
    <row r="1046" spans="1:16" ht="225" hidden="1" customHeight="1" x14ac:dyDescent="0.35">
      <c r="A1046" s="12">
        <v>6736</v>
      </c>
      <c r="B1046" s="12" t="s">
        <v>100</v>
      </c>
      <c r="C1046" s="12" t="s">
        <v>105</v>
      </c>
      <c r="D1046" s="12" t="s">
        <v>106</v>
      </c>
      <c r="E1046" s="12" t="s">
        <v>131</v>
      </c>
      <c r="F1046" s="12" t="s">
        <v>66</v>
      </c>
      <c r="G1046" s="12" t="s">
        <v>81</v>
      </c>
      <c r="H1046" s="12">
        <v>4314902</v>
      </c>
      <c r="I1046" s="13">
        <v>45918.781226851897</v>
      </c>
      <c r="J1046" s="12" t="s">
        <v>127</v>
      </c>
      <c r="K1046" s="12" t="s">
        <v>128</v>
      </c>
      <c r="L1046" s="14">
        <v>1</v>
      </c>
      <c r="M1046" s="14">
        <f t="shared" si="16"/>
        <v>1</v>
      </c>
      <c r="N1046" s="7" t="s">
        <v>1154</v>
      </c>
      <c r="O1046" s="12"/>
      <c r="P1046" s="12" t="s">
        <v>130</v>
      </c>
    </row>
    <row r="1047" spans="1:16" ht="213.75" hidden="1" customHeight="1" x14ac:dyDescent="0.35">
      <c r="A1047" s="12">
        <v>6882</v>
      </c>
      <c r="B1047" s="12" t="s">
        <v>100</v>
      </c>
      <c r="C1047" s="12" t="s">
        <v>107</v>
      </c>
      <c r="D1047" s="12" t="s">
        <v>108</v>
      </c>
      <c r="E1047" s="12" t="s">
        <v>126</v>
      </c>
      <c r="F1047" s="12" t="s">
        <v>66</v>
      </c>
      <c r="G1047" s="12" t="s">
        <v>81</v>
      </c>
      <c r="H1047" s="12">
        <v>4314902</v>
      </c>
      <c r="I1047" s="13">
        <v>45918.781226851897</v>
      </c>
      <c r="J1047" s="12" t="s">
        <v>127</v>
      </c>
      <c r="K1047" s="12" t="s">
        <v>132</v>
      </c>
      <c r="L1047" s="14">
        <v>0.66600000000000004</v>
      </c>
      <c r="M1047" s="14">
        <f t="shared" si="16"/>
        <v>0.66600000000000004</v>
      </c>
      <c r="N1047" s="7" t="s">
        <v>1155</v>
      </c>
      <c r="O1047" s="12"/>
      <c r="P1047" s="12" t="s">
        <v>130</v>
      </c>
    </row>
    <row r="1048" spans="1:16" ht="157.5" hidden="1" customHeight="1" x14ac:dyDescent="0.35">
      <c r="A1048" s="12">
        <v>6883</v>
      </c>
      <c r="B1048" s="12" t="s">
        <v>100</v>
      </c>
      <c r="C1048" s="12" t="s">
        <v>107</v>
      </c>
      <c r="D1048" s="12" t="s">
        <v>108</v>
      </c>
      <c r="E1048" s="12" t="s">
        <v>131</v>
      </c>
      <c r="F1048" s="12" t="s">
        <v>66</v>
      </c>
      <c r="G1048" s="12" t="s">
        <v>81</v>
      </c>
      <c r="H1048" s="12">
        <v>4314902</v>
      </c>
      <c r="I1048" s="13">
        <v>45918.781226851897</v>
      </c>
      <c r="J1048" s="12" t="s">
        <v>127</v>
      </c>
      <c r="K1048" s="12" t="s">
        <v>128</v>
      </c>
      <c r="L1048" s="14">
        <v>1</v>
      </c>
      <c r="M1048" s="14">
        <f t="shared" si="16"/>
        <v>1</v>
      </c>
      <c r="N1048" s="7" t="s">
        <v>1156</v>
      </c>
      <c r="O1048" s="12"/>
      <c r="P1048" s="12" t="s">
        <v>130</v>
      </c>
    </row>
    <row r="1049" spans="1:16" ht="124.5" hidden="1" customHeight="1" x14ac:dyDescent="0.35">
      <c r="A1049" s="12">
        <v>7061</v>
      </c>
      <c r="B1049" s="12" t="s">
        <v>100</v>
      </c>
      <c r="C1049" s="12" t="s">
        <v>107</v>
      </c>
      <c r="D1049" s="12" t="s">
        <v>108</v>
      </c>
      <c r="E1049" s="12" t="s">
        <v>134</v>
      </c>
      <c r="F1049" s="12" t="s">
        <v>66</v>
      </c>
      <c r="G1049" s="12" t="s">
        <v>81</v>
      </c>
      <c r="H1049" s="12">
        <v>4314902</v>
      </c>
      <c r="I1049" s="13">
        <v>45918.781226851897</v>
      </c>
      <c r="J1049" s="12" t="s">
        <v>127</v>
      </c>
      <c r="K1049" s="12" t="s">
        <v>132</v>
      </c>
      <c r="L1049" s="14">
        <v>0.66600000000000004</v>
      </c>
      <c r="M1049" s="14">
        <f t="shared" si="16"/>
        <v>0.66600000000000004</v>
      </c>
      <c r="N1049" s="7" t="s">
        <v>1157</v>
      </c>
      <c r="O1049" s="12"/>
      <c r="P1049" s="12" t="s">
        <v>130</v>
      </c>
    </row>
    <row r="1050" spans="1:16" ht="168.75" hidden="1" customHeight="1" x14ac:dyDescent="0.35">
      <c r="A1050" s="12">
        <v>7059</v>
      </c>
      <c r="B1050" s="12" t="s">
        <v>100</v>
      </c>
      <c r="C1050" s="12" t="s">
        <v>109</v>
      </c>
      <c r="D1050" s="12" t="s">
        <v>110</v>
      </c>
      <c r="E1050" s="12" t="s">
        <v>126</v>
      </c>
      <c r="F1050" s="12" t="s">
        <v>66</v>
      </c>
      <c r="G1050" s="12" t="s">
        <v>81</v>
      </c>
      <c r="H1050" s="12">
        <v>4314902</v>
      </c>
      <c r="I1050" s="13">
        <v>45918.781226851897</v>
      </c>
      <c r="J1050" s="12" t="s">
        <v>127</v>
      </c>
      <c r="K1050" s="12" t="s">
        <v>132</v>
      </c>
      <c r="L1050" s="14">
        <v>0.66600000000000004</v>
      </c>
      <c r="M1050" s="14">
        <f t="shared" si="16"/>
        <v>0.66600000000000004</v>
      </c>
      <c r="N1050" s="7" t="s">
        <v>1158</v>
      </c>
      <c r="O1050" s="12"/>
      <c r="P1050" s="12" t="s">
        <v>130</v>
      </c>
    </row>
    <row r="1051" spans="1:16" ht="180" hidden="1" customHeight="1" x14ac:dyDescent="0.35">
      <c r="A1051" s="12">
        <v>7110</v>
      </c>
      <c r="B1051" s="12" t="s">
        <v>100</v>
      </c>
      <c r="C1051" s="12" t="s">
        <v>109</v>
      </c>
      <c r="D1051" s="12" t="s">
        <v>110</v>
      </c>
      <c r="E1051" s="12" t="s">
        <v>131</v>
      </c>
      <c r="F1051" s="12" t="s">
        <v>66</v>
      </c>
      <c r="G1051" s="12" t="s">
        <v>81</v>
      </c>
      <c r="H1051" s="12">
        <v>4314902</v>
      </c>
      <c r="I1051" s="13">
        <v>45918.781226851897</v>
      </c>
      <c r="J1051" s="12" t="s">
        <v>127</v>
      </c>
      <c r="K1051" s="12" t="s">
        <v>142</v>
      </c>
      <c r="L1051" s="14">
        <v>0.33300000000000002</v>
      </c>
      <c r="M1051" s="14">
        <f t="shared" si="16"/>
        <v>0.33300000000000002</v>
      </c>
      <c r="N1051" s="7" t="s">
        <v>1159</v>
      </c>
      <c r="O1051" s="12"/>
      <c r="P1051" s="12" t="s">
        <v>130</v>
      </c>
    </row>
    <row r="1052" spans="1:16" ht="180" hidden="1" customHeight="1" x14ac:dyDescent="0.35">
      <c r="A1052" s="12">
        <v>7113</v>
      </c>
      <c r="B1052" s="12" t="s">
        <v>100</v>
      </c>
      <c r="C1052" s="12" t="s">
        <v>111</v>
      </c>
      <c r="D1052" s="12" t="s">
        <v>112</v>
      </c>
      <c r="E1052" s="12" t="s">
        <v>126</v>
      </c>
      <c r="F1052" s="12" t="s">
        <v>66</v>
      </c>
      <c r="G1052" s="12" t="s">
        <v>81</v>
      </c>
      <c r="H1052" s="12">
        <v>4314902</v>
      </c>
      <c r="I1052" s="13">
        <v>45918.781226851897</v>
      </c>
      <c r="J1052" s="12" t="s">
        <v>127</v>
      </c>
      <c r="K1052" s="12" t="s">
        <v>128</v>
      </c>
      <c r="L1052" s="14">
        <v>1</v>
      </c>
      <c r="M1052" s="14">
        <f t="shared" si="16"/>
        <v>1</v>
      </c>
      <c r="N1052" s="7" t="s">
        <v>1160</v>
      </c>
      <c r="O1052" s="12"/>
      <c r="P1052" s="12" t="s">
        <v>130</v>
      </c>
    </row>
    <row r="1053" spans="1:16" ht="168.75" hidden="1" customHeight="1" x14ac:dyDescent="0.35">
      <c r="A1053" s="12">
        <v>7099</v>
      </c>
      <c r="B1053" s="12" t="s">
        <v>100</v>
      </c>
      <c r="C1053" s="12" t="s">
        <v>111</v>
      </c>
      <c r="D1053" s="12" t="s">
        <v>112</v>
      </c>
      <c r="E1053" s="12" t="s">
        <v>131</v>
      </c>
      <c r="F1053" s="12" t="s">
        <v>66</v>
      </c>
      <c r="G1053" s="12" t="s">
        <v>81</v>
      </c>
      <c r="H1053" s="12">
        <v>4314902</v>
      </c>
      <c r="I1053" s="13">
        <v>45918.781226851897</v>
      </c>
      <c r="J1053" s="12" t="s">
        <v>127</v>
      </c>
      <c r="K1053" s="12" t="s">
        <v>142</v>
      </c>
      <c r="L1053" s="14">
        <v>0.33300000000000002</v>
      </c>
      <c r="M1053" s="14">
        <f t="shared" si="16"/>
        <v>0.33300000000000002</v>
      </c>
      <c r="N1053" s="7" t="s">
        <v>1161</v>
      </c>
      <c r="O1053" s="12"/>
      <c r="P1053" s="12" t="s">
        <v>130</v>
      </c>
    </row>
    <row r="1054" spans="1:16" ht="236.25" hidden="1" customHeight="1" x14ac:dyDescent="0.35">
      <c r="A1054" s="12">
        <v>7115</v>
      </c>
      <c r="B1054" s="12" t="s">
        <v>100</v>
      </c>
      <c r="C1054" s="12" t="s">
        <v>111</v>
      </c>
      <c r="D1054" s="12" t="s">
        <v>112</v>
      </c>
      <c r="E1054" s="12" t="s">
        <v>134</v>
      </c>
      <c r="F1054" s="12" t="s">
        <v>66</v>
      </c>
      <c r="G1054" s="12" t="s">
        <v>81</v>
      </c>
      <c r="H1054" s="12">
        <v>4314902</v>
      </c>
      <c r="I1054" s="13">
        <v>45918.781226851897</v>
      </c>
      <c r="J1054" s="12" t="s">
        <v>127</v>
      </c>
      <c r="K1054" s="12" t="s">
        <v>132</v>
      </c>
      <c r="L1054" s="14">
        <v>0.66600000000000004</v>
      </c>
      <c r="M1054" s="14">
        <f t="shared" si="16"/>
        <v>0.66600000000000004</v>
      </c>
      <c r="N1054" s="7" t="s">
        <v>1162</v>
      </c>
      <c r="O1054" s="12"/>
      <c r="P1054" s="12" t="s">
        <v>130</v>
      </c>
    </row>
    <row r="1055" spans="1:16" ht="135.75" hidden="1" customHeight="1" x14ac:dyDescent="0.35">
      <c r="A1055" s="12">
        <v>7118</v>
      </c>
      <c r="B1055" s="12" t="s">
        <v>100</v>
      </c>
      <c r="C1055" s="12" t="s">
        <v>113</v>
      </c>
      <c r="D1055" s="12" t="s">
        <v>114</v>
      </c>
      <c r="E1055" s="12" t="s">
        <v>126</v>
      </c>
      <c r="F1055" s="12" t="s">
        <v>66</v>
      </c>
      <c r="G1055" s="12" t="s">
        <v>81</v>
      </c>
      <c r="H1055" s="12">
        <v>4314902</v>
      </c>
      <c r="I1055" s="13">
        <v>45918.781226851897</v>
      </c>
      <c r="J1055" s="12" t="s">
        <v>127</v>
      </c>
      <c r="K1055" s="12" t="s">
        <v>132</v>
      </c>
      <c r="L1055" s="14">
        <v>0.66600000000000004</v>
      </c>
      <c r="M1055" s="14">
        <f t="shared" si="16"/>
        <v>0.66600000000000004</v>
      </c>
      <c r="N1055" s="7" t="s">
        <v>1163</v>
      </c>
      <c r="O1055" s="12"/>
      <c r="P1055" s="12" t="s">
        <v>130</v>
      </c>
    </row>
    <row r="1056" spans="1:16" ht="15" hidden="1" customHeight="1" x14ac:dyDescent="0.35">
      <c r="A1056" s="12">
        <v>7969</v>
      </c>
      <c r="B1056" s="12" t="s">
        <v>100</v>
      </c>
      <c r="C1056" s="12" t="s">
        <v>113</v>
      </c>
      <c r="D1056" s="12" t="s">
        <v>114</v>
      </c>
      <c r="E1056" s="12" t="s">
        <v>131</v>
      </c>
      <c r="F1056" s="12" t="s">
        <v>66</v>
      </c>
      <c r="G1056" s="12" t="s">
        <v>81</v>
      </c>
      <c r="H1056" s="12">
        <v>4314902</v>
      </c>
      <c r="I1056" s="13">
        <v>45918.781226851897</v>
      </c>
      <c r="J1056" s="12" t="s">
        <v>127</v>
      </c>
      <c r="K1056" s="12"/>
      <c r="L1056" s="14"/>
      <c r="M1056" s="14" t="str">
        <f t="shared" si="16"/>
        <v/>
      </c>
      <c r="N1056" s="7"/>
      <c r="O1056" s="12" t="s">
        <v>1164</v>
      </c>
      <c r="P1056" s="12" t="s">
        <v>134</v>
      </c>
    </row>
    <row r="1057" spans="1:16" ht="15" hidden="1" customHeight="1" x14ac:dyDescent="0.35">
      <c r="A1057" s="12">
        <v>8025</v>
      </c>
      <c r="B1057" s="12" t="s">
        <v>100</v>
      </c>
      <c r="C1057" s="12" t="s">
        <v>113</v>
      </c>
      <c r="D1057" s="12" t="s">
        <v>114</v>
      </c>
      <c r="E1057" s="12" t="s">
        <v>134</v>
      </c>
      <c r="F1057" s="12" t="s">
        <v>66</v>
      </c>
      <c r="G1057" s="12" t="s">
        <v>81</v>
      </c>
      <c r="H1057" s="12">
        <v>4314902</v>
      </c>
      <c r="I1057" s="13">
        <v>45918.781226851897</v>
      </c>
      <c r="J1057" s="12" t="s">
        <v>127</v>
      </c>
      <c r="K1057" s="12" t="s">
        <v>688</v>
      </c>
      <c r="L1057" s="14"/>
      <c r="M1057" s="14" t="str">
        <f t="shared" si="16"/>
        <v/>
      </c>
      <c r="N1057" s="7" t="s">
        <v>1165</v>
      </c>
      <c r="O1057" s="12"/>
      <c r="P1057" s="12" t="s">
        <v>130</v>
      </c>
    </row>
    <row r="1058" spans="1:16" ht="180" hidden="1" customHeight="1" x14ac:dyDescent="0.35">
      <c r="A1058" s="12">
        <v>1630</v>
      </c>
      <c r="B1058" s="12" t="s">
        <v>100</v>
      </c>
      <c r="C1058" s="12" t="s">
        <v>101</v>
      </c>
      <c r="D1058" s="12" t="s">
        <v>102</v>
      </c>
      <c r="E1058" s="12" t="s">
        <v>126</v>
      </c>
      <c r="F1058" s="12" t="s">
        <v>66</v>
      </c>
      <c r="G1058" s="12" t="s">
        <v>82</v>
      </c>
      <c r="H1058" s="12">
        <v>1100205</v>
      </c>
      <c r="I1058" s="13">
        <v>45931.037384259304</v>
      </c>
      <c r="J1058" s="12" t="s">
        <v>127</v>
      </c>
      <c r="K1058" s="12" t="s">
        <v>132</v>
      </c>
      <c r="L1058" s="14">
        <v>0.66600000000000004</v>
      </c>
      <c r="M1058" s="14">
        <f t="shared" si="16"/>
        <v>0.66600000000000004</v>
      </c>
      <c r="N1058" s="7" t="s">
        <v>1166</v>
      </c>
      <c r="O1058" s="12"/>
      <c r="P1058" s="12" t="s">
        <v>130</v>
      </c>
    </row>
    <row r="1059" spans="1:16" ht="247.5" hidden="1" customHeight="1" x14ac:dyDescent="0.35">
      <c r="A1059" s="12">
        <v>6362</v>
      </c>
      <c r="B1059" s="12" t="s">
        <v>100</v>
      </c>
      <c r="C1059" s="12" t="s">
        <v>101</v>
      </c>
      <c r="D1059" s="12" t="s">
        <v>102</v>
      </c>
      <c r="E1059" s="12" t="s">
        <v>131</v>
      </c>
      <c r="F1059" s="12" t="s">
        <v>66</v>
      </c>
      <c r="G1059" s="12" t="s">
        <v>82</v>
      </c>
      <c r="H1059" s="12">
        <v>1100205</v>
      </c>
      <c r="I1059" s="13">
        <v>45931.037384259304</v>
      </c>
      <c r="J1059" s="12" t="s">
        <v>127</v>
      </c>
      <c r="K1059" s="12" t="s">
        <v>142</v>
      </c>
      <c r="L1059" s="14">
        <v>0.33300000000000002</v>
      </c>
      <c r="M1059" s="14">
        <f t="shared" si="16"/>
        <v>0.33300000000000002</v>
      </c>
      <c r="N1059" s="7" t="s">
        <v>1167</v>
      </c>
      <c r="O1059" s="12"/>
      <c r="P1059" s="12" t="s">
        <v>130</v>
      </c>
    </row>
    <row r="1060" spans="1:16" ht="45.75" hidden="1" customHeight="1" x14ac:dyDescent="0.35">
      <c r="A1060" s="12">
        <v>6343</v>
      </c>
      <c r="B1060" s="12" t="s">
        <v>100</v>
      </c>
      <c r="C1060" s="12" t="s">
        <v>101</v>
      </c>
      <c r="D1060" s="12" t="s">
        <v>102</v>
      </c>
      <c r="E1060" s="12" t="s">
        <v>134</v>
      </c>
      <c r="F1060" s="12" t="s">
        <v>66</v>
      </c>
      <c r="G1060" s="12" t="s">
        <v>82</v>
      </c>
      <c r="H1060" s="12">
        <v>1100205</v>
      </c>
      <c r="I1060" s="13">
        <v>45931.037384259304</v>
      </c>
      <c r="J1060" s="12" t="s">
        <v>127</v>
      </c>
      <c r="K1060" s="12" t="s">
        <v>135</v>
      </c>
      <c r="L1060" s="14"/>
      <c r="M1060" s="14">
        <f t="shared" si="16"/>
        <v>0</v>
      </c>
      <c r="N1060" s="7" t="s">
        <v>1168</v>
      </c>
      <c r="O1060" s="12"/>
      <c r="P1060" s="12" t="s">
        <v>130</v>
      </c>
    </row>
    <row r="1061" spans="1:16" ht="157.5" hidden="1" customHeight="1" x14ac:dyDescent="0.35">
      <c r="A1061" s="12">
        <v>6434</v>
      </c>
      <c r="B1061" s="12" t="s">
        <v>100</v>
      </c>
      <c r="C1061" s="12" t="s">
        <v>103</v>
      </c>
      <c r="D1061" s="12" t="s">
        <v>104</v>
      </c>
      <c r="E1061" s="12" t="s">
        <v>126</v>
      </c>
      <c r="F1061" s="12" t="s">
        <v>66</v>
      </c>
      <c r="G1061" s="12" t="s">
        <v>82</v>
      </c>
      <c r="H1061" s="12">
        <v>1100205</v>
      </c>
      <c r="I1061" s="13">
        <v>45931.037384259304</v>
      </c>
      <c r="J1061" s="12" t="s">
        <v>127</v>
      </c>
      <c r="K1061" s="12" t="s">
        <v>132</v>
      </c>
      <c r="L1061" s="14">
        <v>0.66600000000000004</v>
      </c>
      <c r="M1061" s="14">
        <f t="shared" si="16"/>
        <v>0.66600000000000004</v>
      </c>
      <c r="N1061" s="7" t="s">
        <v>1169</v>
      </c>
      <c r="O1061" s="12"/>
      <c r="P1061" s="12" t="s">
        <v>130</v>
      </c>
    </row>
    <row r="1062" spans="1:16" ht="34.5" hidden="1" customHeight="1" x14ac:dyDescent="0.35">
      <c r="A1062" s="12">
        <v>6413</v>
      </c>
      <c r="B1062" s="12" t="s">
        <v>100</v>
      </c>
      <c r="C1062" s="12" t="s">
        <v>103</v>
      </c>
      <c r="D1062" s="12" t="s">
        <v>104</v>
      </c>
      <c r="E1062" s="12" t="s">
        <v>131</v>
      </c>
      <c r="F1062" s="12" t="s">
        <v>66</v>
      </c>
      <c r="G1062" s="12" t="s">
        <v>82</v>
      </c>
      <c r="H1062" s="12">
        <v>1100205</v>
      </c>
      <c r="I1062" s="13">
        <v>45931.037384259304</v>
      </c>
      <c r="J1062" s="12" t="s">
        <v>127</v>
      </c>
      <c r="K1062" s="12" t="s">
        <v>132</v>
      </c>
      <c r="L1062" s="14">
        <v>0.66600000000000004</v>
      </c>
      <c r="M1062" s="14">
        <f t="shared" si="16"/>
        <v>0.66600000000000004</v>
      </c>
      <c r="N1062" s="7" t="s">
        <v>1170</v>
      </c>
      <c r="O1062" s="12"/>
      <c r="P1062" s="12"/>
    </row>
    <row r="1063" spans="1:16" ht="191.25" hidden="1" customHeight="1" x14ac:dyDescent="0.35">
      <c r="A1063" s="12">
        <v>6415</v>
      </c>
      <c r="B1063" s="12" t="s">
        <v>100</v>
      </c>
      <c r="C1063" s="12" t="s">
        <v>103</v>
      </c>
      <c r="D1063" s="12" t="s">
        <v>104</v>
      </c>
      <c r="E1063" s="12" t="s">
        <v>134</v>
      </c>
      <c r="F1063" s="12" t="s">
        <v>66</v>
      </c>
      <c r="G1063" s="12" t="s">
        <v>82</v>
      </c>
      <c r="H1063" s="12">
        <v>1100205</v>
      </c>
      <c r="I1063" s="13">
        <v>45931.037384259304</v>
      </c>
      <c r="J1063" s="12" t="s">
        <v>127</v>
      </c>
      <c r="K1063" s="12" t="s">
        <v>142</v>
      </c>
      <c r="L1063" s="14">
        <v>0.33300000000000002</v>
      </c>
      <c r="M1063" s="14">
        <f t="shared" si="16"/>
        <v>0.33300000000000002</v>
      </c>
      <c r="N1063" s="7" t="s">
        <v>1171</v>
      </c>
      <c r="O1063" s="12"/>
      <c r="P1063" s="12" t="s">
        <v>130</v>
      </c>
    </row>
    <row r="1064" spans="1:16" ht="79.5" hidden="1" customHeight="1" x14ac:dyDescent="0.35">
      <c r="A1064" s="12">
        <v>9281</v>
      </c>
      <c r="B1064" s="12" t="s">
        <v>100</v>
      </c>
      <c r="C1064" s="12" t="s">
        <v>105</v>
      </c>
      <c r="D1064" s="12" t="s">
        <v>106</v>
      </c>
      <c r="E1064" s="12" t="s">
        <v>126</v>
      </c>
      <c r="F1064" s="12" t="s">
        <v>66</v>
      </c>
      <c r="G1064" s="12" t="s">
        <v>82</v>
      </c>
      <c r="H1064" s="12">
        <v>1100205</v>
      </c>
      <c r="I1064" s="13">
        <v>45931.037384259304</v>
      </c>
      <c r="J1064" s="12" t="s">
        <v>127</v>
      </c>
      <c r="K1064" s="12" t="s">
        <v>142</v>
      </c>
      <c r="L1064" s="14">
        <v>0.33300000000000002</v>
      </c>
      <c r="M1064" s="14">
        <f t="shared" si="16"/>
        <v>0.33300000000000002</v>
      </c>
      <c r="N1064" s="7" t="s">
        <v>1172</v>
      </c>
      <c r="O1064" s="12"/>
      <c r="P1064" s="12" t="s">
        <v>130</v>
      </c>
    </row>
    <row r="1065" spans="1:16" ht="124.5" hidden="1" customHeight="1" x14ac:dyDescent="0.35">
      <c r="A1065" s="12">
        <v>6443</v>
      </c>
      <c r="B1065" s="12" t="s">
        <v>100</v>
      </c>
      <c r="C1065" s="12" t="s">
        <v>105</v>
      </c>
      <c r="D1065" s="12" t="s">
        <v>106</v>
      </c>
      <c r="E1065" s="12" t="s">
        <v>131</v>
      </c>
      <c r="F1065" s="12" t="s">
        <v>66</v>
      </c>
      <c r="G1065" s="12" t="s">
        <v>82</v>
      </c>
      <c r="H1065" s="12">
        <v>1100205</v>
      </c>
      <c r="I1065" s="13">
        <v>45931.037384259304</v>
      </c>
      <c r="J1065" s="12" t="s">
        <v>127</v>
      </c>
      <c r="K1065" s="12" t="s">
        <v>135</v>
      </c>
      <c r="L1065" s="14"/>
      <c r="M1065" s="14">
        <f t="shared" si="16"/>
        <v>0</v>
      </c>
      <c r="N1065" s="7" t="s">
        <v>1173</v>
      </c>
      <c r="O1065" s="12"/>
      <c r="P1065" s="12" t="s">
        <v>130</v>
      </c>
    </row>
    <row r="1066" spans="1:16" ht="124.5" hidden="1" customHeight="1" x14ac:dyDescent="0.35">
      <c r="A1066" s="12">
        <v>6465</v>
      </c>
      <c r="B1066" s="12" t="s">
        <v>100</v>
      </c>
      <c r="C1066" s="12" t="s">
        <v>107</v>
      </c>
      <c r="D1066" s="12" t="s">
        <v>108</v>
      </c>
      <c r="E1066" s="12" t="s">
        <v>126</v>
      </c>
      <c r="F1066" s="12" t="s">
        <v>66</v>
      </c>
      <c r="G1066" s="12" t="s">
        <v>82</v>
      </c>
      <c r="H1066" s="12">
        <v>1100205</v>
      </c>
      <c r="I1066" s="13">
        <v>45931.037384259304</v>
      </c>
      <c r="J1066" s="12" t="s">
        <v>127</v>
      </c>
      <c r="K1066" s="12" t="s">
        <v>142</v>
      </c>
      <c r="L1066" s="14">
        <v>0.33300000000000002</v>
      </c>
      <c r="M1066" s="14">
        <f t="shared" si="16"/>
        <v>0.33300000000000002</v>
      </c>
      <c r="N1066" s="7" t="s">
        <v>1174</v>
      </c>
      <c r="O1066" s="12"/>
      <c r="P1066" s="12" t="s">
        <v>130</v>
      </c>
    </row>
    <row r="1067" spans="1:16" ht="113.25" hidden="1" customHeight="1" x14ac:dyDescent="0.35">
      <c r="A1067" s="12">
        <v>6466</v>
      </c>
      <c r="B1067" s="12" t="s">
        <v>100</v>
      </c>
      <c r="C1067" s="12" t="s">
        <v>107</v>
      </c>
      <c r="D1067" s="12" t="s">
        <v>108</v>
      </c>
      <c r="E1067" s="12" t="s">
        <v>131</v>
      </c>
      <c r="F1067" s="12" t="s">
        <v>66</v>
      </c>
      <c r="G1067" s="12" t="s">
        <v>82</v>
      </c>
      <c r="H1067" s="12">
        <v>1100205</v>
      </c>
      <c r="I1067" s="13">
        <v>45931.037384259304</v>
      </c>
      <c r="J1067" s="12" t="s">
        <v>127</v>
      </c>
      <c r="K1067" s="12" t="s">
        <v>135</v>
      </c>
      <c r="L1067" s="14"/>
      <c r="M1067" s="14">
        <f t="shared" si="16"/>
        <v>0</v>
      </c>
      <c r="N1067" s="7" t="s">
        <v>1175</v>
      </c>
      <c r="O1067" s="12"/>
      <c r="P1067" s="12" t="s">
        <v>130</v>
      </c>
    </row>
    <row r="1068" spans="1:16" ht="23.25" hidden="1" customHeight="1" x14ac:dyDescent="0.35">
      <c r="A1068" s="12">
        <v>6468</v>
      </c>
      <c r="B1068" s="12" t="s">
        <v>100</v>
      </c>
      <c r="C1068" s="12" t="s">
        <v>107</v>
      </c>
      <c r="D1068" s="12" t="s">
        <v>108</v>
      </c>
      <c r="E1068" s="12" t="s">
        <v>134</v>
      </c>
      <c r="F1068" s="12" t="s">
        <v>66</v>
      </c>
      <c r="G1068" s="12" t="s">
        <v>82</v>
      </c>
      <c r="H1068" s="12">
        <v>1100205</v>
      </c>
      <c r="I1068" s="13">
        <v>45931.037384259304</v>
      </c>
      <c r="J1068" s="12" t="s">
        <v>127</v>
      </c>
      <c r="K1068" s="12" t="s">
        <v>135</v>
      </c>
      <c r="L1068" s="14"/>
      <c r="M1068" s="14">
        <f t="shared" si="16"/>
        <v>0</v>
      </c>
      <c r="N1068" s="7" t="s">
        <v>1176</v>
      </c>
      <c r="O1068" s="12"/>
      <c r="P1068" s="12" t="s">
        <v>130</v>
      </c>
    </row>
    <row r="1069" spans="1:16" ht="57" hidden="1" customHeight="1" x14ac:dyDescent="0.35">
      <c r="A1069" s="12">
        <v>6524</v>
      </c>
      <c r="B1069" s="12" t="s">
        <v>100</v>
      </c>
      <c r="C1069" s="12" t="s">
        <v>109</v>
      </c>
      <c r="D1069" s="12" t="s">
        <v>110</v>
      </c>
      <c r="E1069" s="12" t="s">
        <v>126</v>
      </c>
      <c r="F1069" s="12" t="s">
        <v>66</v>
      </c>
      <c r="G1069" s="12" t="s">
        <v>82</v>
      </c>
      <c r="H1069" s="12">
        <v>1100205</v>
      </c>
      <c r="I1069" s="13">
        <v>45931.037384259304</v>
      </c>
      <c r="J1069" s="12" t="s">
        <v>127</v>
      </c>
      <c r="K1069" s="12" t="s">
        <v>142</v>
      </c>
      <c r="L1069" s="14">
        <v>0.33300000000000002</v>
      </c>
      <c r="M1069" s="14">
        <f t="shared" si="16"/>
        <v>0.33300000000000002</v>
      </c>
      <c r="N1069" s="7" t="s">
        <v>1177</v>
      </c>
      <c r="O1069" s="12"/>
      <c r="P1069" s="12" t="s">
        <v>130</v>
      </c>
    </row>
    <row r="1070" spans="1:16" ht="79.5" hidden="1" customHeight="1" x14ac:dyDescent="0.35">
      <c r="A1070" s="12">
        <v>6517</v>
      </c>
      <c r="B1070" s="12" t="s">
        <v>100</v>
      </c>
      <c r="C1070" s="12" t="s">
        <v>109</v>
      </c>
      <c r="D1070" s="12" t="s">
        <v>110</v>
      </c>
      <c r="E1070" s="12" t="s">
        <v>131</v>
      </c>
      <c r="F1070" s="12" t="s">
        <v>66</v>
      </c>
      <c r="G1070" s="12" t="s">
        <v>82</v>
      </c>
      <c r="H1070" s="12">
        <v>1100205</v>
      </c>
      <c r="I1070" s="13">
        <v>45931.037384259304</v>
      </c>
      <c r="J1070" s="12" t="s">
        <v>127</v>
      </c>
      <c r="K1070" s="12" t="s">
        <v>132</v>
      </c>
      <c r="L1070" s="14">
        <v>0.66600000000000004</v>
      </c>
      <c r="M1070" s="14">
        <f t="shared" si="16"/>
        <v>0.66600000000000004</v>
      </c>
      <c r="N1070" s="7" t="s">
        <v>1178</v>
      </c>
      <c r="O1070" s="12"/>
      <c r="P1070" s="12" t="s">
        <v>130</v>
      </c>
    </row>
    <row r="1071" spans="1:16" ht="57" hidden="1" customHeight="1" x14ac:dyDescent="0.35">
      <c r="A1071" s="12">
        <v>6551</v>
      </c>
      <c r="B1071" s="12" t="s">
        <v>100</v>
      </c>
      <c r="C1071" s="12" t="s">
        <v>111</v>
      </c>
      <c r="D1071" s="12" t="s">
        <v>112</v>
      </c>
      <c r="E1071" s="12" t="s">
        <v>126</v>
      </c>
      <c r="F1071" s="12" t="s">
        <v>66</v>
      </c>
      <c r="G1071" s="12" t="s">
        <v>82</v>
      </c>
      <c r="H1071" s="12">
        <v>1100205</v>
      </c>
      <c r="I1071" s="13">
        <v>45931.037384259304</v>
      </c>
      <c r="J1071" s="12" t="s">
        <v>127</v>
      </c>
      <c r="K1071" s="12" t="s">
        <v>135</v>
      </c>
      <c r="L1071" s="14"/>
      <c r="M1071" s="14">
        <f t="shared" si="16"/>
        <v>0</v>
      </c>
      <c r="N1071" s="7" t="s">
        <v>1179</v>
      </c>
      <c r="O1071" s="12"/>
      <c r="P1071" s="12" t="s">
        <v>130</v>
      </c>
    </row>
    <row r="1072" spans="1:16" ht="147" hidden="1" customHeight="1" x14ac:dyDescent="0.35">
      <c r="A1072" s="12">
        <v>6552</v>
      </c>
      <c r="B1072" s="12" t="s">
        <v>100</v>
      </c>
      <c r="C1072" s="12" t="s">
        <v>111</v>
      </c>
      <c r="D1072" s="12" t="s">
        <v>112</v>
      </c>
      <c r="E1072" s="12" t="s">
        <v>131</v>
      </c>
      <c r="F1072" s="12" t="s">
        <v>66</v>
      </c>
      <c r="G1072" s="12" t="s">
        <v>82</v>
      </c>
      <c r="H1072" s="12">
        <v>1100205</v>
      </c>
      <c r="I1072" s="13">
        <v>45931.037384259304</v>
      </c>
      <c r="J1072" s="12" t="s">
        <v>127</v>
      </c>
      <c r="K1072" s="12" t="s">
        <v>142</v>
      </c>
      <c r="L1072" s="14">
        <v>0.33300000000000002</v>
      </c>
      <c r="M1072" s="14">
        <f t="shared" si="16"/>
        <v>0.33300000000000002</v>
      </c>
      <c r="N1072" s="7" t="s">
        <v>1180</v>
      </c>
      <c r="O1072" s="12"/>
      <c r="P1072" s="12" t="s">
        <v>130</v>
      </c>
    </row>
    <row r="1073" spans="1:16" ht="135.75" hidden="1" customHeight="1" x14ac:dyDescent="0.35">
      <c r="A1073" s="12">
        <v>6553</v>
      </c>
      <c r="B1073" s="12" t="s">
        <v>100</v>
      </c>
      <c r="C1073" s="12" t="s">
        <v>111</v>
      </c>
      <c r="D1073" s="12" t="s">
        <v>112</v>
      </c>
      <c r="E1073" s="12" t="s">
        <v>134</v>
      </c>
      <c r="F1073" s="12" t="s">
        <v>66</v>
      </c>
      <c r="G1073" s="12" t="s">
        <v>82</v>
      </c>
      <c r="H1073" s="12">
        <v>1100205</v>
      </c>
      <c r="I1073" s="13">
        <v>45931.037384259304</v>
      </c>
      <c r="J1073" s="12" t="s">
        <v>127</v>
      </c>
      <c r="K1073" s="12" t="s">
        <v>142</v>
      </c>
      <c r="L1073" s="14">
        <v>0.33300000000000002</v>
      </c>
      <c r="M1073" s="14">
        <f t="shared" si="16"/>
        <v>0.33300000000000002</v>
      </c>
      <c r="N1073" s="7" t="s">
        <v>1181</v>
      </c>
      <c r="O1073" s="12"/>
      <c r="P1073" s="12" t="s">
        <v>130</v>
      </c>
    </row>
    <row r="1074" spans="1:16" ht="90.75" hidden="1" customHeight="1" x14ac:dyDescent="0.35">
      <c r="A1074" s="12">
        <v>6542</v>
      </c>
      <c r="B1074" s="12" t="s">
        <v>100</v>
      </c>
      <c r="C1074" s="12" t="s">
        <v>113</v>
      </c>
      <c r="D1074" s="12" t="s">
        <v>114</v>
      </c>
      <c r="E1074" s="12" t="s">
        <v>126</v>
      </c>
      <c r="F1074" s="12" t="s">
        <v>66</v>
      </c>
      <c r="G1074" s="12" t="s">
        <v>82</v>
      </c>
      <c r="H1074" s="12">
        <v>1100205</v>
      </c>
      <c r="I1074" s="13">
        <v>45931.037384259304</v>
      </c>
      <c r="J1074" s="12" t="s">
        <v>127</v>
      </c>
      <c r="K1074" s="12" t="s">
        <v>135</v>
      </c>
      <c r="L1074" s="14"/>
      <c r="M1074" s="14">
        <f t="shared" si="16"/>
        <v>0</v>
      </c>
      <c r="N1074" s="7" t="s">
        <v>1182</v>
      </c>
      <c r="O1074" s="12"/>
      <c r="P1074" s="12" t="s">
        <v>130</v>
      </c>
    </row>
    <row r="1075" spans="1:16" ht="34.5" hidden="1" customHeight="1" x14ac:dyDescent="0.35">
      <c r="A1075" s="12">
        <v>6546</v>
      </c>
      <c r="B1075" s="12" t="s">
        <v>100</v>
      </c>
      <c r="C1075" s="12" t="s">
        <v>113</v>
      </c>
      <c r="D1075" s="12" t="s">
        <v>114</v>
      </c>
      <c r="E1075" s="12" t="s">
        <v>131</v>
      </c>
      <c r="F1075" s="12" t="s">
        <v>66</v>
      </c>
      <c r="G1075" s="12" t="s">
        <v>82</v>
      </c>
      <c r="H1075" s="12">
        <v>1100205</v>
      </c>
      <c r="I1075" s="13">
        <v>45931.037384259304</v>
      </c>
      <c r="J1075" s="12" t="s">
        <v>127</v>
      </c>
      <c r="K1075" s="12" t="s">
        <v>135</v>
      </c>
      <c r="L1075" s="14"/>
      <c r="M1075" s="14">
        <f t="shared" si="16"/>
        <v>0</v>
      </c>
      <c r="N1075" s="7" t="s">
        <v>738</v>
      </c>
      <c r="O1075" s="12"/>
      <c r="P1075" s="12" t="s">
        <v>130</v>
      </c>
    </row>
    <row r="1076" spans="1:16" ht="15" hidden="1" customHeight="1" x14ac:dyDescent="0.35">
      <c r="A1076" s="12">
        <v>6549</v>
      </c>
      <c r="B1076" s="12" t="s">
        <v>100</v>
      </c>
      <c r="C1076" s="12" t="s">
        <v>113</v>
      </c>
      <c r="D1076" s="12" t="s">
        <v>114</v>
      </c>
      <c r="E1076" s="12" t="s">
        <v>134</v>
      </c>
      <c r="F1076" s="12" t="s">
        <v>66</v>
      </c>
      <c r="G1076" s="12" t="s">
        <v>82</v>
      </c>
      <c r="H1076" s="12">
        <v>1100205</v>
      </c>
      <c r="I1076" s="13">
        <v>45931.037384259304</v>
      </c>
      <c r="J1076" s="12" t="s">
        <v>127</v>
      </c>
      <c r="K1076" s="12" t="s">
        <v>688</v>
      </c>
      <c r="L1076" s="14"/>
      <c r="M1076" s="14" t="str">
        <f t="shared" si="16"/>
        <v/>
      </c>
      <c r="N1076" s="7" t="s">
        <v>1183</v>
      </c>
      <c r="O1076" s="12"/>
      <c r="P1076" s="12" t="s">
        <v>130</v>
      </c>
    </row>
    <row r="1077" spans="1:16" ht="202.5" hidden="1" customHeight="1" x14ac:dyDescent="0.35">
      <c r="A1077" s="12">
        <v>2181</v>
      </c>
      <c r="B1077" s="12" t="s">
        <v>100</v>
      </c>
      <c r="C1077" s="12" t="s">
        <v>101</v>
      </c>
      <c r="D1077" s="12" t="s">
        <v>102</v>
      </c>
      <c r="E1077" s="12" t="s">
        <v>126</v>
      </c>
      <c r="F1077" s="12" t="s">
        <v>66</v>
      </c>
      <c r="G1077" s="12" t="s">
        <v>83</v>
      </c>
      <c r="H1077" s="12">
        <v>2611606</v>
      </c>
      <c r="I1077" s="13">
        <v>45912.988356481503</v>
      </c>
      <c r="J1077" s="12" t="s">
        <v>127</v>
      </c>
      <c r="K1077" s="12" t="s">
        <v>128</v>
      </c>
      <c r="L1077" s="14">
        <v>1</v>
      </c>
      <c r="M1077" s="14">
        <f t="shared" si="16"/>
        <v>1</v>
      </c>
      <c r="N1077" s="7" t="s">
        <v>1184</v>
      </c>
      <c r="O1077" s="12"/>
      <c r="P1077" s="12" t="s">
        <v>130</v>
      </c>
    </row>
    <row r="1078" spans="1:16" ht="258.75" hidden="1" customHeight="1" x14ac:dyDescent="0.35">
      <c r="A1078" s="12">
        <v>2221</v>
      </c>
      <c r="B1078" s="12" t="s">
        <v>100</v>
      </c>
      <c r="C1078" s="12" t="s">
        <v>101</v>
      </c>
      <c r="D1078" s="12" t="s">
        <v>102</v>
      </c>
      <c r="E1078" s="12" t="s">
        <v>131</v>
      </c>
      <c r="F1078" s="12" t="s">
        <v>66</v>
      </c>
      <c r="G1078" s="12" t="s">
        <v>83</v>
      </c>
      <c r="H1078" s="12">
        <v>2611606</v>
      </c>
      <c r="I1078" s="13">
        <v>45912.988356481503</v>
      </c>
      <c r="J1078" s="12" t="s">
        <v>127</v>
      </c>
      <c r="K1078" s="12" t="s">
        <v>128</v>
      </c>
      <c r="L1078" s="14">
        <v>1</v>
      </c>
      <c r="M1078" s="14">
        <f t="shared" si="16"/>
        <v>1</v>
      </c>
      <c r="N1078" s="7" t="s">
        <v>1185</v>
      </c>
      <c r="O1078" s="12"/>
      <c r="P1078" s="12" t="s">
        <v>130</v>
      </c>
    </row>
    <row r="1079" spans="1:16" ht="236.25" hidden="1" customHeight="1" x14ac:dyDescent="0.35">
      <c r="A1079" s="12">
        <v>2241</v>
      </c>
      <c r="B1079" s="12" t="s">
        <v>100</v>
      </c>
      <c r="C1079" s="12" t="s">
        <v>101</v>
      </c>
      <c r="D1079" s="12" t="s">
        <v>102</v>
      </c>
      <c r="E1079" s="12" t="s">
        <v>134</v>
      </c>
      <c r="F1079" s="12" t="s">
        <v>66</v>
      </c>
      <c r="G1079" s="12" t="s">
        <v>83</v>
      </c>
      <c r="H1079" s="12">
        <v>2611606</v>
      </c>
      <c r="I1079" s="13">
        <v>45912.988356481503</v>
      </c>
      <c r="J1079" s="12" t="s">
        <v>127</v>
      </c>
      <c r="K1079" s="12" t="s">
        <v>128</v>
      </c>
      <c r="L1079" s="14">
        <v>1</v>
      </c>
      <c r="M1079" s="14">
        <f t="shared" si="16"/>
        <v>1</v>
      </c>
      <c r="N1079" s="7" t="s">
        <v>1186</v>
      </c>
      <c r="O1079" s="12"/>
      <c r="P1079" s="12" t="s">
        <v>130</v>
      </c>
    </row>
    <row r="1080" spans="1:16" ht="202.5" hidden="1" customHeight="1" x14ac:dyDescent="0.35">
      <c r="A1080" s="12">
        <v>2201</v>
      </c>
      <c r="B1080" s="12" t="s">
        <v>100</v>
      </c>
      <c r="C1080" s="12" t="s">
        <v>103</v>
      </c>
      <c r="D1080" s="12" t="s">
        <v>104</v>
      </c>
      <c r="E1080" s="12" t="s">
        <v>126</v>
      </c>
      <c r="F1080" s="12" t="s">
        <v>66</v>
      </c>
      <c r="G1080" s="12" t="s">
        <v>83</v>
      </c>
      <c r="H1080" s="12">
        <v>2611606</v>
      </c>
      <c r="I1080" s="13">
        <v>45912.988356481503</v>
      </c>
      <c r="J1080" s="12" t="s">
        <v>127</v>
      </c>
      <c r="K1080" s="12" t="s">
        <v>128</v>
      </c>
      <c r="L1080" s="14">
        <v>1</v>
      </c>
      <c r="M1080" s="14">
        <f t="shared" si="16"/>
        <v>1</v>
      </c>
      <c r="N1080" s="7" t="s">
        <v>1187</v>
      </c>
      <c r="O1080" s="12"/>
      <c r="P1080" s="12" t="s">
        <v>130</v>
      </c>
    </row>
    <row r="1081" spans="1:16" ht="270" hidden="1" customHeight="1" x14ac:dyDescent="0.35">
      <c r="A1081" s="12">
        <v>2423</v>
      </c>
      <c r="B1081" s="12" t="s">
        <v>100</v>
      </c>
      <c r="C1081" s="12" t="s">
        <v>103</v>
      </c>
      <c r="D1081" s="12" t="s">
        <v>104</v>
      </c>
      <c r="E1081" s="12" t="s">
        <v>131</v>
      </c>
      <c r="F1081" s="12" t="s">
        <v>66</v>
      </c>
      <c r="G1081" s="12" t="s">
        <v>83</v>
      </c>
      <c r="H1081" s="12">
        <v>2611606</v>
      </c>
      <c r="I1081" s="13">
        <v>45912.988356481503</v>
      </c>
      <c r="J1081" s="12" t="s">
        <v>127</v>
      </c>
      <c r="K1081" s="12" t="s">
        <v>128</v>
      </c>
      <c r="L1081" s="14">
        <v>1</v>
      </c>
      <c r="M1081" s="14">
        <f t="shared" si="16"/>
        <v>1</v>
      </c>
      <c r="N1081" s="7" t="s">
        <v>1188</v>
      </c>
      <c r="O1081" s="12"/>
      <c r="P1081" s="12" t="s">
        <v>130</v>
      </c>
    </row>
    <row r="1082" spans="1:16" ht="225" hidden="1" customHeight="1" x14ac:dyDescent="0.35">
      <c r="A1082" s="12">
        <v>2461</v>
      </c>
      <c r="B1082" s="12" t="s">
        <v>100</v>
      </c>
      <c r="C1082" s="12" t="s">
        <v>103</v>
      </c>
      <c r="D1082" s="12" t="s">
        <v>104</v>
      </c>
      <c r="E1082" s="12" t="s">
        <v>134</v>
      </c>
      <c r="F1082" s="12" t="s">
        <v>66</v>
      </c>
      <c r="G1082" s="12" t="s">
        <v>83</v>
      </c>
      <c r="H1082" s="12">
        <v>2611606</v>
      </c>
      <c r="I1082" s="13">
        <v>45912.988356481503</v>
      </c>
      <c r="J1082" s="12" t="s">
        <v>127</v>
      </c>
      <c r="K1082" s="12" t="s">
        <v>128</v>
      </c>
      <c r="L1082" s="14">
        <v>1</v>
      </c>
      <c r="M1082" s="14">
        <f t="shared" si="16"/>
        <v>1</v>
      </c>
      <c r="N1082" s="7" t="s">
        <v>1189</v>
      </c>
      <c r="O1082" s="12"/>
      <c r="P1082" s="12" t="s">
        <v>130</v>
      </c>
    </row>
    <row r="1083" spans="1:16" ht="247.5" hidden="1" customHeight="1" x14ac:dyDescent="0.35">
      <c r="A1083" s="12">
        <v>2481</v>
      </c>
      <c r="B1083" s="12" t="s">
        <v>100</v>
      </c>
      <c r="C1083" s="12" t="s">
        <v>105</v>
      </c>
      <c r="D1083" s="12" t="s">
        <v>106</v>
      </c>
      <c r="E1083" s="12" t="s">
        <v>126</v>
      </c>
      <c r="F1083" s="12" t="s">
        <v>66</v>
      </c>
      <c r="G1083" s="12" t="s">
        <v>83</v>
      </c>
      <c r="H1083" s="12">
        <v>2611606</v>
      </c>
      <c r="I1083" s="13">
        <v>45912.988356481503</v>
      </c>
      <c r="J1083" s="12" t="s">
        <v>127</v>
      </c>
      <c r="K1083" s="12" t="s">
        <v>132</v>
      </c>
      <c r="L1083" s="14">
        <v>0.66600000000000004</v>
      </c>
      <c r="M1083" s="14">
        <f t="shared" si="16"/>
        <v>0.66600000000000004</v>
      </c>
      <c r="N1083" s="7" t="s">
        <v>1190</v>
      </c>
      <c r="O1083" s="12"/>
      <c r="P1083" s="12" t="s">
        <v>130</v>
      </c>
    </row>
    <row r="1084" spans="1:16" ht="124.5" hidden="1" customHeight="1" x14ac:dyDescent="0.35">
      <c r="A1084" s="12">
        <v>2601</v>
      </c>
      <c r="B1084" s="12" t="s">
        <v>100</v>
      </c>
      <c r="C1084" s="12" t="s">
        <v>105</v>
      </c>
      <c r="D1084" s="12" t="s">
        <v>106</v>
      </c>
      <c r="E1084" s="12" t="s">
        <v>131</v>
      </c>
      <c r="F1084" s="12" t="s">
        <v>66</v>
      </c>
      <c r="G1084" s="12" t="s">
        <v>83</v>
      </c>
      <c r="H1084" s="12">
        <v>2611606</v>
      </c>
      <c r="I1084" s="13">
        <v>45912.988356481503</v>
      </c>
      <c r="J1084" s="12" t="s">
        <v>127</v>
      </c>
      <c r="K1084" s="12" t="s">
        <v>128</v>
      </c>
      <c r="L1084" s="14">
        <v>1</v>
      </c>
      <c r="M1084" s="14">
        <f t="shared" si="16"/>
        <v>1</v>
      </c>
      <c r="N1084" s="7" t="s">
        <v>1191</v>
      </c>
      <c r="O1084" s="12"/>
      <c r="P1084" s="12" t="s">
        <v>130</v>
      </c>
    </row>
    <row r="1085" spans="1:16" ht="247.5" hidden="1" customHeight="1" x14ac:dyDescent="0.35">
      <c r="A1085" s="12">
        <v>2622</v>
      </c>
      <c r="B1085" s="12" t="s">
        <v>100</v>
      </c>
      <c r="C1085" s="12" t="s">
        <v>107</v>
      </c>
      <c r="D1085" s="12" t="s">
        <v>108</v>
      </c>
      <c r="E1085" s="12" t="s">
        <v>126</v>
      </c>
      <c r="F1085" s="12" t="s">
        <v>66</v>
      </c>
      <c r="G1085" s="12" t="s">
        <v>83</v>
      </c>
      <c r="H1085" s="12">
        <v>2611606</v>
      </c>
      <c r="I1085" s="13">
        <v>45912.988356481503</v>
      </c>
      <c r="J1085" s="12" t="s">
        <v>127</v>
      </c>
      <c r="K1085" s="12" t="s">
        <v>132</v>
      </c>
      <c r="L1085" s="14">
        <v>0.66600000000000004</v>
      </c>
      <c r="M1085" s="14">
        <f t="shared" si="16"/>
        <v>0.66600000000000004</v>
      </c>
      <c r="N1085" s="7" t="s">
        <v>1192</v>
      </c>
      <c r="O1085" s="12"/>
      <c r="P1085" s="12" t="s">
        <v>130</v>
      </c>
    </row>
    <row r="1086" spans="1:16" ht="202.5" hidden="1" customHeight="1" x14ac:dyDescent="0.35">
      <c r="A1086" s="12">
        <v>2623</v>
      </c>
      <c r="B1086" s="12" t="s">
        <v>100</v>
      </c>
      <c r="C1086" s="12" t="s">
        <v>107</v>
      </c>
      <c r="D1086" s="12" t="s">
        <v>108</v>
      </c>
      <c r="E1086" s="12" t="s">
        <v>131</v>
      </c>
      <c r="F1086" s="12" t="s">
        <v>66</v>
      </c>
      <c r="G1086" s="12" t="s">
        <v>83</v>
      </c>
      <c r="H1086" s="12">
        <v>2611606</v>
      </c>
      <c r="I1086" s="13">
        <v>45912.988356481503</v>
      </c>
      <c r="J1086" s="12" t="s">
        <v>127</v>
      </c>
      <c r="K1086" s="12" t="s">
        <v>128</v>
      </c>
      <c r="L1086" s="14">
        <v>1</v>
      </c>
      <c r="M1086" s="14">
        <f t="shared" si="16"/>
        <v>1</v>
      </c>
      <c r="N1086" s="7" t="s">
        <v>1193</v>
      </c>
      <c r="O1086" s="12"/>
      <c r="P1086" s="12" t="s">
        <v>130</v>
      </c>
    </row>
    <row r="1087" spans="1:16" ht="247.5" hidden="1" customHeight="1" x14ac:dyDescent="0.35">
      <c r="A1087" s="12">
        <v>2624</v>
      </c>
      <c r="B1087" s="12" t="s">
        <v>100</v>
      </c>
      <c r="C1087" s="12" t="s">
        <v>107</v>
      </c>
      <c r="D1087" s="12" t="s">
        <v>108</v>
      </c>
      <c r="E1087" s="12" t="s">
        <v>134</v>
      </c>
      <c r="F1087" s="12" t="s">
        <v>66</v>
      </c>
      <c r="G1087" s="12" t="s">
        <v>83</v>
      </c>
      <c r="H1087" s="12">
        <v>2611606</v>
      </c>
      <c r="I1087" s="13">
        <v>45912.988356481503</v>
      </c>
      <c r="J1087" s="12" t="s">
        <v>127</v>
      </c>
      <c r="K1087" s="12" t="s">
        <v>132</v>
      </c>
      <c r="L1087" s="14">
        <v>0.66600000000000004</v>
      </c>
      <c r="M1087" s="14">
        <f t="shared" si="16"/>
        <v>0.66600000000000004</v>
      </c>
      <c r="N1087" s="7" t="s">
        <v>1194</v>
      </c>
      <c r="O1087" s="12"/>
      <c r="P1087" s="12" t="s">
        <v>130</v>
      </c>
    </row>
    <row r="1088" spans="1:16" ht="281.25" hidden="1" customHeight="1" x14ac:dyDescent="0.35">
      <c r="A1088" s="12">
        <v>2861</v>
      </c>
      <c r="B1088" s="12" t="s">
        <v>100</v>
      </c>
      <c r="C1088" s="12" t="s">
        <v>109</v>
      </c>
      <c r="D1088" s="12" t="s">
        <v>110</v>
      </c>
      <c r="E1088" s="12" t="s">
        <v>126</v>
      </c>
      <c r="F1088" s="12" t="s">
        <v>66</v>
      </c>
      <c r="G1088" s="12" t="s">
        <v>83</v>
      </c>
      <c r="H1088" s="12">
        <v>2611606</v>
      </c>
      <c r="I1088" s="13">
        <v>45912.988356481503</v>
      </c>
      <c r="J1088" s="12" t="s">
        <v>127</v>
      </c>
      <c r="K1088" s="12" t="s">
        <v>132</v>
      </c>
      <c r="L1088" s="14">
        <v>0.66600000000000004</v>
      </c>
      <c r="M1088" s="14">
        <f t="shared" si="16"/>
        <v>0.66600000000000004</v>
      </c>
      <c r="N1088" s="7" t="s">
        <v>1195</v>
      </c>
      <c r="O1088" s="12"/>
      <c r="P1088" s="12" t="s">
        <v>130</v>
      </c>
    </row>
    <row r="1089" spans="1:16" ht="281.25" hidden="1" customHeight="1" x14ac:dyDescent="0.35">
      <c r="A1089" s="12">
        <v>2862</v>
      </c>
      <c r="B1089" s="12" t="s">
        <v>100</v>
      </c>
      <c r="C1089" s="12" t="s">
        <v>109</v>
      </c>
      <c r="D1089" s="12" t="s">
        <v>110</v>
      </c>
      <c r="E1089" s="12" t="s">
        <v>131</v>
      </c>
      <c r="F1089" s="12" t="s">
        <v>66</v>
      </c>
      <c r="G1089" s="12" t="s">
        <v>83</v>
      </c>
      <c r="H1089" s="12">
        <v>2611606</v>
      </c>
      <c r="I1089" s="13">
        <v>45912.988356481503</v>
      </c>
      <c r="J1089" s="12" t="s">
        <v>127</v>
      </c>
      <c r="K1089" s="12" t="s">
        <v>132</v>
      </c>
      <c r="L1089" s="14">
        <v>0.66600000000000004</v>
      </c>
      <c r="M1089" s="14">
        <f t="shared" si="16"/>
        <v>0.66600000000000004</v>
      </c>
      <c r="N1089" s="7" t="s">
        <v>1196</v>
      </c>
      <c r="O1089" s="12"/>
      <c r="P1089" s="12" t="s">
        <v>130</v>
      </c>
    </row>
    <row r="1090" spans="1:16" ht="258.75" hidden="1" customHeight="1" x14ac:dyDescent="0.35">
      <c r="A1090" s="12">
        <v>5521</v>
      </c>
      <c r="B1090" s="12" t="s">
        <v>100</v>
      </c>
      <c r="C1090" s="12" t="s">
        <v>111</v>
      </c>
      <c r="D1090" s="12" t="s">
        <v>112</v>
      </c>
      <c r="E1090" s="12" t="s">
        <v>126</v>
      </c>
      <c r="F1090" s="12" t="s">
        <v>66</v>
      </c>
      <c r="G1090" s="12" t="s">
        <v>83</v>
      </c>
      <c r="H1090" s="12">
        <v>2611606</v>
      </c>
      <c r="I1090" s="13">
        <v>45912.988356481503</v>
      </c>
      <c r="J1090" s="12" t="s">
        <v>127</v>
      </c>
      <c r="K1090" s="12" t="s">
        <v>142</v>
      </c>
      <c r="L1090" s="14">
        <v>0.33300000000000002</v>
      </c>
      <c r="M1090" s="14">
        <f t="shared" ref="M1090:M1153" si="17">IF(K1090="Sem progresso",0,IF(OR(K1090="Não avaliado",K1090="Não se aplica",K1090=""),"",L1090))</f>
        <v>0.33300000000000002</v>
      </c>
      <c r="N1090" s="7" t="s">
        <v>1197</v>
      </c>
      <c r="O1090" s="12"/>
      <c r="P1090" s="12" t="s">
        <v>130</v>
      </c>
    </row>
    <row r="1091" spans="1:16" ht="270" hidden="1" customHeight="1" x14ac:dyDescent="0.35">
      <c r="A1091" s="12">
        <v>5541</v>
      </c>
      <c r="B1091" s="12" t="s">
        <v>100</v>
      </c>
      <c r="C1091" s="12" t="s">
        <v>111</v>
      </c>
      <c r="D1091" s="12" t="s">
        <v>112</v>
      </c>
      <c r="E1091" s="12" t="s">
        <v>131</v>
      </c>
      <c r="F1091" s="12" t="s">
        <v>66</v>
      </c>
      <c r="G1091" s="12" t="s">
        <v>83</v>
      </c>
      <c r="H1091" s="12">
        <v>2611606</v>
      </c>
      <c r="I1091" s="13">
        <v>45912.988356481503</v>
      </c>
      <c r="J1091" s="12" t="s">
        <v>127</v>
      </c>
      <c r="K1091" s="12" t="s">
        <v>135</v>
      </c>
      <c r="L1091" s="14"/>
      <c r="M1091" s="14">
        <f t="shared" si="17"/>
        <v>0</v>
      </c>
      <c r="N1091" s="7" t="s">
        <v>1198</v>
      </c>
      <c r="O1091" s="12"/>
      <c r="P1091" s="12" t="s">
        <v>130</v>
      </c>
    </row>
    <row r="1092" spans="1:16" ht="270" hidden="1" customHeight="1" x14ac:dyDescent="0.35">
      <c r="A1092" s="12">
        <v>5666</v>
      </c>
      <c r="B1092" s="12" t="s">
        <v>100</v>
      </c>
      <c r="C1092" s="12" t="s">
        <v>111</v>
      </c>
      <c r="D1092" s="12" t="s">
        <v>112</v>
      </c>
      <c r="E1092" s="12" t="s">
        <v>134</v>
      </c>
      <c r="F1092" s="12" t="s">
        <v>66</v>
      </c>
      <c r="G1092" s="12" t="s">
        <v>83</v>
      </c>
      <c r="H1092" s="12">
        <v>2611606</v>
      </c>
      <c r="I1092" s="13">
        <v>45912.988356481503</v>
      </c>
      <c r="J1092" s="12" t="s">
        <v>127</v>
      </c>
      <c r="K1092" s="12" t="s">
        <v>135</v>
      </c>
      <c r="L1092" s="14"/>
      <c r="M1092" s="14">
        <f t="shared" si="17"/>
        <v>0</v>
      </c>
      <c r="N1092" s="7" t="s">
        <v>1199</v>
      </c>
      <c r="O1092" s="12"/>
      <c r="P1092" s="12" t="s">
        <v>130</v>
      </c>
    </row>
    <row r="1093" spans="1:16" ht="247.5" hidden="1" customHeight="1" x14ac:dyDescent="0.35">
      <c r="A1093" s="12">
        <v>6703</v>
      </c>
      <c r="B1093" s="12" t="s">
        <v>100</v>
      </c>
      <c r="C1093" s="12" t="s">
        <v>113</v>
      </c>
      <c r="D1093" s="12" t="s">
        <v>114</v>
      </c>
      <c r="E1093" s="12" t="s">
        <v>126</v>
      </c>
      <c r="F1093" s="12" t="s">
        <v>66</v>
      </c>
      <c r="G1093" s="12" t="s">
        <v>83</v>
      </c>
      <c r="H1093" s="12">
        <v>2611606</v>
      </c>
      <c r="I1093" s="13">
        <v>45912.988356481503</v>
      </c>
      <c r="J1093" s="12" t="s">
        <v>127</v>
      </c>
      <c r="K1093" s="12" t="s">
        <v>128</v>
      </c>
      <c r="L1093" s="14">
        <v>1</v>
      </c>
      <c r="M1093" s="14">
        <f t="shared" si="17"/>
        <v>1</v>
      </c>
      <c r="N1093" s="7" t="s">
        <v>1200</v>
      </c>
      <c r="O1093" s="12"/>
      <c r="P1093" s="12" t="s">
        <v>130</v>
      </c>
    </row>
    <row r="1094" spans="1:16" ht="213.75" hidden="1" customHeight="1" x14ac:dyDescent="0.35">
      <c r="A1094" s="12">
        <v>6708</v>
      </c>
      <c r="B1094" s="12" t="s">
        <v>100</v>
      </c>
      <c r="C1094" s="12" t="s">
        <v>113</v>
      </c>
      <c r="D1094" s="12" t="s">
        <v>114</v>
      </c>
      <c r="E1094" s="12" t="s">
        <v>131</v>
      </c>
      <c r="F1094" s="12" t="s">
        <v>66</v>
      </c>
      <c r="G1094" s="12" t="s">
        <v>83</v>
      </c>
      <c r="H1094" s="12">
        <v>2611606</v>
      </c>
      <c r="I1094" s="13">
        <v>45912.988356481503</v>
      </c>
      <c r="J1094" s="12" t="s">
        <v>127</v>
      </c>
      <c r="K1094" s="12" t="s">
        <v>132</v>
      </c>
      <c r="L1094" s="14">
        <v>0.66600000000000004</v>
      </c>
      <c r="M1094" s="14">
        <f t="shared" si="17"/>
        <v>0.66600000000000004</v>
      </c>
      <c r="N1094" s="7" t="s">
        <v>1201</v>
      </c>
      <c r="O1094" s="12"/>
      <c r="P1094" s="12" t="s">
        <v>130</v>
      </c>
    </row>
    <row r="1095" spans="1:16" ht="15" hidden="1" customHeight="1" x14ac:dyDescent="0.35">
      <c r="A1095" s="12">
        <v>6726</v>
      </c>
      <c r="B1095" s="12" t="s">
        <v>100</v>
      </c>
      <c r="C1095" s="12" t="s">
        <v>113</v>
      </c>
      <c r="D1095" s="12" t="s">
        <v>114</v>
      </c>
      <c r="E1095" s="12" t="s">
        <v>134</v>
      </c>
      <c r="F1095" s="12" t="s">
        <v>66</v>
      </c>
      <c r="G1095" s="12" t="s">
        <v>83</v>
      </c>
      <c r="H1095" s="12">
        <v>2611606</v>
      </c>
      <c r="I1095" s="13">
        <v>45912.988356481503</v>
      </c>
      <c r="J1095" s="12" t="s">
        <v>127</v>
      </c>
      <c r="K1095" s="12" t="s">
        <v>688</v>
      </c>
      <c r="L1095" s="14"/>
      <c r="M1095" s="14" t="str">
        <f t="shared" si="17"/>
        <v/>
      </c>
      <c r="N1095" s="7" t="s">
        <v>1202</v>
      </c>
      <c r="O1095" s="12"/>
      <c r="P1095" s="12" t="s">
        <v>130</v>
      </c>
    </row>
    <row r="1096" spans="1:16" ht="90.75" hidden="1" customHeight="1" x14ac:dyDescent="0.35">
      <c r="A1096" s="12">
        <v>2702</v>
      </c>
      <c r="B1096" s="12" t="s">
        <v>100</v>
      </c>
      <c r="C1096" s="12" t="s">
        <v>101</v>
      </c>
      <c r="D1096" s="12" t="s">
        <v>102</v>
      </c>
      <c r="E1096" s="12" t="s">
        <v>126</v>
      </c>
      <c r="F1096" s="12" t="s">
        <v>66</v>
      </c>
      <c r="G1096" s="12" t="s">
        <v>84</v>
      </c>
      <c r="H1096" s="12">
        <v>1200401</v>
      </c>
      <c r="I1096" s="13">
        <v>45912.770775463003</v>
      </c>
      <c r="J1096" s="12" t="s">
        <v>127</v>
      </c>
      <c r="K1096" s="12" t="s">
        <v>142</v>
      </c>
      <c r="L1096" s="14">
        <v>0.33300000000000002</v>
      </c>
      <c r="M1096" s="14">
        <f t="shared" si="17"/>
        <v>0.33300000000000002</v>
      </c>
      <c r="N1096" s="7" t="s">
        <v>1203</v>
      </c>
      <c r="O1096" s="12"/>
      <c r="P1096" s="12" t="s">
        <v>130</v>
      </c>
    </row>
    <row r="1097" spans="1:16" ht="57" hidden="1" customHeight="1" x14ac:dyDescent="0.35">
      <c r="A1097" s="12">
        <v>3002</v>
      </c>
      <c r="B1097" s="12" t="s">
        <v>100</v>
      </c>
      <c r="C1097" s="12" t="s">
        <v>101</v>
      </c>
      <c r="D1097" s="12" t="s">
        <v>102</v>
      </c>
      <c r="E1097" s="12" t="s">
        <v>131</v>
      </c>
      <c r="F1097" s="12" t="s">
        <v>66</v>
      </c>
      <c r="G1097" s="12" t="s">
        <v>84</v>
      </c>
      <c r="H1097" s="12">
        <v>1200401</v>
      </c>
      <c r="I1097" s="13">
        <v>45912.770775463003</v>
      </c>
      <c r="J1097" s="12" t="s">
        <v>127</v>
      </c>
      <c r="K1097" s="12" t="s">
        <v>142</v>
      </c>
      <c r="L1097" s="14">
        <v>0.33300000000000002</v>
      </c>
      <c r="M1097" s="14">
        <f t="shared" si="17"/>
        <v>0.33300000000000002</v>
      </c>
      <c r="N1097" s="7" t="s">
        <v>1204</v>
      </c>
      <c r="O1097" s="12"/>
      <c r="P1097" s="12" t="s">
        <v>130</v>
      </c>
    </row>
    <row r="1098" spans="1:16" ht="213.75" hidden="1" customHeight="1" x14ac:dyDescent="0.35">
      <c r="A1098" s="12">
        <v>4203</v>
      </c>
      <c r="B1098" s="12" t="s">
        <v>100</v>
      </c>
      <c r="C1098" s="12" t="s">
        <v>101</v>
      </c>
      <c r="D1098" s="12" t="s">
        <v>102</v>
      </c>
      <c r="E1098" s="12" t="s">
        <v>134</v>
      </c>
      <c r="F1098" s="12" t="s">
        <v>66</v>
      </c>
      <c r="G1098" s="12" t="s">
        <v>84</v>
      </c>
      <c r="H1098" s="12">
        <v>1200401</v>
      </c>
      <c r="I1098" s="13">
        <v>45912.770775463003</v>
      </c>
      <c r="J1098" s="12" t="s">
        <v>127</v>
      </c>
      <c r="K1098" s="12" t="s">
        <v>128</v>
      </c>
      <c r="L1098" s="14">
        <v>1</v>
      </c>
      <c r="M1098" s="14">
        <f t="shared" si="17"/>
        <v>1</v>
      </c>
      <c r="N1098" s="7" t="s">
        <v>1205</v>
      </c>
      <c r="O1098" s="12"/>
      <c r="P1098" s="12" t="s">
        <v>130</v>
      </c>
    </row>
    <row r="1099" spans="1:16" ht="247.5" hidden="1" customHeight="1" x14ac:dyDescent="0.35">
      <c r="A1099" s="12">
        <v>4205</v>
      </c>
      <c r="B1099" s="12" t="s">
        <v>100</v>
      </c>
      <c r="C1099" s="12" t="s">
        <v>103</v>
      </c>
      <c r="D1099" s="12" t="s">
        <v>104</v>
      </c>
      <c r="E1099" s="12" t="s">
        <v>126</v>
      </c>
      <c r="F1099" s="12" t="s">
        <v>66</v>
      </c>
      <c r="G1099" s="12" t="s">
        <v>84</v>
      </c>
      <c r="H1099" s="12">
        <v>1200401</v>
      </c>
      <c r="I1099" s="13">
        <v>45912.770775463003</v>
      </c>
      <c r="J1099" s="12" t="s">
        <v>127</v>
      </c>
      <c r="K1099" s="12" t="s">
        <v>128</v>
      </c>
      <c r="L1099" s="14">
        <v>1</v>
      </c>
      <c r="M1099" s="14">
        <f t="shared" si="17"/>
        <v>1</v>
      </c>
      <c r="N1099" s="7" t="s">
        <v>1206</v>
      </c>
      <c r="O1099" s="12"/>
      <c r="P1099" s="12" t="s">
        <v>130</v>
      </c>
    </row>
    <row r="1100" spans="1:16" ht="102" hidden="1" customHeight="1" x14ac:dyDescent="0.35">
      <c r="A1100" s="12">
        <v>4221</v>
      </c>
      <c r="B1100" s="12" t="s">
        <v>100</v>
      </c>
      <c r="C1100" s="12" t="s">
        <v>103</v>
      </c>
      <c r="D1100" s="12" t="s">
        <v>104</v>
      </c>
      <c r="E1100" s="12" t="s">
        <v>131</v>
      </c>
      <c r="F1100" s="12" t="s">
        <v>66</v>
      </c>
      <c r="G1100" s="12" t="s">
        <v>84</v>
      </c>
      <c r="H1100" s="12">
        <v>1200401</v>
      </c>
      <c r="I1100" s="13">
        <v>45912.770775463003</v>
      </c>
      <c r="J1100" s="12" t="s">
        <v>127</v>
      </c>
      <c r="K1100" s="12" t="s">
        <v>128</v>
      </c>
      <c r="L1100" s="14">
        <v>1</v>
      </c>
      <c r="M1100" s="14">
        <f t="shared" si="17"/>
        <v>1</v>
      </c>
      <c r="N1100" s="7" t="s">
        <v>1207</v>
      </c>
      <c r="O1100" s="12"/>
      <c r="P1100" s="12" t="s">
        <v>130</v>
      </c>
    </row>
    <row r="1101" spans="1:16" ht="34.5" hidden="1" customHeight="1" x14ac:dyDescent="0.35">
      <c r="A1101" s="12">
        <v>4489</v>
      </c>
      <c r="B1101" s="12" t="s">
        <v>100</v>
      </c>
      <c r="C1101" s="12" t="s">
        <v>103</v>
      </c>
      <c r="D1101" s="12" t="s">
        <v>104</v>
      </c>
      <c r="E1101" s="12" t="s">
        <v>134</v>
      </c>
      <c r="F1101" s="12" t="s">
        <v>66</v>
      </c>
      <c r="G1101" s="12" t="s">
        <v>84</v>
      </c>
      <c r="H1101" s="12">
        <v>1200401</v>
      </c>
      <c r="I1101" s="13">
        <v>45912.770775463003</v>
      </c>
      <c r="J1101" s="12" t="s">
        <v>127</v>
      </c>
      <c r="K1101" s="12" t="s">
        <v>128</v>
      </c>
      <c r="L1101" s="14">
        <v>1</v>
      </c>
      <c r="M1101" s="14">
        <f t="shared" si="17"/>
        <v>1</v>
      </c>
      <c r="N1101" s="7" t="s">
        <v>1208</v>
      </c>
      <c r="O1101" s="12"/>
      <c r="P1101" s="12" t="s">
        <v>130</v>
      </c>
    </row>
    <row r="1102" spans="1:16" ht="34.5" hidden="1" customHeight="1" x14ac:dyDescent="0.35">
      <c r="A1102" s="12">
        <v>4491</v>
      </c>
      <c r="B1102" s="12" t="s">
        <v>100</v>
      </c>
      <c r="C1102" s="12" t="s">
        <v>105</v>
      </c>
      <c r="D1102" s="12" t="s">
        <v>106</v>
      </c>
      <c r="E1102" s="12" t="s">
        <v>126</v>
      </c>
      <c r="F1102" s="12" t="s">
        <v>66</v>
      </c>
      <c r="G1102" s="12" t="s">
        <v>84</v>
      </c>
      <c r="H1102" s="12">
        <v>1200401</v>
      </c>
      <c r="I1102" s="13">
        <v>45912.770775463003</v>
      </c>
      <c r="J1102" s="12" t="s">
        <v>127</v>
      </c>
      <c r="K1102" s="12" t="s">
        <v>128</v>
      </c>
      <c r="L1102" s="14">
        <v>1</v>
      </c>
      <c r="M1102" s="14">
        <f t="shared" si="17"/>
        <v>1</v>
      </c>
      <c r="N1102" s="7" t="s">
        <v>1209</v>
      </c>
      <c r="O1102" s="12"/>
      <c r="P1102" s="12" t="s">
        <v>130</v>
      </c>
    </row>
    <row r="1103" spans="1:16" ht="23.25" hidden="1" customHeight="1" x14ac:dyDescent="0.35">
      <c r="A1103" s="12">
        <v>4521</v>
      </c>
      <c r="B1103" s="12" t="s">
        <v>100</v>
      </c>
      <c r="C1103" s="12" t="s">
        <v>105</v>
      </c>
      <c r="D1103" s="12" t="s">
        <v>106</v>
      </c>
      <c r="E1103" s="12" t="s">
        <v>131</v>
      </c>
      <c r="F1103" s="12" t="s">
        <v>66</v>
      </c>
      <c r="G1103" s="12" t="s">
        <v>84</v>
      </c>
      <c r="H1103" s="12">
        <v>1200401</v>
      </c>
      <c r="I1103" s="13">
        <v>45912.770775463003</v>
      </c>
      <c r="J1103" s="12" t="s">
        <v>127</v>
      </c>
      <c r="K1103" s="12" t="s">
        <v>128</v>
      </c>
      <c r="L1103" s="14">
        <v>1</v>
      </c>
      <c r="M1103" s="14">
        <f t="shared" si="17"/>
        <v>1</v>
      </c>
      <c r="N1103" s="7" t="s">
        <v>1210</v>
      </c>
      <c r="O1103" s="12"/>
      <c r="P1103" s="12" t="s">
        <v>130</v>
      </c>
    </row>
    <row r="1104" spans="1:16" ht="45.75" hidden="1" customHeight="1" x14ac:dyDescent="0.35">
      <c r="A1104" s="12">
        <v>4522</v>
      </c>
      <c r="B1104" s="12" t="s">
        <v>100</v>
      </c>
      <c r="C1104" s="12" t="s">
        <v>107</v>
      </c>
      <c r="D1104" s="12" t="s">
        <v>108</v>
      </c>
      <c r="E1104" s="12" t="s">
        <v>126</v>
      </c>
      <c r="F1104" s="12" t="s">
        <v>66</v>
      </c>
      <c r="G1104" s="12" t="s">
        <v>84</v>
      </c>
      <c r="H1104" s="12">
        <v>1200401</v>
      </c>
      <c r="I1104" s="13">
        <v>45912.770775463003</v>
      </c>
      <c r="J1104" s="12" t="s">
        <v>127</v>
      </c>
      <c r="K1104" s="12" t="s">
        <v>128</v>
      </c>
      <c r="L1104" s="14">
        <v>1</v>
      </c>
      <c r="M1104" s="14">
        <f t="shared" si="17"/>
        <v>1</v>
      </c>
      <c r="N1104" s="7" t="s">
        <v>1211</v>
      </c>
      <c r="O1104" s="12"/>
      <c r="P1104" s="12" t="s">
        <v>130</v>
      </c>
    </row>
    <row r="1105" spans="1:16" ht="124.5" hidden="1" customHeight="1" x14ac:dyDescent="0.35">
      <c r="A1105" s="12">
        <v>4503</v>
      </c>
      <c r="B1105" s="12" t="s">
        <v>100</v>
      </c>
      <c r="C1105" s="12" t="s">
        <v>107</v>
      </c>
      <c r="D1105" s="12" t="s">
        <v>108</v>
      </c>
      <c r="E1105" s="12" t="s">
        <v>131</v>
      </c>
      <c r="F1105" s="12" t="s">
        <v>66</v>
      </c>
      <c r="G1105" s="12" t="s">
        <v>84</v>
      </c>
      <c r="H1105" s="12">
        <v>1200401</v>
      </c>
      <c r="I1105" s="13">
        <v>45912.770775463003</v>
      </c>
      <c r="J1105" s="12" t="s">
        <v>127</v>
      </c>
      <c r="K1105" s="12" t="s">
        <v>142</v>
      </c>
      <c r="L1105" s="14">
        <v>0.33300000000000002</v>
      </c>
      <c r="M1105" s="14">
        <f t="shared" si="17"/>
        <v>0.33300000000000002</v>
      </c>
      <c r="N1105" s="7" t="s">
        <v>1212</v>
      </c>
      <c r="O1105" s="12"/>
      <c r="P1105" s="12" t="s">
        <v>130</v>
      </c>
    </row>
    <row r="1106" spans="1:16" ht="23.25" hidden="1" customHeight="1" x14ac:dyDescent="0.35">
      <c r="A1106" s="12">
        <v>4504</v>
      </c>
      <c r="B1106" s="12" t="s">
        <v>100</v>
      </c>
      <c r="C1106" s="12" t="s">
        <v>107</v>
      </c>
      <c r="D1106" s="12" t="s">
        <v>108</v>
      </c>
      <c r="E1106" s="12" t="s">
        <v>134</v>
      </c>
      <c r="F1106" s="12" t="s">
        <v>66</v>
      </c>
      <c r="G1106" s="12" t="s">
        <v>84</v>
      </c>
      <c r="H1106" s="12">
        <v>1200401</v>
      </c>
      <c r="I1106" s="13">
        <v>45912.770775463003</v>
      </c>
      <c r="J1106" s="12" t="s">
        <v>127</v>
      </c>
      <c r="K1106" s="12" t="s">
        <v>128</v>
      </c>
      <c r="L1106" s="14">
        <v>1</v>
      </c>
      <c r="M1106" s="14">
        <f t="shared" si="17"/>
        <v>1</v>
      </c>
      <c r="N1106" s="7" t="s">
        <v>1213</v>
      </c>
      <c r="O1106" s="12"/>
      <c r="P1106" s="12" t="s">
        <v>130</v>
      </c>
    </row>
    <row r="1107" spans="1:16" ht="180" hidden="1" customHeight="1" x14ac:dyDescent="0.35">
      <c r="A1107" s="12">
        <v>4527</v>
      </c>
      <c r="B1107" s="12" t="s">
        <v>100</v>
      </c>
      <c r="C1107" s="12" t="s">
        <v>109</v>
      </c>
      <c r="D1107" s="12" t="s">
        <v>110</v>
      </c>
      <c r="E1107" s="12" t="s">
        <v>126</v>
      </c>
      <c r="F1107" s="12" t="s">
        <v>66</v>
      </c>
      <c r="G1107" s="12" t="s">
        <v>84</v>
      </c>
      <c r="H1107" s="12">
        <v>1200401</v>
      </c>
      <c r="I1107" s="13">
        <v>45912.770775463003</v>
      </c>
      <c r="J1107" s="12" t="s">
        <v>127</v>
      </c>
      <c r="K1107" s="12" t="s">
        <v>142</v>
      </c>
      <c r="L1107" s="14">
        <v>0.33300000000000002</v>
      </c>
      <c r="M1107" s="14">
        <f t="shared" si="17"/>
        <v>0.33300000000000002</v>
      </c>
      <c r="N1107" s="7" t="s">
        <v>1214</v>
      </c>
      <c r="O1107" s="12"/>
      <c r="P1107" s="12" t="s">
        <v>130</v>
      </c>
    </row>
    <row r="1108" spans="1:16" ht="79.5" hidden="1" customHeight="1" x14ac:dyDescent="0.35">
      <c r="A1108" s="12">
        <v>4528</v>
      </c>
      <c r="B1108" s="12" t="s">
        <v>100</v>
      </c>
      <c r="C1108" s="12" t="s">
        <v>109</v>
      </c>
      <c r="D1108" s="12" t="s">
        <v>110</v>
      </c>
      <c r="E1108" s="12" t="s">
        <v>131</v>
      </c>
      <c r="F1108" s="12" t="s">
        <v>66</v>
      </c>
      <c r="G1108" s="12" t="s">
        <v>84</v>
      </c>
      <c r="H1108" s="12">
        <v>1200401</v>
      </c>
      <c r="I1108" s="13">
        <v>45912.770775463003</v>
      </c>
      <c r="J1108" s="12" t="s">
        <v>127</v>
      </c>
      <c r="K1108" s="12" t="s">
        <v>128</v>
      </c>
      <c r="L1108" s="14">
        <v>1</v>
      </c>
      <c r="M1108" s="14">
        <f t="shared" si="17"/>
        <v>1</v>
      </c>
      <c r="N1108" s="7" t="s">
        <v>1215</v>
      </c>
      <c r="O1108" s="12"/>
      <c r="P1108" s="12" t="s">
        <v>130</v>
      </c>
    </row>
    <row r="1109" spans="1:16" ht="23.25" hidden="1" customHeight="1" x14ac:dyDescent="0.35">
      <c r="A1109" s="12">
        <v>4510</v>
      </c>
      <c r="B1109" s="12" t="s">
        <v>100</v>
      </c>
      <c r="C1109" s="12" t="s">
        <v>111</v>
      </c>
      <c r="D1109" s="12" t="s">
        <v>112</v>
      </c>
      <c r="E1109" s="12" t="s">
        <v>126</v>
      </c>
      <c r="F1109" s="12" t="s">
        <v>66</v>
      </c>
      <c r="G1109" s="12" t="s">
        <v>84</v>
      </c>
      <c r="H1109" s="12">
        <v>1200401</v>
      </c>
      <c r="I1109" s="13">
        <v>45912.770775463003</v>
      </c>
      <c r="J1109" s="12" t="s">
        <v>127</v>
      </c>
      <c r="K1109" s="12" t="s">
        <v>135</v>
      </c>
      <c r="L1109" s="14"/>
      <c r="M1109" s="14">
        <f t="shared" si="17"/>
        <v>0</v>
      </c>
      <c r="N1109" s="7" t="s">
        <v>1216</v>
      </c>
      <c r="O1109" s="12"/>
      <c r="P1109" s="12" t="s">
        <v>130</v>
      </c>
    </row>
    <row r="1110" spans="1:16" ht="34.5" hidden="1" customHeight="1" x14ac:dyDescent="0.35">
      <c r="A1110" s="12">
        <v>4511</v>
      </c>
      <c r="B1110" s="12" t="s">
        <v>100</v>
      </c>
      <c r="C1110" s="12" t="s">
        <v>111</v>
      </c>
      <c r="D1110" s="12" t="s">
        <v>112</v>
      </c>
      <c r="E1110" s="12" t="s">
        <v>131</v>
      </c>
      <c r="F1110" s="12" t="s">
        <v>66</v>
      </c>
      <c r="G1110" s="12" t="s">
        <v>84</v>
      </c>
      <c r="H1110" s="12">
        <v>1200401</v>
      </c>
      <c r="I1110" s="13">
        <v>45912.770775463003</v>
      </c>
      <c r="J1110" s="12" t="s">
        <v>127</v>
      </c>
      <c r="K1110" s="12" t="s">
        <v>135</v>
      </c>
      <c r="L1110" s="14"/>
      <c r="M1110" s="14">
        <f t="shared" si="17"/>
        <v>0</v>
      </c>
      <c r="N1110" s="7" t="s">
        <v>1217</v>
      </c>
      <c r="O1110" s="12"/>
      <c r="P1110" s="12" t="s">
        <v>130</v>
      </c>
    </row>
    <row r="1111" spans="1:16" ht="15" hidden="1" customHeight="1" x14ac:dyDescent="0.35">
      <c r="A1111" s="12">
        <v>4604</v>
      </c>
      <c r="B1111" s="12" t="s">
        <v>100</v>
      </c>
      <c r="C1111" s="12" t="s">
        <v>111</v>
      </c>
      <c r="D1111" s="12" t="s">
        <v>112</v>
      </c>
      <c r="E1111" s="12" t="s">
        <v>134</v>
      </c>
      <c r="F1111" s="12" t="s">
        <v>66</v>
      </c>
      <c r="G1111" s="12" t="s">
        <v>84</v>
      </c>
      <c r="H1111" s="12">
        <v>1200401</v>
      </c>
      <c r="I1111" s="13">
        <v>45912.770775463003</v>
      </c>
      <c r="J1111" s="12" t="s">
        <v>127</v>
      </c>
      <c r="K1111" s="12" t="s">
        <v>135</v>
      </c>
      <c r="L1111" s="14"/>
      <c r="M1111" s="14">
        <f t="shared" si="17"/>
        <v>0</v>
      </c>
      <c r="N1111" s="7" t="s">
        <v>1218</v>
      </c>
      <c r="O1111" s="12"/>
      <c r="P1111" s="12" t="s">
        <v>130</v>
      </c>
    </row>
    <row r="1112" spans="1:16" ht="57" hidden="1" customHeight="1" x14ac:dyDescent="0.35">
      <c r="A1112" s="12">
        <v>4605</v>
      </c>
      <c r="B1112" s="12" t="s">
        <v>100</v>
      </c>
      <c r="C1112" s="12" t="s">
        <v>113</v>
      </c>
      <c r="D1112" s="12" t="s">
        <v>114</v>
      </c>
      <c r="E1112" s="12" t="s">
        <v>126</v>
      </c>
      <c r="F1112" s="12" t="s">
        <v>66</v>
      </c>
      <c r="G1112" s="12" t="s">
        <v>84</v>
      </c>
      <c r="H1112" s="12">
        <v>1200401</v>
      </c>
      <c r="I1112" s="13">
        <v>45912.770775463003</v>
      </c>
      <c r="J1112" s="12" t="s">
        <v>127</v>
      </c>
      <c r="K1112" s="12" t="s">
        <v>135</v>
      </c>
      <c r="L1112" s="14"/>
      <c r="M1112" s="14">
        <f t="shared" si="17"/>
        <v>0</v>
      </c>
      <c r="N1112" s="7" t="s">
        <v>1219</v>
      </c>
      <c r="O1112" s="12"/>
      <c r="P1112" s="12" t="s">
        <v>130</v>
      </c>
    </row>
    <row r="1113" spans="1:16" ht="15" hidden="1" customHeight="1" x14ac:dyDescent="0.35">
      <c r="A1113" s="12">
        <v>4606</v>
      </c>
      <c r="B1113" s="12" t="s">
        <v>100</v>
      </c>
      <c r="C1113" s="12" t="s">
        <v>113</v>
      </c>
      <c r="D1113" s="12" t="s">
        <v>114</v>
      </c>
      <c r="E1113" s="12" t="s">
        <v>131</v>
      </c>
      <c r="F1113" s="12" t="s">
        <v>66</v>
      </c>
      <c r="G1113" s="12" t="s">
        <v>84</v>
      </c>
      <c r="H1113" s="12">
        <v>1200401</v>
      </c>
      <c r="I1113" s="13">
        <v>45912.770775463003</v>
      </c>
      <c r="J1113" s="12" t="s">
        <v>127</v>
      </c>
      <c r="K1113" s="12" t="s">
        <v>688</v>
      </c>
      <c r="L1113" s="14"/>
      <c r="M1113" s="14" t="str">
        <f t="shared" si="17"/>
        <v/>
      </c>
      <c r="N1113" s="7" t="s">
        <v>1220</v>
      </c>
      <c r="O1113" s="12"/>
      <c r="P1113" s="12" t="s">
        <v>130</v>
      </c>
    </row>
    <row r="1114" spans="1:16" ht="15" hidden="1" customHeight="1" x14ac:dyDescent="0.35">
      <c r="A1114" s="12">
        <v>4607</v>
      </c>
      <c r="B1114" s="12" t="s">
        <v>100</v>
      </c>
      <c r="C1114" s="12" t="s">
        <v>113</v>
      </c>
      <c r="D1114" s="12" t="s">
        <v>114</v>
      </c>
      <c r="E1114" s="12" t="s">
        <v>134</v>
      </c>
      <c r="F1114" s="12" t="s">
        <v>66</v>
      </c>
      <c r="G1114" s="12" t="s">
        <v>84</v>
      </c>
      <c r="H1114" s="12">
        <v>1200401</v>
      </c>
      <c r="I1114" s="13">
        <v>45912.770775463003</v>
      </c>
      <c r="J1114" s="12" t="s">
        <v>127</v>
      </c>
      <c r="K1114" s="12" t="s">
        <v>688</v>
      </c>
      <c r="L1114" s="14"/>
      <c r="M1114" s="14" t="str">
        <f t="shared" si="17"/>
        <v/>
      </c>
      <c r="N1114" s="7" t="s">
        <v>1221</v>
      </c>
      <c r="O1114" s="12"/>
      <c r="P1114" s="12" t="s">
        <v>130</v>
      </c>
    </row>
    <row r="1115" spans="1:16" ht="102" hidden="1" customHeight="1" x14ac:dyDescent="0.35">
      <c r="A1115" s="12">
        <v>5284</v>
      </c>
      <c r="B1115" s="12" t="s">
        <v>100</v>
      </c>
      <c r="C1115" s="12" t="s">
        <v>101</v>
      </c>
      <c r="D1115" s="12" t="s">
        <v>102</v>
      </c>
      <c r="E1115" s="12" t="s">
        <v>126</v>
      </c>
      <c r="F1115" s="12" t="s">
        <v>39</v>
      </c>
      <c r="G1115" s="12" t="s">
        <v>57</v>
      </c>
      <c r="H1115" s="12">
        <v>24</v>
      </c>
      <c r="I1115" s="13">
        <v>45918.651666666701</v>
      </c>
      <c r="J1115" s="12" t="s">
        <v>127</v>
      </c>
      <c r="K1115" s="12" t="s">
        <v>142</v>
      </c>
      <c r="L1115" s="14">
        <v>0.33300000000000002</v>
      </c>
      <c r="M1115" s="14">
        <f t="shared" si="17"/>
        <v>0.33300000000000002</v>
      </c>
      <c r="N1115" s="7" t="s">
        <v>1222</v>
      </c>
      <c r="O1115" s="12"/>
      <c r="P1115" s="12" t="s">
        <v>130</v>
      </c>
    </row>
    <row r="1116" spans="1:16" ht="113.25" hidden="1" customHeight="1" x14ac:dyDescent="0.35">
      <c r="A1116" s="12">
        <v>5305</v>
      </c>
      <c r="B1116" s="12" t="s">
        <v>100</v>
      </c>
      <c r="C1116" s="12" t="s">
        <v>101</v>
      </c>
      <c r="D1116" s="12" t="s">
        <v>102</v>
      </c>
      <c r="E1116" s="12" t="s">
        <v>131</v>
      </c>
      <c r="F1116" s="12" t="s">
        <v>39</v>
      </c>
      <c r="G1116" s="12" t="s">
        <v>57</v>
      </c>
      <c r="H1116" s="12">
        <v>24</v>
      </c>
      <c r="I1116" s="13">
        <v>45918.651666666701</v>
      </c>
      <c r="J1116" s="12" t="s">
        <v>127</v>
      </c>
      <c r="K1116" s="12" t="s">
        <v>142</v>
      </c>
      <c r="L1116" s="14">
        <v>0.33300000000000002</v>
      </c>
      <c r="M1116" s="14">
        <f t="shared" si="17"/>
        <v>0.33300000000000002</v>
      </c>
      <c r="N1116" s="7" t="s">
        <v>1223</v>
      </c>
      <c r="O1116" s="12"/>
      <c r="P1116" s="12" t="s">
        <v>130</v>
      </c>
    </row>
    <row r="1117" spans="1:16" ht="113.25" hidden="1" customHeight="1" x14ac:dyDescent="0.35">
      <c r="A1117" s="12">
        <v>5365</v>
      </c>
      <c r="B1117" s="12" t="s">
        <v>100</v>
      </c>
      <c r="C1117" s="12" t="s">
        <v>101</v>
      </c>
      <c r="D1117" s="12" t="s">
        <v>102</v>
      </c>
      <c r="E1117" s="12" t="s">
        <v>134</v>
      </c>
      <c r="F1117" s="12" t="s">
        <v>39</v>
      </c>
      <c r="G1117" s="12" t="s">
        <v>57</v>
      </c>
      <c r="H1117" s="12">
        <v>24</v>
      </c>
      <c r="I1117" s="13">
        <v>45918.651666666701</v>
      </c>
      <c r="J1117" s="12" t="s">
        <v>127</v>
      </c>
      <c r="K1117" s="12" t="s">
        <v>132</v>
      </c>
      <c r="L1117" s="14">
        <v>0.66600000000000004</v>
      </c>
      <c r="M1117" s="14">
        <f t="shared" si="17"/>
        <v>0.66600000000000004</v>
      </c>
      <c r="N1117" s="7" t="s">
        <v>1224</v>
      </c>
      <c r="O1117" s="12"/>
      <c r="P1117" s="12" t="s">
        <v>130</v>
      </c>
    </row>
    <row r="1118" spans="1:16" ht="79.5" hidden="1" customHeight="1" x14ac:dyDescent="0.35">
      <c r="A1118" s="12">
        <v>5366</v>
      </c>
      <c r="B1118" s="12" t="s">
        <v>100</v>
      </c>
      <c r="C1118" s="12" t="s">
        <v>103</v>
      </c>
      <c r="D1118" s="12" t="s">
        <v>104</v>
      </c>
      <c r="E1118" s="12" t="s">
        <v>126</v>
      </c>
      <c r="F1118" s="12" t="s">
        <v>39</v>
      </c>
      <c r="G1118" s="12" t="s">
        <v>57</v>
      </c>
      <c r="H1118" s="12">
        <v>24</v>
      </c>
      <c r="I1118" s="13">
        <v>45918.651666666701</v>
      </c>
      <c r="J1118" s="12" t="s">
        <v>127</v>
      </c>
      <c r="K1118" s="12" t="s">
        <v>132</v>
      </c>
      <c r="L1118" s="14">
        <v>0.66600000000000004</v>
      </c>
      <c r="M1118" s="14">
        <f t="shared" si="17"/>
        <v>0.66600000000000004</v>
      </c>
      <c r="N1118" s="7" t="s">
        <v>1225</v>
      </c>
      <c r="O1118" s="12"/>
      <c r="P1118" s="12" t="s">
        <v>130</v>
      </c>
    </row>
    <row r="1119" spans="1:16" ht="124.5" hidden="1" customHeight="1" x14ac:dyDescent="0.35">
      <c r="A1119" s="12">
        <v>5367</v>
      </c>
      <c r="B1119" s="12" t="s">
        <v>100</v>
      </c>
      <c r="C1119" s="12" t="s">
        <v>103</v>
      </c>
      <c r="D1119" s="12" t="s">
        <v>104</v>
      </c>
      <c r="E1119" s="12" t="s">
        <v>131</v>
      </c>
      <c r="F1119" s="12" t="s">
        <v>39</v>
      </c>
      <c r="G1119" s="12" t="s">
        <v>57</v>
      </c>
      <c r="H1119" s="12">
        <v>24</v>
      </c>
      <c r="I1119" s="13">
        <v>45918.651666666701</v>
      </c>
      <c r="J1119" s="12" t="s">
        <v>127</v>
      </c>
      <c r="K1119" s="12" t="s">
        <v>132</v>
      </c>
      <c r="L1119" s="14">
        <v>0.66600000000000004</v>
      </c>
      <c r="M1119" s="14">
        <f t="shared" si="17"/>
        <v>0.66600000000000004</v>
      </c>
      <c r="N1119" s="7" t="s">
        <v>1226</v>
      </c>
      <c r="O1119" s="12"/>
      <c r="P1119" s="12" t="s">
        <v>130</v>
      </c>
    </row>
    <row r="1120" spans="1:16" ht="68.25" hidden="1" customHeight="1" x14ac:dyDescent="0.35">
      <c r="A1120" s="12">
        <v>5368</v>
      </c>
      <c r="B1120" s="12" t="s">
        <v>100</v>
      </c>
      <c r="C1120" s="12" t="s">
        <v>103</v>
      </c>
      <c r="D1120" s="12" t="s">
        <v>104</v>
      </c>
      <c r="E1120" s="12" t="s">
        <v>134</v>
      </c>
      <c r="F1120" s="12" t="s">
        <v>39</v>
      </c>
      <c r="G1120" s="12" t="s">
        <v>57</v>
      </c>
      <c r="H1120" s="12">
        <v>24</v>
      </c>
      <c r="I1120" s="13">
        <v>45918.651666666701</v>
      </c>
      <c r="J1120" s="12" t="s">
        <v>127</v>
      </c>
      <c r="K1120" s="12" t="s">
        <v>142</v>
      </c>
      <c r="L1120" s="14">
        <v>0.33300000000000002</v>
      </c>
      <c r="M1120" s="14">
        <f t="shared" si="17"/>
        <v>0.33300000000000002</v>
      </c>
      <c r="N1120" s="7" t="s">
        <v>1227</v>
      </c>
      <c r="O1120" s="12"/>
      <c r="P1120" s="12" t="s">
        <v>130</v>
      </c>
    </row>
    <row r="1121" spans="1:16" ht="45.75" hidden="1" customHeight="1" x14ac:dyDescent="0.35">
      <c r="A1121" s="12">
        <v>5343</v>
      </c>
      <c r="B1121" s="12" t="s">
        <v>100</v>
      </c>
      <c r="C1121" s="12" t="s">
        <v>105</v>
      </c>
      <c r="D1121" s="12" t="s">
        <v>106</v>
      </c>
      <c r="E1121" s="12" t="s">
        <v>126</v>
      </c>
      <c r="F1121" s="12" t="s">
        <v>39</v>
      </c>
      <c r="G1121" s="12" t="s">
        <v>57</v>
      </c>
      <c r="H1121" s="12">
        <v>24</v>
      </c>
      <c r="I1121" s="13">
        <v>45918.651666666701</v>
      </c>
      <c r="J1121" s="12" t="s">
        <v>127</v>
      </c>
      <c r="K1121" s="12" t="s">
        <v>142</v>
      </c>
      <c r="L1121" s="14">
        <v>0.33300000000000002</v>
      </c>
      <c r="M1121" s="14">
        <f t="shared" si="17"/>
        <v>0.33300000000000002</v>
      </c>
      <c r="N1121" s="7" t="s">
        <v>1228</v>
      </c>
      <c r="O1121" s="12"/>
      <c r="P1121" s="12" t="s">
        <v>130</v>
      </c>
    </row>
    <row r="1122" spans="1:16" ht="23.25" hidden="1" customHeight="1" x14ac:dyDescent="0.35">
      <c r="A1122" s="12">
        <v>5344</v>
      </c>
      <c r="B1122" s="12" t="s">
        <v>100</v>
      </c>
      <c r="C1122" s="12" t="s">
        <v>105</v>
      </c>
      <c r="D1122" s="12" t="s">
        <v>106</v>
      </c>
      <c r="E1122" s="12" t="s">
        <v>131</v>
      </c>
      <c r="F1122" s="12" t="s">
        <v>39</v>
      </c>
      <c r="G1122" s="12" t="s">
        <v>57</v>
      </c>
      <c r="H1122" s="12">
        <v>24</v>
      </c>
      <c r="I1122" s="13">
        <v>45918.651666666701</v>
      </c>
      <c r="J1122" s="12" t="s">
        <v>127</v>
      </c>
      <c r="K1122" s="12" t="s">
        <v>135</v>
      </c>
      <c r="L1122" s="14"/>
      <c r="M1122" s="14">
        <f t="shared" si="17"/>
        <v>0</v>
      </c>
      <c r="N1122" s="7" t="s">
        <v>1229</v>
      </c>
      <c r="O1122" s="12"/>
      <c r="P1122" s="12" t="s">
        <v>130</v>
      </c>
    </row>
    <row r="1123" spans="1:16" ht="90.75" hidden="1" customHeight="1" x14ac:dyDescent="0.35">
      <c r="A1123" s="12">
        <v>5345</v>
      </c>
      <c r="B1123" s="12" t="s">
        <v>100</v>
      </c>
      <c r="C1123" s="12" t="s">
        <v>107</v>
      </c>
      <c r="D1123" s="12" t="s">
        <v>108</v>
      </c>
      <c r="E1123" s="12" t="s">
        <v>126</v>
      </c>
      <c r="F1123" s="12" t="s">
        <v>39</v>
      </c>
      <c r="G1123" s="12" t="s">
        <v>57</v>
      </c>
      <c r="H1123" s="12">
        <v>24</v>
      </c>
      <c r="I1123" s="13">
        <v>45918.651666666701</v>
      </c>
      <c r="J1123" s="12" t="s">
        <v>127</v>
      </c>
      <c r="K1123" s="12" t="s">
        <v>132</v>
      </c>
      <c r="L1123" s="14">
        <v>0.66600000000000004</v>
      </c>
      <c r="M1123" s="14">
        <f t="shared" si="17"/>
        <v>0.66600000000000004</v>
      </c>
      <c r="N1123" s="7" t="s">
        <v>1230</v>
      </c>
      <c r="O1123" s="12"/>
      <c r="P1123" s="12" t="s">
        <v>130</v>
      </c>
    </row>
    <row r="1124" spans="1:16" ht="57" hidden="1" customHeight="1" x14ac:dyDescent="0.35">
      <c r="A1124" s="12">
        <v>5369</v>
      </c>
      <c r="B1124" s="12" t="s">
        <v>100</v>
      </c>
      <c r="C1124" s="12" t="s">
        <v>107</v>
      </c>
      <c r="D1124" s="12" t="s">
        <v>108</v>
      </c>
      <c r="E1124" s="12" t="s">
        <v>131</v>
      </c>
      <c r="F1124" s="12" t="s">
        <v>39</v>
      </c>
      <c r="G1124" s="12" t="s">
        <v>57</v>
      </c>
      <c r="H1124" s="12">
        <v>24</v>
      </c>
      <c r="I1124" s="13">
        <v>45918.651666666701</v>
      </c>
      <c r="J1124" s="12" t="s">
        <v>127</v>
      </c>
      <c r="K1124" s="12" t="s">
        <v>128</v>
      </c>
      <c r="L1124" s="14">
        <v>1</v>
      </c>
      <c r="M1124" s="14">
        <f t="shared" si="17"/>
        <v>1</v>
      </c>
      <c r="N1124" s="7" t="s">
        <v>1231</v>
      </c>
      <c r="O1124" s="12"/>
      <c r="P1124" s="12" t="s">
        <v>130</v>
      </c>
    </row>
    <row r="1125" spans="1:16" ht="124.5" hidden="1" customHeight="1" x14ac:dyDescent="0.35">
      <c r="A1125" s="12">
        <v>5370</v>
      </c>
      <c r="B1125" s="12" t="s">
        <v>100</v>
      </c>
      <c r="C1125" s="12" t="s">
        <v>107</v>
      </c>
      <c r="D1125" s="12" t="s">
        <v>108</v>
      </c>
      <c r="E1125" s="12" t="s">
        <v>134</v>
      </c>
      <c r="F1125" s="12" t="s">
        <v>39</v>
      </c>
      <c r="G1125" s="12" t="s">
        <v>57</v>
      </c>
      <c r="H1125" s="12">
        <v>24</v>
      </c>
      <c r="I1125" s="13">
        <v>45918.651666666701</v>
      </c>
      <c r="J1125" s="12" t="s">
        <v>127</v>
      </c>
      <c r="K1125" s="12" t="s">
        <v>132</v>
      </c>
      <c r="L1125" s="14">
        <v>0.66600000000000004</v>
      </c>
      <c r="M1125" s="14">
        <f t="shared" si="17"/>
        <v>0.66600000000000004</v>
      </c>
      <c r="N1125" s="7" t="s">
        <v>1232</v>
      </c>
      <c r="O1125" s="12"/>
      <c r="P1125" s="12" t="s">
        <v>130</v>
      </c>
    </row>
    <row r="1126" spans="1:16" ht="79.5" hidden="1" customHeight="1" x14ac:dyDescent="0.35">
      <c r="A1126" s="12">
        <v>5346</v>
      </c>
      <c r="B1126" s="12" t="s">
        <v>100</v>
      </c>
      <c r="C1126" s="12" t="s">
        <v>109</v>
      </c>
      <c r="D1126" s="12" t="s">
        <v>110</v>
      </c>
      <c r="E1126" s="12" t="s">
        <v>126</v>
      </c>
      <c r="F1126" s="12" t="s">
        <v>39</v>
      </c>
      <c r="G1126" s="12" t="s">
        <v>57</v>
      </c>
      <c r="H1126" s="12">
        <v>24</v>
      </c>
      <c r="I1126" s="13">
        <v>45918.651666666701</v>
      </c>
      <c r="J1126" s="12" t="s">
        <v>127</v>
      </c>
      <c r="K1126" s="12" t="s">
        <v>142</v>
      </c>
      <c r="L1126" s="14">
        <v>0.33300000000000002</v>
      </c>
      <c r="M1126" s="14">
        <f t="shared" si="17"/>
        <v>0.33300000000000002</v>
      </c>
      <c r="N1126" s="7" t="s">
        <v>1233</v>
      </c>
      <c r="O1126" s="12"/>
      <c r="P1126" s="12" t="s">
        <v>130</v>
      </c>
    </row>
    <row r="1127" spans="1:16" ht="79.5" hidden="1" customHeight="1" x14ac:dyDescent="0.35">
      <c r="A1127" s="12">
        <v>5371</v>
      </c>
      <c r="B1127" s="12" t="s">
        <v>100</v>
      </c>
      <c r="C1127" s="12" t="s">
        <v>109</v>
      </c>
      <c r="D1127" s="12" t="s">
        <v>110</v>
      </c>
      <c r="E1127" s="12" t="s">
        <v>131</v>
      </c>
      <c r="F1127" s="12" t="s">
        <v>39</v>
      </c>
      <c r="G1127" s="12" t="s">
        <v>57</v>
      </c>
      <c r="H1127" s="12">
        <v>24</v>
      </c>
      <c r="I1127" s="13">
        <v>45918.651666666701</v>
      </c>
      <c r="J1127" s="12" t="s">
        <v>127</v>
      </c>
      <c r="K1127" s="12" t="s">
        <v>132</v>
      </c>
      <c r="L1127" s="14">
        <v>0.66600000000000004</v>
      </c>
      <c r="M1127" s="14">
        <f t="shared" si="17"/>
        <v>0.66600000000000004</v>
      </c>
      <c r="N1127" s="7" t="s">
        <v>1234</v>
      </c>
      <c r="O1127" s="12"/>
      <c r="P1127" s="12" t="s">
        <v>130</v>
      </c>
    </row>
    <row r="1128" spans="1:16" ht="23.25" hidden="1" customHeight="1" x14ac:dyDescent="0.35">
      <c r="A1128" s="12">
        <v>5347</v>
      </c>
      <c r="B1128" s="12" t="s">
        <v>100</v>
      </c>
      <c r="C1128" s="12" t="s">
        <v>111</v>
      </c>
      <c r="D1128" s="12" t="s">
        <v>112</v>
      </c>
      <c r="E1128" s="12" t="s">
        <v>126</v>
      </c>
      <c r="F1128" s="12" t="s">
        <v>39</v>
      </c>
      <c r="G1128" s="12" t="s">
        <v>57</v>
      </c>
      <c r="H1128" s="12">
        <v>24</v>
      </c>
      <c r="I1128" s="13">
        <v>45918.651666666701</v>
      </c>
      <c r="J1128" s="12" t="s">
        <v>127</v>
      </c>
      <c r="K1128" s="12" t="s">
        <v>135</v>
      </c>
      <c r="L1128" s="14"/>
      <c r="M1128" s="14">
        <f t="shared" si="17"/>
        <v>0</v>
      </c>
      <c r="N1128" s="7" t="s">
        <v>1235</v>
      </c>
      <c r="O1128" s="12"/>
      <c r="P1128" s="12" t="s">
        <v>130</v>
      </c>
    </row>
    <row r="1129" spans="1:16" ht="57" hidden="1" customHeight="1" x14ac:dyDescent="0.35">
      <c r="A1129" s="12">
        <v>5372</v>
      </c>
      <c r="B1129" s="12" t="s">
        <v>100</v>
      </c>
      <c r="C1129" s="12" t="s">
        <v>111</v>
      </c>
      <c r="D1129" s="12" t="s">
        <v>112</v>
      </c>
      <c r="E1129" s="12" t="s">
        <v>131</v>
      </c>
      <c r="F1129" s="12" t="s">
        <v>39</v>
      </c>
      <c r="G1129" s="12" t="s">
        <v>57</v>
      </c>
      <c r="H1129" s="12">
        <v>24</v>
      </c>
      <c r="I1129" s="13">
        <v>45918.651666666701</v>
      </c>
      <c r="J1129" s="12" t="s">
        <v>127</v>
      </c>
      <c r="K1129" s="12" t="s">
        <v>142</v>
      </c>
      <c r="L1129" s="14">
        <v>0.33300000000000002</v>
      </c>
      <c r="M1129" s="14">
        <f t="shared" si="17"/>
        <v>0.33300000000000002</v>
      </c>
      <c r="N1129" s="7" t="s">
        <v>1236</v>
      </c>
      <c r="O1129" s="12"/>
      <c r="P1129" s="12" t="s">
        <v>130</v>
      </c>
    </row>
    <row r="1130" spans="1:16" ht="23.25" hidden="1" customHeight="1" x14ac:dyDescent="0.35">
      <c r="A1130" s="12">
        <v>5348</v>
      </c>
      <c r="B1130" s="12" t="s">
        <v>100</v>
      </c>
      <c r="C1130" s="12" t="s">
        <v>111</v>
      </c>
      <c r="D1130" s="12" t="s">
        <v>112</v>
      </c>
      <c r="E1130" s="12" t="s">
        <v>134</v>
      </c>
      <c r="F1130" s="12" t="s">
        <v>39</v>
      </c>
      <c r="G1130" s="12" t="s">
        <v>57</v>
      </c>
      <c r="H1130" s="12">
        <v>24</v>
      </c>
      <c r="I1130" s="13">
        <v>45918.651666666701</v>
      </c>
      <c r="J1130" s="12" t="s">
        <v>127</v>
      </c>
      <c r="K1130" s="12" t="s">
        <v>135</v>
      </c>
      <c r="L1130" s="14"/>
      <c r="M1130" s="14">
        <f t="shared" si="17"/>
        <v>0</v>
      </c>
      <c r="N1130" s="7" t="s">
        <v>1237</v>
      </c>
      <c r="O1130" s="12"/>
      <c r="P1130" s="12" t="s">
        <v>130</v>
      </c>
    </row>
    <row r="1131" spans="1:16" ht="135.75" hidden="1" customHeight="1" x14ac:dyDescent="0.35">
      <c r="A1131" s="12">
        <v>5373</v>
      </c>
      <c r="B1131" s="12" t="s">
        <v>100</v>
      </c>
      <c r="C1131" s="12" t="s">
        <v>113</v>
      </c>
      <c r="D1131" s="12" t="s">
        <v>114</v>
      </c>
      <c r="E1131" s="12" t="s">
        <v>126</v>
      </c>
      <c r="F1131" s="12" t="s">
        <v>39</v>
      </c>
      <c r="G1131" s="12" t="s">
        <v>57</v>
      </c>
      <c r="H1131" s="12">
        <v>24</v>
      </c>
      <c r="I1131" s="13">
        <v>45918.651666666701</v>
      </c>
      <c r="J1131" s="12" t="s">
        <v>127</v>
      </c>
      <c r="K1131" s="12" t="s">
        <v>128</v>
      </c>
      <c r="L1131" s="14">
        <v>1</v>
      </c>
      <c r="M1131" s="14">
        <f t="shared" si="17"/>
        <v>1</v>
      </c>
      <c r="N1131" s="7" t="s">
        <v>1238</v>
      </c>
      <c r="O1131" s="12"/>
      <c r="P1131" s="12" t="s">
        <v>130</v>
      </c>
    </row>
    <row r="1132" spans="1:16" ht="34.5" hidden="1" customHeight="1" x14ac:dyDescent="0.35">
      <c r="A1132" s="12">
        <v>5349</v>
      </c>
      <c r="B1132" s="12" t="s">
        <v>100</v>
      </c>
      <c r="C1132" s="12" t="s">
        <v>113</v>
      </c>
      <c r="D1132" s="12" t="s">
        <v>114</v>
      </c>
      <c r="E1132" s="12" t="s">
        <v>131</v>
      </c>
      <c r="F1132" s="12" t="s">
        <v>39</v>
      </c>
      <c r="G1132" s="12" t="s">
        <v>57</v>
      </c>
      <c r="H1132" s="12">
        <v>24</v>
      </c>
      <c r="I1132" s="13">
        <v>45918.651666666701</v>
      </c>
      <c r="J1132" s="12" t="s">
        <v>127</v>
      </c>
      <c r="K1132" s="12" t="s">
        <v>142</v>
      </c>
      <c r="L1132" s="14">
        <v>0.33300000000000002</v>
      </c>
      <c r="M1132" s="14">
        <f t="shared" si="17"/>
        <v>0.33300000000000002</v>
      </c>
      <c r="N1132" s="7" t="s">
        <v>1239</v>
      </c>
      <c r="O1132" s="12"/>
      <c r="P1132" s="12" t="s">
        <v>130</v>
      </c>
    </row>
    <row r="1133" spans="1:16" ht="102" hidden="1" customHeight="1" x14ac:dyDescent="0.35">
      <c r="A1133" s="12">
        <v>5374</v>
      </c>
      <c r="B1133" s="12" t="s">
        <v>100</v>
      </c>
      <c r="C1133" s="12" t="s">
        <v>113</v>
      </c>
      <c r="D1133" s="12" t="s">
        <v>114</v>
      </c>
      <c r="E1133" s="12" t="s">
        <v>134</v>
      </c>
      <c r="F1133" s="12" t="s">
        <v>39</v>
      </c>
      <c r="G1133" s="12" t="s">
        <v>57</v>
      </c>
      <c r="H1133" s="12">
        <v>24</v>
      </c>
      <c r="I1133" s="13">
        <v>45918.651666666701</v>
      </c>
      <c r="J1133" s="12" t="s">
        <v>127</v>
      </c>
      <c r="K1133" s="12" t="s">
        <v>128</v>
      </c>
      <c r="L1133" s="14">
        <v>1</v>
      </c>
      <c r="M1133" s="14">
        <f t="shared" si="17"/>
        <v>1</v>
      </c>
      <c r="N1133" s="7" t="s">
        <v>1240</v>
      </c>
      <c r="O1133" s="12"/>
      <c r="P1133" s="12" t="s">
        <v>130</v>
      </c>
    </row>
    <row r="1134" spans="1:16" ht="180" hidden="1" customHeight="1" x14ac:dyDescent="0.35">
      <c r="A1134" s="12">
        <v>1627</v>
      </c>
      <c r="B1134" s="12" t="s">
        <v>100</v>
      </c>
      <c r="C1134" s="12" t="s">
        <v>101</v>
      </c>
      <c r="D1134" s="12" t="s">
        <v>102</v>
      </c>
      <c r="E1134" s="12" t="s">
        <v>126</v>
      </c>
      <c r="F1134" s="12" t="s">
        <v>39</v>
      </c>
      <c r="G1134" s="12" t="s">
        <v>58</v>
      </c>
      <c r="H1134" s="12">
        <v>43</v>
      </c>
      <c r="I1134" s="13">
        <v>45918.842974537001</v>
      </c>
      <c r="J1134" s="12" t="s">
        <v>127</v>
      </c>
      <c r="K1134" s="12" t="s">
        <v>128</v>
      </c>
      <c r="L1134" s="14">
        <v>1</v>
      </c>
      <c r="M1134" s="14">
        <f t="shared" si="17"/>
        <v>1</v>
      </c>
      <c r="N1134" s="7" t="s">
        <v>1241</v>
      </c>
      <c r="O1134" s="12"/>
      <c r="P1134" s="12" t="s">
        <v>130</v>
      </c>
    </row>
    <row r="1135" spans="1:16" ht="168.75" hidden="1" customHeight="1" x14ac:dyDescent="0.35">
      <c r="A1135" s="12">
        <v>3121</v>
      </c>
      <c r="B1135" s="12" t="s">
        <v>100</v>
      </c>
      <c r="C1135" s="12" t="s">
        <v>101</v>
      </c>
      <c r="D1135" s="12" t="s">
        <v>102</v>
      </c>
      <c r="E1135" s="12" t="s">
        <v>131</v>
      </c>
      <c r="F1135" s="12" t="s">
        <v>39</v>
      </c>
      <c r="G1135" s="12" t="s">
        <v>58</v>
      </c>
      <c r="H1135" s="12">
        <v>43</v>
      </c>
      <c r="I1135" s="13">
        <v>45918.842974537001</v>
      </c>
      <c r="J1135" s="12" t="s">
        <v>127</v>
      </c>
      <c r="K1135" s="12" t="s">
        <v>132</v>
      </c>
      <c r="L1135" s="14">
        <v>0.66600000000000004</v>
      </c>
      <c r="M1135" s="14">
        <f t="shared" si="17"/>
        <v>0.66600000000000004</v>
      </c>
      <c r="N1135" s="7" t="s">
        <v>1242</v>
      </c>
      <c r="O1135" s="12"/>
      <c r="P1135" s="12" t="s">
        <v>130</v>
      </c>
    </row>
    <row r="1136" spans="1:16" ht="168.75" hidden="1" customHeight="1" x14ac:dyDescent="0.35">
      <c r="A1136" s="12">
        <v>3241</v>
      </c>
      <c r="B1136" s="12" t="s">
        <v>100</v>
      </c>
      <c r="C1136" s="12" t="s">
        <v>101</v>
      </c>
      <c r="D1136" s="12" t="s">
        <v>102</v>
      </c>
      <c r="E1136" s="12" t="s">
        <v>134</v>
      </c>
      <c r="F1136" s="12" t="s">
        <v>39</v>
      </c>
      <c r="G1136" s="12" t="s">
        <v>58</v>
      </c>
      <c r="H1136" s="12">
        <v>43</v>
      </c>
      <c r="I1136" s="13">
        <v>45918.842974537001</v>
      </c>
      <c r="J1136" s="12" t="s">
        <v>127</v>
      </c>
      <c r="K1136" s="12" t="s">
        <v>132</v>
      </c>
      <c r="L1136" s="14">
        <v>0.66600000000000004</v>
      </c>
      <c r="M1136" s="14">
        <f t="shared" si="17"/>
        <v>0.66600000000000004</v>
      </c>
      <c r="N1136" s="7" t="s">
        <v>1243</v>
      </c>
      <c r="O1136" s="12"/>
      <c r="P1136" s="12" t="s">
        <v>130</v>
      </c>
    </row>
    <row r="1137" spans="1:16" ht="168.75" hidden="1" customHeight="1" x14ac:dyDescent="0.35">
      <c r="A1137" s="12">
        <v>3844</v>
      </c>
      <c r="B1137" s="12" t="s">
        <v>100</v>
      </c>
      <c r="C1137" s="12" t="s">
        <v>103</v>
      </c>
      <c r="D1137" s="12" t="s">
        <v>104</v>
      </c>
      <c r="E1137" s="12" t="s">
        <v>126</v>
      </c>
      <c r="F1137" s="12" t="s">
        <v>39</v>
      </c>
      <c r="G1137" s="12" t="s">
        <v>58</v>
      </c>
      <c r="H1137" s="12">
        <v>43</v>
      </c>
      <c r="I1137" s="13">
        <v>45918.842974537001</v>
      </c>
      <c r="J1137" s="12" t="s">
        <v>127</v>
      </c>
      <c r="K1137" s="12" t="s">
        <v>132</v>
      </c>
      <c r="L1137" s="14">
        <v>0.66600000000000004</v>
      </c>
      <c r="M1137" s="14">
        <f t="shared" si="17"/>
        <v>0.66600000000000004</v>
      </c>
      <c r="N1137" s="7" t="s">
        <v>1244</v>
      </c>
      <c r="O1137" s="12"/>
      <c r="P1137" s="12" t="s">
        <v>130</v>
      </c>
    </row>
    <row r="1138" spans="1:16" ht="191.25" hidden="1" customHeight="1" x14ac:dyDescent="0.35">
      <c r="A1138" s="12">
        <v>3886</v>
      </c>
      <c r="B1138" s="12" t="s">
        <v>100</v>
      </c>
      <c r="C1138" s="12" t="s">
        <v>103</v>
      </c>
      <c r="D1138" s="12" t="s">
        <v>104</v>
      </c>
      <c r="E1138" s="12" t="s">
        <v>131</v>
      </c>
      <c r="F1138" s="12" t="s">
        <v>39</v>
      </c>
      <c r="G1138" s="12" t="s">
        <v>58</v>
      </c>
      <c r="H1138" s="12">
        <v>43</v>
      </c>
      <c r="I1138" s="13">
        <v>45918.842974537001</v>
      </c>
      <c r="J1138" s="12" t="s">
        <v>127</v>
      </c>
      <c r="K1138" s="12" t="s">
        <v>132</v>
      </c>
      <c r="L1138" s="14">
        <v>0.66600000000000004</v>
      </c>
      <c r="M1138" s="14">
        <f t="shared" si="17"/>
        <v>0.66600000000000004</v>
      </c>
      <c r="N1138" s="7" t="s">
        <v>1245</v>
      </c>
      <c r="O1138" s="12"/>
      <c r="P1138" s="12" t="s">
        <v>130</v>
      </c>
    </row>
    <row r="1139" spans="1:16" ht="135.75" hidden="1" customHeight="1" x14ac:dyDescent="0.35">
      <c r="A1139" s="12">
        <v>3941</v>
      </c>
      <c r="B1139" s="12" t="s">
        <v>100</v>
      </c>
      <c r="C1139" s="12" t="s">
        <v>103</v>
      </c>
      <c r="D1139" s="12" t="s">
        <v>104</v>
      </c>
      <c r="E1139" s="12" t="s">
        <v>134</v>
      </c>
      <c r="F1139" s="12" t="s">
        <v>39</v>
      </c>
      <c r="G1139" s="12" t="s">
        <v>58</v>
      </c>
      <c r="H1139" s="12">
        <v>43</v>
      </c>
      <c r="I1139" s="13">
        <v>45918.842974537001</v>
      </c>
      <c r="J1139" s="12" t="s">
        <v>127</v>
      </c>
      <c r="K1139" s="12" t="s">
        <v>128</v>
      </c>
      <c r="L1139" s="14">
        <v>1</v>
      </c>
      <c r="M1139" s="14">
        <f t="shared" si="17"/>
        <v>1</v>
      </c>
      <c r="N1139" s="7" t="s">
        <v>1246</v>
      </c>
      <c r="O1139" s="12"/>
      <c r="P1139" s="12" t="s">
        <v>130</v>
      </c>
    </row>
    <row r="1140" spans="1:16" ht="236.25" hidden="1" customHeight="1" x14ac:dyDescent="0.35">
      <c r="A1140" s="12">
        <v>3961</v>
      </c>
      <c r="B1140" s="12" t="s">
        <v>100</v>
      </c>
      <c r="C1140" s="12" t="s">
        <v>105</v>
      </c>
      <c r="D1140" s="12" t="s">
        <v>106</v>
      </c>
      <c r="E1140" s="12" t="s">
        <v>126</v>
      </c>
      <c r="F1140" s="12" t="s">
        <v>39</v>
      </c>
      <c r="G1140" s="12" t="s">
        <v>58</v>
      </c>
      <c r="H1140" s="12">
        <v>43</v>
      </c>
      <c r="I1140" s="13">
        <v>45918.842974537001</v>
      </c>
      <c r="J1140" s="12" t="s">
        <v>127</v>
      </c>
      <c r="K1140" s="12" t="s">
        <v>132</v>
      </c>
      <c r="L1140" s="14">
        <v>0.66600000000000004</v>
      </c>
      <c r="M1140" s="14">
        <f t="shared" si="17"/>
        <v>0.66600000000000004</v>
      </c>
      <c r="N1140" s="7" t="s">
        <v>1247</v>
      </c>
      <c r="O1140" s="12"/>
      <c r="P1140" s="12" t="s">
        <v>130</v>
      </c>
    </row>
    <row r="1141" spans="1:16" ht="147" hidden="1" customHeight="1" x14ac:dyDescent="0.35">
      <c r="A1141" s="12">
        <v>4541</v>
      </c>
      <c r="B1141" s="12" t="s">
        <v>100</v>
      </c>
      <c r="C1141" s="12" t="s">
        <v>105</v>
      </c>
      <c r="D1141" s="12" t="s">
        <v>106</v>
      </c>
      <c r="E1141" s="12" t="s">
        <v>131</v>
      </c>
      <c r="F1141" s="12" t="s">
        <v>39</v>
      </c>
      <c r="G1141" s="12" t="s">
        <v>58</v>
      </c>
      <c r="H1141" s="12">
        <v>43</v>
      </c>
      <c r="I1141" s="13">
        <v>45918.842974537001</v>
      </c>
      <c r="J1141" s="12" t="s">
        <v>127</v>
      </c>
      <c r="K1141" s="12" t="s">
        <v>132</v>
      </c>
      <c r="L1141" s="14">
        <v>0.66600000000000004</v>
      </c>
      <c r="M1141" s="14">
        <f t="shared" si="17"/>
        <v>0.66600000000000004</v>
      </c>
      <c r="N1141" s="7" t="s">
        <v>1248</v>
      </c>
      <c r="O1141" s="12"/>
      <c r="P1141" s="12" t="s">
        <v>130</v>
      </c>
    </row>
    <row r="1142" spans="1:16" ht="168.75" hidden="1" customHeight="1" x14ac:dyDescent="0.35">
      <c r="A1142" s="12">
        <v>5974</v>
      </c>
      <c r="B1142" s="12" t="s">
        <v>100</v>
      </c>
      <c r="C1142" s="12" t="s">
        <v>107</v>
      </c>
      <c r="D1142" s="12" t="s">
        <v>108</v>
      </c>
      <c r="E1142" s="12" t="s">
        <v>126</v>
      </c>
      <c r="F1142" s="12" t="s">
        <v>39</v>
      </c>
      <c r="G1142" s="12" t="s">
        <v>58</v>
      </c>
      <c r="H1142" s="12">
        <v>43</v>
      </c>
      <c r="I1142" s="13">
        <v>45918.842974537001</v>
      </c>
      <c r="J1142" s="12" t="s">
        <v>127</v>
      </c>
      <c r="K1142" s="12" t="s">
        <v>128</v>
      </c>
      <c r="L1142" s="14">
        <v>1</v>
      </c>
      <c r="M1142" s="14">
        <f t="shared" si="17"/>
        <v>1</v>
      </c>
      <c r="N1142" s="7" t="s">
        <v>1249</v>
      </c>
      <c r="O1142" s="12"/>
      <c r="P1142" s="12" t="s">
        <v>130</v>
      </c>
    </row>
    <row r="1143" spans="1:16" ht="90.75" hidden="1" customHeight="1" x14ac:dyDescent="0.35">
      <c r="A1143" s="12">
        <v>5975</v>
      </c>
      <c r="B1143" s="12" t="s">
        <v>100</v>
      </c>
      <c r="C1143" s="12" t="s">
        <v>107</v>
      </c>
      <c r="D1143" s="12" t="s">
        <v>108</v>
      </c>
      <c r="E1143" s="12" t="s">
        <v>131</v>
      </c>
      <c r="F1143" s="12" t="s">
        <v>39</v>
      </c>
      <c r="G1143" s="12" t="s">
        <v>58</v>
      </c>
      <c r="H1143" s="12">
        <v>43</v>
      </c>
      <c r="I1143" s="13">
        <v>45918.842974537001</v>
      </c>
      <c r="J1143" s="12" t="s">
        <v>127</v>
      </c>
      <c r="K1143" s="12" t="s">
        <v>128</v>
      </c>
      <c r="L1143" s="14">
        <v>1</v>
      </c>
      <c r="M1143" s="14">
        <f t="shared" si="17"/>
        <v>1</v>
      </c>
      <c r="N1143" s="7" t="s">
        <v>1250</v>
      </c>
      <c r="O1143" s="12"/>
      <c r="P1143" s="12" t="s">
        <v>130</v>
      </c>
    </row>
    <row r="1144" spans="1:16" ht="124.5" hidden="1" customHeight="1" x14ac:dyDescent="0.35">
      <c r="A1144" s="12">
        <v>5976</v>
      </c>
      <c r="B1144" s="12" t="s">
        <v>100</v>
      </c>
      <c r="C1144" s="12" t="s">
        <v>107</v>
      </c>
      <c r="D1144" s="12" t="s">
        <v>108</v>
      </c>
      <c r="E1144" s="12" t="s">
        <v>134</v>
      </c>
      <c r="F1144" s="12" t="s">
        <v>39</v>
      </c>
      <c r="G1144" s="12" t="s">
        <v>58</v>
      </c>
      <c r="H1144" s="12">
        <v>43</v>
      </c>
      <c r="I1144" s="13">
        <v>45918.842974537001</v>
      </c>
      <c r="J1144" s="12" t="s">
        <v>127</v>
      </c>
      <c r="K1144" s="12" t="s">
        <v>128</v>
      </c>
      <c r="L1144" s="14">
        <v>1</v>
      </c>
      <c r="M1144" s="14">
        <f t="shared" si="17"/>
        <v>1</v>
      </c>
      <c r="N1144" s="7" t="s">
        <v>1251</v>
      </c>
      <c r="O1144" s="12"/>
      <c r="P1144" s="12" t="s">
        <v>130</v>
      </c>
    </row>
    <row r="1145" spans="1:16" ht="180" hidden="1" customHeight="1" x14ac:dyDescent="0.35">
      <c r="A1145" s="12">
        <v>5979</v>
      </c>
      <c r="B1145" s="12" t="s">
        <v>100</v>
      </c>
      <c r="C1145" s="12" t="s">
        <v>109</v>
      </c>
      <c r="D1145" s="12" t="s">
        <v>110</v>
      </c>
      <c r="E1145" s="12" t="s">
        <v>126</v>
      </c>
      <c r="F1145" s="12" t="s">
        <v>39</v>
      </c>
      <c r="G1145" s="12" t="s">
        <v>58</v>
      </c>
      <c r="H1145" s="12">
        <v>43</v>
      </c>
      <c r="I1145" s="13">
        <v>45918.842974537001</v>
      </c>
      <c r="J1145" s="12" t="s">
        <v>127</v>
      </c>
      <c r="K1145" s="12" t="s">
        <v>132</v>
      </c>
      <c r="L1145" s="14">
        <v>0.66600000000000004</v>
      </c>
      <c r="M1145" s="14">
        <f t="shared" si="17"/>
        <v>0.66600000000000004</v>
      </c>
      <c r="N1145" s="7" t="s">
        <v>1252</v>
      </c>
      <c r="O1145" s="12"/>
      <c r="P1145" s="12" t="s">
        <v>130</v>
      </c>
    </row>
    <row r="1146" spans="1:16" ht="180" hidden="1" customHeight="1" x14ac:dyDescent="0.35">
      <c r="A1146" s="12">
        <v>6023</v>
      </c>
      <c r="B1146" s="12" t="s">
        <v>100</v>
      </c>
      <c r="C1146" s="12" t="s">
        <v>109</v>
      </c>
      <c r="D1146" s="12" t="s">
        <v>110</v>
      </c>
      <c r="E1146" s="12" t="s">
        <v>131</v>
      </c>
      <c r="F1146" s="12" t="s">
        <v>39</v>
      </c>
      <c r="G1146" s="12" t="s">
        <v>58</v>
      </c>
      <c r="H1146" s="12">
        <v>43</v>
      </c>
      <c r="I1146" s="13">
        <v>45918.842974537001</v>
      </c>
      <c r="J1146" s="12" t="s">
        <v>127</v>
      </c>
      <c r="K1146" s="12" t="s">
        <v>132</v>
      </c>
      <c r="L1146" s="14">
        <v>0.66600000000000004</v>
      </c>
      <c r="M1146" s="14">
        <f t="shared" si="17"/>
        <v>0.66600000000000004</v>
      </c>
      <c r="N1146" s="7" t="s">
        <v>1253</v>
      </c>
      <c r="O1146" s="12"/>
      <c r="P1146" s="12" t="s">
        <v>130</v>
      </c>
    </row>
    <row r="1147" spans="1:16" ht="225" hidden="1" customHeight="1" x14ac:dyDescent="0.35">
      <c r="A1147" s="12">
        <v>6043</v>
      </c>
      <c r="B1147" s="12" t="s">
        <v>100</v>
      </c>
      <c r="C1147" s="12" t="s">
        <v>111</v>
      </c>
      <c r="D1147" s="12" t="s">
        <v>112</v>
      </c>
      <c r="E1147" s="12" t="s">
        <v>126</v>
      </c>
      <c r="F1147" s="12" t="s">
        <v>39</v>
      </c>
      <c r="G1147" s="12" t="s">
        <v>58</v>
      </c>
      <c r="H1147" s="12">
        <v>43</v>
      </c>
      <c r="I1147" s="13">
        <v>45918.842974537001</v>
      </c>
      <c r="J1147" s="12" t="s">
        <v>127</v>
      </c>
      <c r="K1147" s="12" t="s">
        <v>142</v>
      </c>
      <c r="L1147" s="14">
        <v>0.33300000000000002</v>
      </c>
      <c r="M1147" s="14">
        <f t="shared" si="17"/>
        <v>0.33300000000000002</v>
      </c>
      <c r="N1147" s="7" t="s">
        <v>1254</v>
      </c>
      <c r="O1147" s="12"/>
      <c r="P1147" s="12" t="s">
        <v>130</v>
      </c>
    </row>
    <row r="1148" spans="1:16" ht="247.5" hidden="1" customHeight="1" x14ac:dyDescent="0.35">
      <c r="A1148" s="12">
        <v>6044</v>
      </c>
      <c r="B1148" s="12" t="s">
        <v>100</v>
      </c>
      <c r="C1148" s="12" t="s">
        <v>111</v>
      </c>
      <c r="D1148" s="12" t="s">
        <v>112</v>
      </c>
      <c r="E1148" s="12" t="s">
        <v>131</v>
      </c>
      <c r="F1148" s="12" t="s">
        <v>39</v>
      </c>
      <c r="G1148" s="12" t="s">
        <v>58</v>
      </c>
      <c r="H1148" s="12">
        <v>43</v>
      </c>
      <c r="I1148" s="13">
        <v>45918.842974537001</v>
      </c>
      <c r="J1148" s="12" t="s">
        <v>127</v>
      </c>
      <c r="K1148" s="12" t="s">
        <v>132</v>
      </c>
      <c r="L1148" s="14">
        <v>0.66600000000000004</v>
      </c>
      <c r="M1148" s="14">
        <f t="shared" si="17"/>
        <v>0.66600000000000004</v>
      </c>
      <c r="N1148" s="7" t="s">
        <v>1255</v>
      </c>
      <c r="O1148" s="12"/>
      <c r="P1148" s="12" t="s">
        <v>130</v>
      </c>
    </row>
    <row r="1149" spans="1:16" ht="135.75" hidden="1" customHeight="1" x14ac:dyDescent="0.35">
      <c r="A1149" s="12">
        <v>6045</v>
      </c>
      <c r="B1149" s="12" t="s">
        <v>100</v>
      </c>
      <c r="C1149" s="12" t="s">
        <v>111</v>
      </c>
      <c r="D1149" s="12" t="s">
        <v>112</v>
      </c>
      <c r="E1149" s="12" t="s">
        <v>134</v>
      </c>
      <c r="F1149" s="12" t="s">
        <v>39</v>
      </c>
      <c r="G1149" s="12" t="s">
        <v>58</v>
      </c>
      <c r="H1149" s="12">
        <v>43</v>
      </c>
      <c r="I1149" s="13">
        <v>45918.842974537001</v>
      </c>
      <c r="J1149" s="12" t="s">
        <v>127</v>
      </c>
      <c r="K1149" s="12" t="s">
        <v>142</v>
      </c>
      <c r="L1149" s="14">
        <v>0.33300000000000002</v>
      </c>
      <c r="M1149" s="14">
        <f t="shared" si="17"/>
        <v>0.33300000000000002</v>
      </c>
      <c r="N1149" s="7" t="s">
        <v>1256</v>
      </c>
      <c r="O1149" s="12"/>
      <c r="P1149" s="12" t="s">
        <v>130</v>
      </c>
    </row>
    <row r="1150" spans="1:16" ht="113.25" hidden="1" customHeight="1" x14ac:dyDescent="0.35">
      <c r="A1150" s="12">
        <v>6062</v>
      </c>
      <c r="B1150" s="12" t="s">
        <v>100</v>
      </c>
      <c r="C1150" s="12" t="s">
        <v>113</v>
      </c>
      <c r="D1150" s="12" t="s">
        <v>114</v>
      </c>
      <c r="E1150" s="12" t="s">
        <v>126</v>
      </c>
      <c r="F1150" s="12" t="s">
        <v>39</v>
      </c>
      <c r="G1150" s="12" t="s">
        <v>58</v>
      </c>
      <c r="H1150" s="12">
        <v>43</v>
      </c>
      <c r="I1150" s="13">
        <v>45918.842974537001</v>
      </c>
      <c r="J1150" s="12" t="s">
        <v>127</v>
      </c>
      <c r="K1150" s="12" t="s">
        <v>132</v>
      </c>
      <c r="L1150" s="14">
        <v>0.66600000000000004</v>
      </c>
      <c r="M1150" s="14">
        <f t="shared" si="17"/>
        <v>0.66600000000000004</v>
      </c>
      <c r="N1150" s="7" t="s">
        <v>1257</v>
      </c>
      <c r="O1150" s="12"/>
      <c r="P1150" s="12" t="s">
        <v>130</v>
      </c>
    </row>
    <row r="1151" spans="1:16" ht="102" hidden="1" customHeight="1" x14ac:dyDescent="0.35">
      <c r="A1151" s="12">
        <v>6046</v>
      </c>
      <c r="B1151" s="12" t="s">
        <v>100</v>
      </c>
      <c r="C1151" s="12" t="s">
        <v>113</v>
      </c>
      <c r="D1151" s="12" t="s">
        <v>114</v>
      </c>
      <c r="E1151" s="12" t="s">
        <v>131</v>
      </c>
      <c r="F1151" s="12" t="s">
        <v>39</v>
      </c>
      <c r="G1151" s="12" t="s">
        <v>58</v>
      </c>
      <c r="H1151" s="12">
        <v>43</v>
      </c>
      <c r="I1151" s="13">
        <v>45918.842974537001</v>
      </c>
      <c r="J1151" s="12" t="s">
        <v>127</v>
      </c>
      <c r="K1151" s="12" t="s">
        <v>128</v>
      </c>
      <c r="L1151" s="14">
        <v>1</v>
      </c>
      <c r="M1151" s="14">
        <f t="shared" si="17"/>
        <v>1</v>
      </c>
      <c r="N1151" s="7" t="s">
        <v>1258</v>
      </c>
      <c r="O1151" s="12"/>
      <c r="P1151" s="12" t="s">
        <v>130</v>
      </c>
    </row>
    <row r="1152" spans="1:16" ht="124.5" hidden="1" customHeight="1" x14ac:dyDescent="0.35">
      <c r="A1152" s="12">
        <v>6186</v>
      </c>
      <c r="B1152" s="12" t="s">
        <v>100</v>
      </c>
      <c r="C1152" s="12" t="s">
        <v>113</v>
      </c>
      <c r="D1152" s="12" t="s">
        <v>114</v>
      </c>
      <c r="E1152" s="12" t="s">
        <v>134</v>
      </c>
      <c r="F1152" s="12" t="s">
        <v>39</v>
      </c>
      <c r="G1152" s="12" t="s">
        <v>58</v>
      </c>
      <c r="H1152" s="12">
        <v>43</v>
      </c>
      <c r="I1152" s="13">
        <v>45918.842974537001</v>
      </c>
      <c r="J1152" s="12" t="s">
        <v>127</v>
      </c>
      <c r="K1152" s="12" t="s">
        <v>142</v>
      </c>
      <c r="L1152" s="14">
        <v>0.33300000000000002</v>
      </c>
      <c r="M1152" s="14">
        <f t="shared" si="17"/>
        <v>0.33300000000000002</v>
      </c>
      <c r="N1152" s="7" t="s">
        <v>1259</v>
      </c>
      <c r="O1152" s="12"/>
      <c r="P1152" s="12" t="s">
        <v>130</v>
      </c>
    </row>
    <row r="1153" spans="1:16" ht="90.75" hidden="1" customHeight="1" x14ac:dyDescent="0.35">
      <c r="A1153" s="12">
        <v>1625</v>
      </c>
      <c r="B1153" s="12" t="s">
        <v>100</v>
      </c>
      <c r="C1153" s="12" t="s">
        <v>101</v>
      </c>
      <c r="D1153" s="12" t="s">
        <v>102</v>
      </c>
      <c r="E1153" s="12" t="s">
        <v>126</v>
      </c>
      <c r="F1153" s="12" t="s">
        <v>39</v>
      </c>
      <c r="G1153" s="12" t="s">
        <v>59</v>
      </c>
      <c r="H1153" s="12">
        <v>33</v>
      </c>
      <c r="I1153" s="13">
        <v>45912.5325115741</v>
      </c>
      <c r="J1153" s="12" t="s">
        <v>127</v>
      </c>
      <c r="K1153" s="12" t="s">
        <v>128</v>
      </c>
      <c r="L1153" s="14">
        <v>1</v>
      </c>
      <c r="M1153" s="14">
        <f t="shared" si="17"/>
        <v>1</v>
      </c>
      <c r="N1153" s="7" t="s">
        <v>1260</v>
      </c>
      <c r="O1153" s="12"/>
      <c r="P1153" s="12"/>
    </row>
    <row r="1154" spans="1:16" ht="168.75" hidden="1" customHeight="1" x14ac:dyDescent="0.35">
      <c r="A1154" s="12">
        <v>1619</v>
      </c>
      <c r="B1154" s="12" t="s">
        <v>100</v>
      </c>
      <c r="C1154" s="12" t="s">
        <v>101</v>
      </c>
      <c r="D1154" s="12" t="s">
        <v>102</v>
      </c>
      <c r="E1154" s="12" t="s">
        <v>126</v>
      </c>
      <c r="F1154" s="12" t="s">
        <v>66</v>
      </c>
      <c r="G1154" s="12" t="s">
        <v>59</v>
      </c>
      <c r="H1154" s="12">
        <v>3304557</v>
      </c>
      <c r="I1154" s="13">
        <v>45910.8656597222</v>
      </c>
      <c r="J1154" s="12" t="s">
        <v>127</v>
      </c>
      <c r="K1154" s="12" t="s">
        <v>128</v>
      </c>
      <c r="L1154" s="14">
        <v>1</v>
      </c>
      <c r="M1154" s="14">
        <f t="shared" ref="M1154:M1217" si="18">IF(K1154="Sem progresso",0,IF(OR(K1154="Não avaliado",K1154="Não se aplica",K1154=""),"",L1154))</f>
        <v>1</v>
      </c>
      <c r="N1154" s="7" t="s">
        <v>1261</v>
      </c>
      <c r="O1154" s="12"/>
      <c r="P1154" s="12" t="s">
        <v>130</v>
      </c>
    </row>
    <row r="1155" spans="1:16" ht="213.75" hidden="1" customHeight="1" x14ac:dyDescent="0.35">
      <c r="A1155" s="12">
        <v>1653</v>
      </c>
      <c r="B1155" s="12" t="s">
        <v>100</v>
      </c>
      <c r="C1155" s="12" t="s">
        <v>101</v>
      </c>
      <c r="D1155" s="12" t="s">
        <v>102</v>
      </c>
      <c r="E1155" s="12" t="s">
        <v>131</v>
      </c>
      <c r="F1155" s="12" t="s">
        <v>66</v>
      </c>
      <c r="G1155" s="12" t="s">
        <v>59</v>
      </c>
      <c r="H1155" s="12">
        <v>3304557</v>
      </c>
      <c r="I1155" s="13">
        <v>45910.8656597222</v>
      </c>
      <c r="J1155" s="12" t="s">
        <v>127</v>
      </c>
      <c r="K1155" s="12" t="s">
        <v>128</v>
      </c>
      <c r="L1155" s="14">
        <v>1</v>
      </c>
      <c r="M1155" s="14">
        <f t="shared" si="18"/>
        <v>1</v>
      </c>
      <c r="N1155" s="7" t="s">
        <v>1262</v>
      </c>
      <c r="O1155" s="12"/>
      <c r="P1155" s="12" t="s">
        <v>130</v>
      </c>
    </row>
    <row r="1156" spans="1:16" ht="236.25" hidden="1" customHeight="1" x14ac:dyDescent="0.35">
      <c r="A1156" s="12">
        <v>4861</v>
      </c>
      <c r="B1156" s="12" t="s">
        <v>100</v>
      </c>
      <c r="C1156" s="12" t="s">
        <v>101</v>
      </c>
      <c r="D1156" s="12" t="s">
        <v>102</v>
      </c>
      <c r="E1156" s="12" t="s">
        <v>131</v>
      </c>
      <c r="F1156" s="12" t="s">
        <v>39</v>
      </c>
      <c r="G1156" s="12" t="s">
        <v>59</v>
      </c>
      <c r="H1156" s="12">
        <v>33</v>
      </c>
      <c r="I1156" s="13">
        <v>45912.5325115741</v>
      </c>
      <c r="J1156" s="12" t="s">
        <v>127</v>
      </c>
      <c r="K1156" s="12" t="s">
        <v>142</v>
      </c>
      <c r="L1156" s="14">
        <v>0.33300000000000002</v>
      </c>
      <c r="M1156" s="14">
        <f t="shared" si="18"/>
        <v>0.33300000000000002</v>
      </c>
      <c r="N1156" s="7" t="s">
        <v>1263</v>
      </c>
      <c r="O1156" s="12"/>
      <c r="P1156" s="12" t="s">
        <v>130</v>
      </c>
    </row>
    <row r="1157" spans="1:16" ht="113.25" hidden="1" customHeight="1" x14ac:dyDescent="0.35">
      <c r="A1157" s="12">
        <v>4883</v>
      </c>
      <c r="B1157" s="12" t="s">
        <v>100</v>
      </c>
      <c r="C1157" s="12" t="s">
        <v>101</v>
      </c>
      <c r="D1157" s="12" t="s">
        <v>102</v>
      </c>
      <c r="E1157" s="12" t="s">
        <v>134</v>
      </c>
      <c r="F1157" s="12" t="s">
        <v>39</v>
      </c>
      <c r="G1157" s="12" t="s">
        <v>59</v>
      </c>
      <c r="H1157" s="12">
        <v>33</v>
      </c>
      <c r="I1157" s="13">
        <v>45912.5325115741</v>
      </c>
      <c r="J1157" s="12" t="s">
        <v>127</v>
      </c>
      <c r="K1157" s="12" t="s">
        <v>128</v>
      </c>
      <c r="L1157" s="14">
        <v>1</v>
      </c>
      <c r="M1157" s="14">
        <f t="shared" si="18"/>
        <v>1</v>
      </c>
      <c r="N1157" s="7" t="s">
        <v>1264</v>
      </c>
      <c r="O1157" s="12"/>
      <c r="P1157" s="12" t="s">
        <v>130</v>
      </c>
    </row>
    <row r="1158" spans="1:16" ht="247.5" hidden="1" customHeight="1" x14ac:dyDescent="0.35">
      <c r="A1158" s="12">
        <v>5358</v>
      </c>
      <c r="B1158" s="12" t="s">
        <v>100</v>
      </c>
      <c r="C1158" s="12" t="s">
        <v>101</v>
      </c>
      <c r="D1158" s="12" t="s">
        <v>102</v>
      </c>
      <c r="E1158" s="12" t="s">
        <v>134</v>
      </c>
      <c r="F1158" s="12" t="s">
        <v>66</v>
      </c>
      <c r="G1158" s="12" t="s">
        <v>59</v>
      </c>
      <c r="H1158" s="12">
        <v>3304557</v>
      </c>
      <c r="I1158" s="13">
        <v>45910.8656597222</v>
      </c>
      <c r="J1158" s="12" t="s">
        <v>127</v>
      </c>
      <c r="K1158" s="12" t="s">
        <v>132</v>
      </c>
      <c r="L1158" s="14">
        <v>0.66600000000000004</v>
      </c>
      <c r="M1158" s="14">
        <f t="shared" si="18"/>
        <v>0.66600000000000004</v>
      </c>
      <c r="N1158" s="7" t="s">
        <v>1265</v>
      </c>
      <c r="O1158" s="12"/>
      <c r="P1158" s="12" t="s">
        <v>130</v>
      </c>
    </row>
    <row r="1159" spans="1:16" ht="236.25" hidden="1" customHeight="1" x14ac:dyDescent="0.35">
      <c r="A1159" s="12">
        <v>4886</v>
      </c>
      <c r="B1159" s="12" t="s">
        <v>100</v>
      </c>
      <c r="C1159" s="12" t="s">
        <v>103</v>
      </c>
      <c r="D1159" s="12" t="s">
        <v>104</v>
      </c>
      <c r="E1159" s="12" t="s">
        <v>126</v>
      </c>
      <c r="F1159" s="12" t="s">
        <v>39</v>
      </c>
      <c r="G1159" s="12" t="s">
        <v>59</v>
      </c>
      <c r="H1159" s="12">
        <v>33</v>
      </c>
      <c r="I1159" s="13">
        <v>45912.5325115741</v>
      </c>
      <c r="J1159" s="12" t="s">
        <v>127</v>
      </c>
      <c r="K1159" s="12" t="s">
        <v>128</v>
      </c>
      <c r="L1159" s="14">
        <v>1</v>
      </c>
      <c r="M1159" s="14">
        <f t="shared" si="18"/>
        <v>1</v>
      </c>
      <c r="N1159" s="7" t="s">
        <v>1266</v>
      </c>
      <c r="O1159" s="12"/>
      <c r="P1159" s="12" t="s">
        <v>130</v>
      </c>
    </row>
    <row r="1160" spans="1:16" ht="135.75" hidden="1" customHeight="1" x14ac:dyDescent="0.35">
      <c r="A1160" s="12">
        <v>5401</v>
      </c>
      <c r="B1160" s="12" t="s">
        <v>100</v>
      </c>
      <c r="C1160" s="12" t="s">
        <v>103</v>
      </c>
      <c r="D1160" s="12" t="s">
        <v>104</v>
      </c>
      <c r="E1160" s="12" t="s">
        <v>126</v>
      </c>
      <c r="F1160" s="12" t="s">
        <v>66</v>
      </c>
      <c r="G1160" s="12" t="s">
        <v>59</v>
      </c>
      <c r="H1160" s="12">
        <v>3304557</v>
      </c>
      <c r="I1160" s="13">
        <v>45910.8656597222</v>
      </c>
      <c r="J1160" s="12" t="s">
        <v>127</v>
      </c>
      <c r="K1160" s="12" t="s">
        <v>132</v>
      </c>
      <c r="L1160" s="14">
        <v>0.66600000000000004</v>
      </c>
      <c r="M1160" s="14">
        <f t="shared" si="18"/>
        <v>0.66600000000000004</v>
      </c>
      <c r="N1160" s="7" t="s">
        <v>1267</v>
      </c>
      <c r="O1160" s="12"/>
      <c r="P1160" s="12" t="s">
        <v>130</v>
      </c>
    </row>
    <row r="1161" spans="1:16" ht="90.75" hidden="1" customHeight="1" x14ac:dyDescent="0.35">
      <c r="A1161" s="12">
        <v>5102</v>
      </c>
      <c r="B1161" s="12" t="s">
        <v>100</v>
      </c>
      <c r="C1161" s="12" t="s">
        <v>103</v>
      </c>
      <c r="D1161" s="12" t="s">
        <v>104</v>
      </c>
      <c r="E1161" s="12" t="s">
        <v>131</v>
      </c>
      <c r="F1161" s="12" t="s">
        <v>39</v>
      </c>
      <c r="G1161" s="12" t="s">
        <v>59</v>
      </c>
      <c r="H1161" s="12">
        <v>33</v>
      </c>
      <c r="I1161" s="13">
        <v>45912.5325115741</v>
      </c>
      <c r="J1161" s="12" t="s">
        <v>127</v>
      </c>
      <c r="K1161" s="12" t="s">
        <v>128</v>
      </c>
      <c r="L1161" s="14">
        <v>1</v>
      </c>
      <c r="M1161" s="14">
        <f t="shared" si="18"/>
        <v>1</v>
      </c>
      <c r="N1161" s="7" t="s">
        <v>1268</v>
      </c>
      <c r="O1161" s="12"/>
      <c r="P1161" s="12" t="s">
        <v>130</v>
      </c>
    </row>
    <row r="1162" spans="1:16" ht="157.5" hidden="1" customHeight="1" x14ac:dyDescent="0.35">
      <c r="A1162" s="12">
        <v>5447</v>
      </c>
      <c r="B1162" s="12" t="s">
        <v>100</v>
      </c>
      <c r="C1162" s="12" t="s">
        <v>103</v>
      </c>
      <c r="D1162" s="12" t="s">
        <v>104</v>
      </c>
      <c r="E1162" s="12" t="s">
        <v>131</v>
      </c>
      <c r="F1162" s="12" t="s">
        <v>66</v>
      </c>
      <c r="G1162" s="12" t="s">
        <v>59</v>
      </c>
      <c r="H1162" s="12">
        <v>3304557</v>
      </c>
      <c r="I1162" s="13">
        <v>45910.8656597222</v>
      </c>
      <c r="J1162" s="12" t="s">
        <v>127</v>
      </c>
      <c r="K1162" s="12" t="s">
        <v>132</v>
      </c>
      <c r="L1162" s="14">
        <v>0.66600000000000004</v>
      </c>
      <c r="M1162" s="14">
        <f t="shared" si="18"/>
        <v>0.66600000000000004</v>
      </c>
      <c r="N1162" s="7" t="s">
        <v>1269</v>
      </c>
      <c r="O1162" s="12"/>
      <c r="P1162" s="12" t="s">
        <v>130</v>
      </c>
    </row>
    <row r="1163" spans="1:16" ht="124.5" hidden="1" customHeight="1" x14ac:dyDescent="0.35">
      <c r="A1163" s="12">
        <v>5302</v>
      </c>
      <c r="B1163" s="12" t="s">
        <v>100</v>
      </c>
      <c r="C1163" s="12" t="s">
        <v>103</v>
      </c>
      <c r="D1163" s="12" t="s">
        <v>104</v>
      </c>
      <c r="E1163" s="12" t="s">
        <v>134</v>
      </c>
      <c r="F1163" s="12" t="s">
        <v>39</v>
      </c>
      <c r="G1163" s="12" t="s">
        <v>59</v>
      </c>
      <c r="H1163" s="12">
        <v>33</v>
      </c>
      <c r="I1163" s="13">
        <v>45912.5325115741</v>
      </c>
      <c r="J1163" s="12" t="s">
        <v>127</v>
      </c>
      <c r="K1163" s="12" t="s">
        <v>128</v>
      </c>
      <c r="L1163" s="14">
        <v>1</v>
      </c>
      <c r="M1163" s="14">
        <f t="shared" si="18"/>
        <v>1</v>
      </c>
      <c r="N1163" s="7" t="s">
        <v>1270</v>
      </c>
      <c r="O1163" s="12"/>
      <c r="P1163" s="12" t="s">
        <v>130</v>
      </c>
    </row>
    <row r="1164" spans="1:16" ht="213.75" hidden="1" customHeight="1" x14ac:dyDescent="0.35">
      <c r="A1164" s="12">
        <v>5448</v>
      </c>
      <c r="B1164" s="12" t="s">
        <v>100</v>
      </c>
      <c r="C1164" s="12" t="s">
        <v>103</v>
      </c>
      <c r="D1164" s="12" t="s">
        <v>104</v>
      </c>
      <c r="E1164" s="12" t="s">
        <v>134</v>
      </c>
      <c r="F1164" s="12" t="s">
        <v>66</v>
      </c>
      <c r="G1164" s="12" t="s">
        <v>59</v>
      </c>
      <c r="H1164" s="12">
        <v>3304557</v>
      </c>
      <c r="I1164" s="13">
        <v>45910.8656597222</v>
      </c>
      <c r="J1164" s="12" t="s">
        <v>127</v>
      </c>
      <c r="K1164" s="12" t="s">
        <v>128</v>
      </c>
      <c r="L1164" s="14">
        <v>1</v>
      </c>
      <c r="M1164" s="14">
        <f t="shared" si="18"/>
        <v>1</v>
      </c>
      <c r="N1164" s="7" t="s">
        <v>1271</v>
      </c>
      <c r="O1164" s="12"/>
      <c r="P1164" s="12" t="s">
        <v>130</v>
      </c>
    </row>
    <row r="1165" spans="1:16" ht="202.5" hidden="1" customHeight="1" x14ac:dyDescent="0.35">
      <c r="A1165" s="12">
        <v>5606</v>
      </c>
      <c r="B1165" s="12" t="s">
        <v>100</v>
      </c>
      <c r="C1165" s="12" t="s">
        <v>105</v>
      </c>
      <c r="D1165" s="12" t="s">
        <v>106</v>
      </c>
      <c r="E1165" s="12" t="s">
        <v>126</v>
      </c>
      <c r="F1165" s="12" t="s">
        <v>66</v>
      </c>
      <c r="G1165" s="12" t="s">
        <v>59</v>
      </c>
      <c r="H1165" s="12">
        <v>3304557</v>
      </c>
      <c r="I1165" s="13">
        <v>45910.8656597222</v>
      </c>
      <c r="J1165" s="12" t="s">
        <v>127</v>
      </c>
      <c r="K1165" s="12" t="s">
        <v>132</v>
      </c>
      <c r="L1165" s="14">
        <v>0.66600000000000004</v>
      </c>
      <c r="M1165" s="14">
        <f t="shared" si="18"/>
        <v>0.66600000000000004</v>
      </c>
      <c r="N1165" s="7" t="s">
        <v>1272</v>
      </c>
      <c r="O1165" s="12"/>
      <c r="P1165" s="12" t="s">
        <v>130</v>
      </c>
    </row>
    <row r="1166" spans="1:16" ht="45.75" hidden="1" customHeight="1" x14ac:dyDescent="0.35">
      <c r="A1166" s="12">
        <v>5452</v>
      </c>
      <c r="B1166" s="12" t="s">
        <v>100</v>
      </c>
      <c r="C1166" s="12" t="s">
        <v>105</v>
      </c>
      <c r="D1166" s="12" t="s">
        <v>106</v>
      </c>
      <c r="E1166" s="12" t="s">
        <v>126</v>
      </c>
      <c r="F1166" s="12" t="s">
        <v>39</v>
      </c>
      <c r="G1166" s="12" t="s">
        <v>59</v>
      </c>
      <c r="H1166" s="12">
        <v>33</v>
      </c>
      <c r="I1166" s="13">
        <v>45912.5325115741</v>
      </c>
      <c r="J1166" s="12" t="s">
        <v>127</v>
      </c>
      <c r="K1166" s="12" t="s">
        <v>142</v>
      </c>
      <c r="L1166" s="14">
        <v>0.33300000000000002</v>
      </c>
      <c r="M1166" s="14">
        <f t="shared" si="18"/>
        <v>0.33300000000000002</v>
      </c>
      <c r="N1166" s="7" t="s">
        <v>1273</v>
      </c>
      <c r="O1166" s="12"/>
      <c r="P1166" s="12" t="s">
        <v>130</v>
      </c>
    </row>
    <row r="1167" spans="1:16" ht="57" hidden="1" customHeight="1" x14ac:dyDescent="0.35">
      <c r="A1167" s="12">
        <v>5453</v>
      </c>
      <c r="B1167" s="12" t="s">
        <v>100</v>
      </c>
      <c r="C1167" s="12" t="s">
        <v>105</v>
      </c>
      <c r="D1167" s="12" t="s">
        <v>106</v>
      </c>
      <c r="E1167" s="12" t="s">
        <v>131</v>
      </c>
      <c r="F1167" s="12" t="s">
        <v>39</v>
      </c>
      <c r="G1167" s="12" t="s">
        <v>59</v>
      </c>
      <c r="H1167" s="12">
        <v>33</v>
      </c>
      <c r="I1167" s="13">
        <v>45912.5325115741</v>
      </c>
      <c r="J1167" s="12" t="s">
        <v>127</v>
      </c>
      <c r="K1167" s="12" t="s">
        <v>135</v>
      </c>
      <c r="L1167" s="14"/>
      <c r="M1167" s="14">
        <f t="shared" si="18"/>
        <v>0</v>
      </c>
      <c r="N1167" s="7" t="s">
        <v>1274</v>
      </c>
      <c r="O1167" s="12"/>
      <c r="P1167" s="12" t="s">
        <v>130</v>
      </c>
    </row>
    <row r="1168" spans="1:16" ht="247.5" hidden="1" customHeight="1" x14ac:dyDescent="0.35">
      <c r="A1168" s="12">
        <v>5646</v>
      </c>
      <c r="B1168" s="12" t="s">
        <v>100</v>
      </c>
      <c r="C1168" s="12" t="s">
        <v>105</v>
      </c>
      <c r="D1168" s="12" t="s">
        <v>106</v>
      </c>
      <c r="E1168" s="12" t="s">
        <v>131</v>
      </c>
      <c r="F1168" s="12" t="s">
        <v>66</v>
      </c>
      <c r="G1168" s="12" t="s">
        <v>59</v>
      </c>
      <c r="H1168" s="12">
        <v>3304557</v>
      </c>
      <c r="I1168" s="13">
        <v>45910.8656597222</v>
      </c>
      <c r="J1168" s="12" t="s">
        <v>127</v>
      </c>
      <c r="K1168" s="12" t="s">
        <v>132</v>
      </c>
      <c r="L1168" s="14">
        <v>0.66600000000000004</v>
      </c>
      <c r="M1168" s="14">
        <f t="shared" si="18"/>
        <v>0.66600000000000004</v>
      </c>
      <c r="N1168" s="7" t="s">
        <v>1275</v>
      </c>
      <c r="O1168" s="12"/>
      <c r="P1168" s="12" t="s">
        <v>130</v>
      </c>
    </row>
    <row r="1169" spans="1:16" ht="168.75" hidden="1" customHeight="1" x14ac:dyDescent="0.35">
      <c r="A1169" s="12">
        <v>5287</v>
      </c>
      <c r="B1169" s="12" t="s">
        <v>100</v>
      </c>
      <c r="C1169" s="12" t="s">
        <v>107</v>
      </c>
      <c r="D1169" s="12" t="s">
        <v>108</v>
      </c>
      <c r="E1169" s="12" t="s">
        <v>126</v>
      </c>
      <c r="F1169" s="12" t="s">
        <v>39</v>
      </c>
      <c r="G1169" s="12" t="s">
        <v>59</v>
      </c>
      <c r="H1169" s="12">
        <v>33</v>
      </c>
      <c r="I1169" s="13">
        <v>45912.5325115741</v>
      </c>
      <c r="J1169" s="12" t="s">
        <v>127</v>
      </c>
      <c r="K1169" s="12" t="s">
        <v>128</v>
      </c>
      <c r="L1169" s="14">
        <v>1</v>
      </c>
      <c r="M1169" s="14">
        <f t="shared" si="18"/>
        <v>1</v>
      </c>
      <c r="N1169" s="7" t="s">
        <v>1276</v>
      </c>
      <c r="O1169" s="12"/>
      <c r="P1169" s="12" t="s">
        <v>130</v>
      </c>
    </row>
    <row r="1170" spans="1:16" ht="225" hidden="1" customHeight="1" x14ac:dyDescent="0.35">
      <c r="A1170" s="12">
        <v>5769</v>
      </c>
      <c r="B1170" s="12" t="s">
        <v>100</v>
      </c>
      <c r="C1170" s="12" t="s">
        <v>107</v>
      </c>
      <c r="D1170" s="12" t="s">
        <v>108</v>
      </c>
      <c r="E1170" s="12" t="s">
        <v>126</v>
      </c>
      <c r="F1170" s="12" t="s">
        <v>66</v>
      </c>
      <c r="G1170" s="12" t="s">
        <v>59</v>
      </c>
      <c r="H1170" s="12">
        <v>3304557</v>
      </c>
      <c r="I1170" s="13">
        <v>45910.8656597222</v>
      </c>
      <c r="J1170" s="12" t="s">
        <v>127</v>
      </c>
      <c r="K1170" s="12" t="s">
        <v>132</v>
      </c>
      <c r="L1170" s="14">
        <v>0.66600000000000004</v>
      </c>
      <c r="M1170" s="14">
        <f t="shared" si="18"/>
        <v>0.66600000000000004</v>
      </c>
      <c r="N1170" s="7" t="s">
        <v>1277</v>
      </c>
      <c r="O1170" s="12"/>
      <c r="P1170" s="12" t="s">
        <v>130</v>
      </c>
    </row>
    <row r="1171" spans="1:16" ht="281.25" hidden="1" customHeight="1" x14ac:dyDescent="0.35">
      <c r="A1171" s="12">
        <v>5310</v>
      </c>
      <c r="B1171" s="12" t="s">
        <v>100</v>
      </c>
      <c r="C1171" s="12" t="s">
        <v>107</v>
      </c>
      <c r="D1171" s="12" t="s">
        <v>108</v>
      </c>
      <c r="E1171" s="12" t="s">
        <v>131</v>
      </c>
      <c r="F1171" s="12" t="s">
        <v>39</v>
      </c>
      <c r="G1171" s="12" t="s">
        <v>59</v>
      </c>
      <c r="H1171" s="12">
        <v>33</v>
      </c>
      <c r="I1171" s="13">
        <v>45912.5325115741</v>
      </c>
      <c r="J1171" s="12" t="s">
        <v>127</v>
      </c>
      <c r="K1171" s="12" t="s">
        <v>128</v>
      </c>
      <c r="L1171" s="14">
        <v>1</v>
      </c>
      <c r="M1171" s="14">
        <f t="shared" si="18"/>
        <v>1</v>
      </c>
      <c r="N1171" s="7" t="s">
        <v>1278</v>
      </c>
      <c r="O1171" s="12"/>
      <c r="P1171" s="12" t="s">
        <v>130</v>
      </c>
    </row>
    <row r="1172" spans="1:16" ht="236.25" hidden="1" customHeight="1" x14ac:dyDescent="0.35">
      <c r="A1172" s="12">
        <v>5883</v>
      </c>
      <c r="B1172" s="12" t="s">
        <v>100</v>
      </c>
      <c r="C1172" s="12" t="s">
        <v>107</v>
      </c>
      <c r="D1172" s="12" t="s">
        <v>108</v>
      </c>
      <c r="E1172" s="12" t="s">
        <v>131</v>
      </c>
      <c r="F1172" s="12" t="s">
        <v>66</v>
      </c>
      <c r="G1172" s="12" t="s">
        <v>59</v>
      </c>
      <c r="H1172" s="12">
        <v>3304557</v>
      </c>
      <c r="I1172" s="13">
        <v>45910.8656597222</v>
      </c>
      <c r="J1172" s="12" t="s">
        <v>127</v>
      </c>
      <c r="K1172" s="12" t="s">
        <v>128</v>
      </c>
      <c r="L1172" s="14">
        <v>1</v>
      </c>
      <c r="M1172" s="14">
        <f t="shared" si="18"/>
        <v>1</v>
      </c>
      <c r="N1172" s="7" t="s">
        <v>1279</v>
      </c>
      <c r="O1172" s="12"/>
      <c r="P1172" s="12" t="s">
        <v>130</v>
      </c>
    </row>
    <row r="1173" spans="1:16" ht="135.75" hidden="1" customHeight="1" x14ac:dyDescent="0.35">
      <c r="A1173" s="12">
        <v>5884</v>
      </c>
      <c r="B1173" s="12" t="s">
        <v>100</v>
      </c>
      <c r="C1173" s="12" t="s">
        <v>107</v>
      </c>
      <c r="D1173" s="12" t="s">
        <v>108</v>
      </c>
      <c r="E1173" s="12" t="s">
        <v>134</v>
      </c>
      <c r="F1173" s="12" t="s">
        <v>66</v>
      </c>
      <c r="G1173" s="12" t="s">
        <v>59</v>
      </c>
      <c r="H1173" s="12">
        <v>3304557</v>
      </c>
      <c r="I1173" s="13">
        <v>45910.8656597222</v>
      </c>
      <c r="J1173" s="12" t="s">
        <v>127</v>
      </c>
      <c r="K1173" s="12" t="s">
        <v>132</v>
      </c>
      <c r="L1173" s="14">
        <v>0.66600000000000004</v>
      </c>
      <c r="M1173" s="14">
        <f t="shared" si="18"/>
        <v>0.66600000000000004</v>
      </c>
      <c r="N1173" s="7" t="s">
        <v>1280</v>
      </c>
      <c r="O1173" s="12"/>
      <c r="P1173" s="12" t="s">
        <v>130</v>
      </c>
    </row>
    <row r="1174" spans="1:16" ht="225" hidden="1" customHeight="1" x14ac:dyDescent="0.35">
      <c r="A1174" s="12">
        <v>5311</v>
      </c>
      <c r="B1174" s="12" t="s">
        <v>100</v>
      </c>
      <c r="C1174" s="12" t="s">
        <v>107</v>
      </c>
      <c r="D1174" s="12" t="s">
        <v>108</v>
      </c>
      <c r="E1174" s="12" t="s">
        <v>134</v>
      </c>
      <c r="F1174" s="12" t="s">
        <v>39</v>
      </c>
      <c r="G1174" s="12" t="s">
        <v>59</v>
      </c>
      <c r="H1174" s="12">
        <v>33</v>
      </c>
      <c r="I1174" s="13">
        <v>45912.5325115741</v>
      </c>
      <c r="J1174" s="12" t="s">
        <v>127</v>
      </c>
      <c r="K1174" s="12" t="s">
        <v>142</v>
      </c>
      <c r="L1174" s="14">
        <v>0.33300000000000002</v>
      </c>
      <c r="M1174" s="14">
        <f t="shared" si="18"/>
        <v>0.33300000000000002</v>
      </c>
      <c r="N1174" s="7" t="s">
        <v>1281</v>
      </c>
      <c r="O1174" s="12"/>
      <c r="P1174" s="12" t="s">
        <v>130</v>
      </c>
    </row>
    <row r="1175" spans="1:16" ht="191.25" hidden="1" customHeight="1" x14ac:dyDescent="0.35">
      <c r="A1175" s="12">
        <v>5465</v>
      </c>
      <c r="B1175" s="12" t="s">
        <v>100</v>
      </c>
      <c r="C1175" s="12" t="s">
        <v>109</v>
      </c>
      <c r="D1175" s="12" t="s">
        <v>110</v>
      </c>
      <c r="E1175" s="12" t="s">
        <v>126</v>
      </c>
      <c r="F1175" s="12" t="s">
        <v>39</v>
      </c>
      <c r="G1175" s="12" t="s">
        <v>59</v>
      </c>
      <c r="H1175" s="12">
        <v>33</v>
      </c>
      <c r="I1175" s="13">
        <v>45912.5325115741</v>
      </c>
      <c r="J1175" s="12" t="s">
        <v>127</v>
      </c>
      <c r="K1175" s="12" t="s">
        <v>132</v>
      </c>
      <c r="L1175" s="14">
        <v>0.66600000000000004</v>
      </c>
      <c r="M1175" s="14">
        <f t="shared" si="18"/>
        <v>0.66600000000000004</v>
      </c>
      <c r="N1175" s="7" t="s">
        <v>1282</v>
      </c>
      <c r="O1175" s="12"/>
      <c r="P1175" s="12" t="s">
        <v>130</v>
      </c>
    </row>
    <row r="1176" spans="1:16" ht="236.25" hidden="1" customHeight="1" x14ac:dyDescent="0.35">
      <c r="A1176" s="12">
        <v>6022</v>
      </c>
      <c r="B1176" s="12" t="s">
        <v>100</v>
      </c>
      <c r="C1176" s="12" t="s">
        <v>109</v>
      </c>
      <c r="D1176" s="12" t="s">
        <v>110</v>
      </c>
      <c r="E1176" s="12" t="s">
        <v>126</v>
      </c>
      <c r="F1176" s="12" t="s">
        <v>66</v>
      </c>
      <c r="G1176" s="12" t="s">
        <v>59</v>
      </c>
      <c r="H1176" s="12">
        <v>3304557</v>
      </c>
      <c r="I1176" s="13">
        <v>45910.8656597222</v>
      </c>
      <c r="J1176" s="12" t="s">
        <v>127</v>
      </c>
      <c r="K1176" s="12" t="s">
        <v>132</v>
      </c>
      <c r="L1176" s="14">
        <v>0.66600000000000004</v>
      </c>
      <c r="M1176" s="14">
        <f t="shared" si="18"/>
        <v>0.66600000000000004</v>
      </c>
      <c r="N1176" s="7" t="s">
        <v>1283</v>
      </c>
      <c r="O1176" s="12"/>
      <c r="P1176" s="12" t="s">
        <v>130</v>
      </c>
    </row>
    <row r="1177" spans="1:16" ht="247.5" hidden="1" customHeight="1" x14ac:dyDescent="0.35">
      <c r="A1177" s="12">
        <v>5455</v>
      </c>
      <c r="B1177" s="12" t="s">
        <v>100</v>
      </c>
      <c r="C1177" s="12" t="s">
        <v>109</v>
      </c>
      <c r="D1177" s="12" t="s">
        <v>110</v>
      </c>
      <c r="E1177" s="12" t="s">
        <v>131</v>
      </c>
      <c r="F1177" s="12" t="s">
        <v>39</v>
      </c>
      <c r="G1177" s="12" t="s">
        <v>59</v>
      </c>
      <c r="H1177" s="12">
        <v>33</v>
      </c>
      <c r="I1177" s="13">
        <v>45912.5325115741</v>
      </c>
      <c r="J1177" s="12" t="s">
        <v>127</v>
      </c>
      <c r="K1177" s="12" t="s">
        <v>128</v>
      </c>
      <c r="L1177" s="14">
        <v>1</v>
      </c>
      <c r="M1177" s="14">
        <f t="shared" si="18"/>
        <v>1</v>
      </c>
      <c r="N1177" s="7" t="s">
        <v>1284</v>
      </c>
      <c r="O1177" s="12"/>
      <c r="P1177" s="12" t="s">
        <v>130</v>
      </c>
    </row>
    <row r="1178" spans="1:16" ht="281.25" hidden="1" customHeight="1" x14ac:dyDescent="0.35">
      <c r="A1178" s="12">
        <v>6024</v>
      </c>
      <c r="B1178" s="12" t="s">
        <v>100</v>
      </c>
      <c r="C1178" s="12" t="s">
        <v>109</v>
      </c>
      <c r="D1178" s="12" t="s">
        <v>110</v>
      </c>
      <c r="E1178" s="12" t="s">
        <v>131</v>
      </c>
      <c r="F1178" s="12" t="s">
        <v>66</v>
      </c>
      <c r="G1178" s="12" t="s">
        <v>59</v>
      </c>
      <c r="H1178" s="12">
        <v>3304557</v>
      </c>
      <c r="I1178" s="13">
        <v>45910.8656597222</v>
      </c>
      <c r="J1178" s="12" t="s">
        <v>127</v>
      </c>
      <c r="K1178" s="12" t="s">
        <v>132</v>
      </c>
      <c r="L1178" s="14">
        <v>0.66600000000000004</v>
      </c>
      <c r="M1178" s="14">
        <f t="shared" si="18"/>
        <v>0.66600000000000004</v>
      </c>
      <c r="N1178" s="7" t="s">
        <v>1285</v>
      </c>
      <c r="O1178" s="12"/>
      <c r="P1178" s="12" t="s">
        <v>130</v>
      </c>
    </row>
    <row r="1179" spans="1:16" ht="247.5" hidden="1" customHeight="1" x14ac:dyDescent="0.35">
      <c r="A1179" s="12">
        <v>5483</v>
      </c>
      <c r="B1179" s="12" t="s">
        <v>100</v>
      </c>
      <c r="C1179" s="12" t="s">
        <v>111</v>
      </c>
      <c r="D1179" s="12" t="s">
        <v>112</v>
      </c>
      <c r="E1179" s="12" t="s">
        <v>126</v>
      </c>
      <c r="F1179" s="12" t="s">
        <v>39</v>
      </c>
      <c r="G1179" s="12" t="s">
        <v>59</v>
      </c>
      <c r="H1179" s="12">
        <v>33</v>
      </c>
      <c r="I1179" s="13">
        <v>45912.5325115741</v>
      </c>
      <c r="J1179" s="12" t="s">
        <v>127</v>
      </c>
      <c r="K1179" s="12" t="s">
        <v>142</v>
      </c>
      <c r="L1179" s="14">
        <v>0.33300000000000002</v>
      </c>
      <c r="M1179" s="14">
        <f t="shared" si="18"/>
        <v>0.33300000000000002</v>
      </c>
      <c r="N1179" s="7" t="s">
        <v>1286</v>
      </c>
      <c r="O1179" s="12"/>
      <c r="P1179" s="12" t="s">
        <v>130</v>
      </c>
    </row>
    <row r="1180" spans="1:16" ht="213.75" hidden="1" customHeight="1" x14ac:dyDescent="0.35">
      <c r="A1180" s="12">
        <v>6306</v>
      </c>
      <c r="B1180" s="12" t="s">
        <v>100</v>
      </c>
      <c r="C1180" s="12" t="s">
        <v>111</v>
      </c>
      <c r="D1180" s="12" t="s">
        <v>112</v>
      </c>
      <c r="E1180" s="12" t="s">
        <v>126</v>
      </c>
      <c r="F1180" s="12" t="s">
        <v>66</v>
      </c>
      <c r="G1180" s="12" t="s">
        <v>59</v>
      </c>
      <c r="H1180" s="12">
        <v>3304557</v>
      </c>
      <c r="I1180" s="13">
        <v>45910.8656597222</v>
      </c>
      <c r="J1180" s="12" t="s">
        <v>127</v>
      </c>
      <c r="K1180" s="12" t="s">
        <v>128</v>
      </c>
      <c r="L1180" s="14">
        <v>1</v>
      </c>
      <c r="M1180" s="14">
        <f t="shared" si="18"/>
        <v>1</v>
      </c>
      <c r="N1180" s="7" t="s">
        <v>1287</v>
      </c>
      <c r="O1180" s="12"/>
      <c r="P1180" s="12" t="s">
        <v>130</v>
      </c>
    </row>
    <row r="1181" spans="1:16" ht="225" hidden="1" customHeight="1" x14ac:dyDescent="0.35">
      <c r="A1181" s="12">
        <v>6307</v>
      </c>
      <c r="B1181" s="12" t="s">
        <v>100</v>
      </c>
      <c r="C1181" s="12" t="s">
        <v>111</v>
      </c>
      <c r="D1181" s="12" t="s">
        <v>112</v>
      </c>
      <c r="E1181" s="12" t="s">
        <v>131</v>
      </c>
      <c r="F1181" s="12" t="s">
        <v>66</v>
      </c>
      <c r="G1181" s="12" t="s">
        <v>59</v>
      </c>
      <c r="H1181" s="12">
        <v>3304557</v>
      </c>
      <c r="I1181" s="13">
        <v>45910.8656597222</v>
      </c>
      <c r="J1181" s="12" t="s">
        <v>127</v>
      </c>
      <c r="K1181" s="12" t="s">
        <v>142</v>
      </c>
      <c r="L1181" s="14">
        <v>0.33300000000000002</v>
      </c>
      <c r="M1181" s="14">
        <f t="shared" si="18"/>
        <v>0.33300000000000002</v>
      </c>
      <c r="N1181" s="7" t="s">
        <v>1288</v>
      </c>
      <c r="O1181" s="12"/>
      <c r="P1181" s="12" t="s">
        <v>130</v>
      </c>
    </row>
    <row r="1182" spans="1:16" ht="113.25" hidden="1" customHeight="1" x14ac:dyDescent="0.35">
      <c r="A1182" s="12">
        <v>5482</v>
      </c>
      <c r="B1182" s="12" t="s">
        <v>100</v>
      </c>
      <c r="C1182" s="12" t="s">
        <v>111</v>
      </c>
      <c r="D1182" s="12" t="s">
        <v>112</v>
      </c>
      <c r="E1182" s="12" t="s">
        <v>131</v>
      </c>
      <c r="F1182" s="12" t="s">
        <v>39</v>
      </c>
      <c r="G1182" s="12" t="s">
        <v>59</v>
      </c>
      <c r="H1182" s="12">
        <v>33</v>
      </c>
      <c r="I1182" s="13">
        <v>45912.5325115741</v>
      </c>
      <c r="J1182" s="12" t="s">
        <v>127</v>
      </c>
      <c r="K1182" s="12" t="s">
        <v>142</v>
      </c>
      <c r="L1182" s="14">
        <v>0.33300000000000002</v>
      </c>
      <c r="M1182" s="14">
        <f t="shared" si="18"/>
        <v>0.33300000000000002</v>
      </c>
      <c r="N1182" s="7" t="s">
        <v>1289</v>
      </c>
      <c r="O1182" s="12"/>
      <c r="P1182" s="12" t="s">
        <v>130</v>
      </c>
    </row>
    <row r="1183" spans="1:16" ht="168.75" hidden="1" customHeight="1" x14ac:dyDescent="0.35">
      <c r="A1183" s="12">
        <v>6308</v>
      </c>
      <c r="B1183" s="12" t="s">
        <v>100</v>
      </c>
      <c r="C1183" s="12" t="s">
        <v>111</v>
      </c>
      <c r="D1183" s="12" t="s">
        <v>112</v>
      </c>
      <c r="E1183" s="12" t="s">
        <v>134</v>
      </c>
      <c r="F1183" s="12" t="s">
        <v>66</v>
      </c>
      <c r="G1183" s="12" t="s">
        <v>59</v>
      </c>
      <c r="H1183" s="12">
        <v>3304557</v>
      </c>
      <c r="I1183" s="13">
        <v>45910.8656597222</v>
      </c>
      <c r="J1183" s="12" t="s">
        <v>127</v>
      </c>
      <c r="K1183" s="12" t="s">
        <v>132</v>
      </c>
      <c r="L1183" s="14">
        <v>0.66600000000000004</v>
      </c>
      <c r="M1183" s="14">
        <f t="shared" si="18"/>
        <v>0.66600000000000004</v>
      </c>
      <c r="N1183" s="7" t="s">
        <v>1290</v>
      </c>
      <c r="O1183" s="12"/>
      <c r="P1183" s="12" t="s">
        <v>130</v>
      </c>
    </row>
    <row r="1184" spans="1:16" ht="102" hidden="1" customHeight="1" x14ac:dyDescent="0.35">
      <c r="A1184" s="12">
        <v>5765</v>
      </c>
      <c r="B1184" s="12" t="s">
        <v>100</v>
      </c>
      <c r="C1184" s="12" t="s">
        <v>111</v>
      </c>
      <c r="D1184" s="12" t="s">
        <v>112</v>
      </c>
      <c r="E1184" s="12" t="s">
        <v>134</v>
      </c>
      <c r="F1184" s="12" t="s">
        <v>39</v>
      </c>
      <c r="G1184" s="12" t="s">
        <v>59</v>
      </c>
      <c r="H1184" s="12">
        <v>33</v>
      </c>
      <c r="I1184" s="13">
        <v>45912.5325115741</v>
      </c>
      <c r="J1184" s="12" t="s">
        <v>127</v>
      </c>
      <c r="K1184" s="12" t="s">
        <v>135</v>
      </c>
      <c r="L1184" s="14"/>
      <c r="M1184" s="14">
        <f t="shared" si="18"/>
        <v>0</v>
      </c>
      <c r="N1184" s="7" t="s">
        <v>1291</v>
      </c>
      <c r="O1184" s="12"/>
      <c r="P1184" s="12" t="s">
        <v>130</v>
      </c>
    </row>
    <row r="1185" spans="1:16" ht="180" hidden="1" customHeight="1" x14ac:dyDescent="0.35">
      <c r="A1185" s="12">
        <v>7057</v>
      </c>
      <c r="B1185" s="12" t="s">
        <v>100</v>
      </c>
      <c r="C1185" s="12" t="s">
        <v>113</v>
      </c>
      <c r="D1185" s="12" t="s">
        <v>114</v>
      </c>
      <c r="E1185" s="12" t="s">
        <v>126</v>
      </c>
      <c r="F1185" s="12" t="s">
        <v>66</v>
      </c>
      <c r="G1185" s="12" t="s">
        <v>59</v>
      </c>
      <c r="H1185" s="12">
        <v>3304557</v>
      </c>
      <c r="I1185" s="13">
        <v>45910.8656597222</v>
      </c>
      <c r="J1185" s="12" t="s">
        <v>127</v>
      </c>
      <c r="K1185" s="12" t="s">
        <v>132</v>
      </c>
      <c r="L1185" s="14">
        <v>0.66600000000000004</v>
      </c>
      <c r="M1185" s="14">
        <f t="shared" si="18"/>
        <v>0.66600000000000004</v>
      </c>
      <c r="N1185" s="7" t="s">
        <v>1292</v>
      </c>
      <c r="O1185" s="12"/>
      <c r="P1185" s="12" t="s">
        <v>130</v>
      </c>
    </row>
    <row r="1186" spans="1:16" ht="247.5" hidden="1" customHeight="1" x14ac:dyDescent="0.35">
      <c r="A1186" s="12">
        <v>6324</v>
      </c>
      <c r="B1186" s="12" t="s">
        <v>100</v>
      </c>
      <c r="C1186" s="12" t="s">
        <v>113</v>
      </c>
      <c r="D1186" s="12" t="s">
        <v>114</v>
      </c>
      <c r="E1186" s="12" t="s">
        <v>126</v>
      </c>
      <c r="F1186" s="12" t="s">
        <v>39</v>
      </c>
      <c r="G1186" s="12" t="s">
        <v>59</v>
      </c>
      <c r="H1186" s="12">
        <v>33</v>
      </c>
      <c r="I1186" s="13">
        <v>45912.5325115741</v>
      </c>
      <c r="J1186" s="12" t="s">
        <v>127</v>
      </c>
      <c r="K1186" s="12" t="s">
        <v>128</v>
      </c>
      <c r="L1186" s="14">
        <v>1</v>
      </c>
      <c r="M1186" s="14">
        <f t="shared" si="18"/>
        <v>1</v>
      </c>
      <c r="N1186" s="7" t="s">
        <v>1293</v>
      </c>
      <c r="O1186" s="12"/>
      <c r="P1186" s="12" t="s">
        <v>130</v>
      </c>
    </row>
    <row r="1187" spans="1:16" ht="236.25" hidden="1" customHeight="1" x14ac:dyDescent="0.35">
      <c r="A1187" s="12">
        <v>5360</v>
      </c>
      <c r="B1187" s="12" t="s">
        <v>100</v>
      </c>
      <c r="C1187" s="12" t="s">
        <v>113</v>
      </c>
      <c r="D1187" s="12" t="s">
        <v>114</v>
      </c>
      <c r="E1187" s="12" t="s">
        <v>131</v>
      </c>
      <c r="F1187" s="12" t="s">
        <v>39</v>
      </c>
      <c r="G1187" s="12" t="s">
        <v>59</v>
      </c>
      <c r="H1187" s="12">
        <v>33</v>
      </c>
      <c r="I1187" s="13">
        <v>45912.5325115741</v>
      </c>
      <c r="J1187" s="12" t="s">
        <v>127</v>
      </c>
      <c r="K1187" s="12" t="s">
        <v>132</v>
      </c>
      <c r="L1187" s="14">
        <v>0.66600000000000004</v>
      </c>
      <c r="M1187" s="14">
        <f t="shared" si="18"/>
        <v>0.66600000000000004</v>
      </c>
      <c r="N1187" s="7" t="s">
        <v>1294</v>
      </c>
      <c r="O1187" s="12"/>
      <c r="P1187" s="12" t="s">
        <v>130</v>
      </c>
    </row>
    <row r="1188" spans="1:16" ht="258.75" hidden="1" customHeight="1" x14ac:dyDescent="0.35">
      <c r="A1188" s="12">
        <v>7058</v>
      </c>
      <c r="B1188" s="12" t="s">
        <v>100</v>
      </c>
      <c r="C1188" s="12" t="s">
        <v>113</v>
      </c>
      <c r="D1188" s="12" t="s">
        <v>114</v>
      </c>
      <c r="E1188" s="12" t="s">
        <v>131</v>
      </c>
      <c r="F1188" s="12" t="s">
        <v>66</v>
      </c>
      <c r="G1188" s="12" t="s">
        <v>59</v>
      </c>
      <c r="H1188" s="12">
        <v>3304557</v>
      </c>
      <c r="I1188" s="13">
        <v>45910.8656597222</v>
      </c>
      <c r="J1188" s="12" t="s">
        <v>127</v>
      </c>
      <c r="K1188" s="12" t="s">
        <v>132</v>
      </c>
      <c r="L1188" s="14">
        <v>0.66600000000000004</v>
      </c>
      <c r="M1188" s="14">
        <f t="shared" si="18"/>
        <v>0.66600000000000004</v>
      </c>
      <c r="N1188" s="7" t="s">
        <v>1295</v>
      </c>
      <c r="O1188" s="12"/>
      <c r="P1188" s="12" t="s">
        <v>130</v>
      </c>
    </row>
    <row r="1189" spans="1:16" ht="247.5" hidden="1" customHeight="1" x14ac:dyDescent="0.35">
      <c r="A1189" s="12">
        <v>5356</v>
      </c>
      <c r="B1189" s="12" t="s">
        <v>100</v>
      </c>
      <c r="C1189" s="12" t="s">
        <v>113</v>
      </c>
      <c r="D1189" s="12" t="s">
        <v>114</v>
      </c>
      <c r="E1189" s="12" t="s">
        <v>134</v>
      </c>
      <c r="F1189" s="12" t="s">
        <v>39</v>
      </c>
      <c r="G1189" s="12" t="s">
        <v>59</v>
      </c>
      <c r="H1189" s="12">
        <v>33</v>
      </c>
      <c r="I1189" s="13">
        <v>45912.5325115741</v>
      </c>
      <c r="J1189" s="12" t="s">
        <v>127</v>
      </c>
      <c r="K1189" s="12" t="s">
        <v>128</v>
      </c>
      <c r="L1189" s="14">
        <v>1</v>
      </c>
      <c r="M1189" s="14">
        <f t="shared" si="18"/>
        <v>1</v>
      </c>
      <c r="N1189" s="7" t="s">
        <v>1296</v>
      </c>
      <c r="O1189" s="12"/>
      <c r="P1189" s="12" t="s">
        <v>130</v>
      </c>
    </row>
    <row r="1190" spans="1:16" ht="15" hidden="1" customHeight="1" x14ac:dyDescent="0.35">
      <c r="A1190" s="12">
        <v>5381</v>
      </c>
      <c r="B1190" s="12" t="s">
        <v>100</v>
      </c>
      <c r="C1190" s="12" t="s">
        <v>113</v>
      </c>
      <c r="D1190" s="12" t="s">
        <v>114</v>
      </c>
      <c r="E1190" s="12" t="s">
        <v>134</v>
      </c>
      <c r="F1190" s="12" t="s">
        <v>66</v>
      </c>
      <c r="G1190" s="12" t="s">
        <v>59</v>
      </c>
      <c r="H1190" s="12">
        <v>3304557</v>
      </c>
      <c r="I1190" s="13">
        <v>45910.8656597222</v>
      </c>
      <c r="J1190" s="12" t="s">
        <v>127</v>
      </c>
      <c r="K1190" s="12" t="s">
        <v>688</v>
      </c>
      <c r="L1190" s="14"/>
      <c r="M1190" s="14" t="str">
        <f t="shared" si="18"/>
        <v/>
      </c>
      <c r="N1190" s="7" t="s">
        <v>1297</v>
      </c>
      <c r="O1190" s="12"/>
      <c r="P1190" s="12" t="s">
        <v>130</v>
      </c>
    </row>
    <row r="1191" spans="1:16" ht="258.75" hidden="1" customHeight="1" x14ac:dyDescent="0.35">
      <c r="A1191" s="12">
        <v>3263</v>
      </c>
      <c r="B1191" s="12" t="s">
        <v>100</v>
      </c>
      <c r="C1191" s="12" t="s">
        <v>101</v>
      </c>
      <c r="D1191" s="12" t="s">
        <v>102</v>
      </c>
      <c r="E1191" s="12" t="s">
        <v>126</v>
      </c>
      <c r="F1191" s="12" t="s">
        <v>39</v>
      </c>
      <c r="G1191" s="12" t="s">
        <v>60</v>
      </c>
      <c r="H1191" s="12">
        <v>11</v>
      </c>
      <c r="I1191" s="13">
        <v>45931.068078703698</v>
      </c>
      <c r="J1191" s="12" t="s">
        <v>127</v>
      </c>
      <c r="K1191" s="12" t="s">
        <v>132</v>
      </c>
      <c r="L1191" s="14">
        <v>0.66600000000000004</v>
      </c>
      <c r="M1191" s="14">
        <f t="shared" si="18"/>
        <v>0.66600000000000004</v>
      </c>
      <c r="N1191" s="7" t="s">
        <v>1298</v>
      </c>
      <c r="O1191" s="12"/>
      <c r="P1191" s="12" t="s">
        <v>130</v>
      </c>
    </row>
    <row r="1192" spans="1:16" ht="102" hidden="1" customHeight="1" x14ac:dyDescent="0.35">
      <c r="A1192" s="12">
        <v>3264</v>
      </c>
      <c r="B1192" s="12" t="s">
        <v>100</v>
      </c>
      <c r="C1192" s="12" t="s">
        <v>101</v>
      </c>
      <c r="D1192" s="12" t="s">
        <v>102</v>
      </c>
      <c r="E1192" s="12" t="s">
        <v>131</v>
      </c>
      <c r="F1192" s="12" t="s">
        <v>39</v>
      </c>
      <c r="G1192" s="12" t="s">
        <v>60</v>
      </c>
      <c r="H1192" s="12">
        <v>11</v>
      </c>
      <c r="I1192" s="13">
        <v>45931.068078703698</v>
      </c>
      <c r="J1192" s="12" t="s">
        <v>127</v>
      </c>
      <c r="K1192" s="12" t="s">
        <v>142</v>
      </c>
      <c r="L1192" s="14">
        <v>0.33300000000000002</v>
      </c>
      <c r="M1192" s="14">
        <f t="shared" si="18"/>
        <v>0.33300000000000002</v>
      </c>
      <c r="N1192" s="7" t="s">
        <v>1299</v>
      </c>
      <c r="O1192" s="12"/>
      <c r="P1192" s="12" t="s">
        <v>130</v>
      </c>
    </row>
    <row r="1193" spans="1:16" ht="79.5" hidden="1" customHeight="1" x14ac:dyDescent="0.35">
      <c r="A1193" s="12">
        <v>3265</v>
      </c>
      <c r="B1193" s="12" t="s">
        <v>100</v>
      </c>
      <c r="C1193" s="12" t="s">
        <v>101</v>
      </c>
      <c r="D1193" s="12" t="s">
        <v>102</v>
      </c>
      <c r="E1193" s="12" t="s">
        <v>134</v>
      </c>
      <c r="F1193" s="12" t="s">
        <v>39</v>
      </c>
      <c r="G1193" s="12" t="s">
        <v>60</v>
      </c>
      <c r="H1193" s="12">
        <v>11</v>
      </c>
      <c r="I1193" s="13">
        <v>45931.068078703698</v>
      </c>
      <c r="J1193" s="12" t="s">
        <v>127</v>
      </c>
      <c r="K1193" s="12" t="s">
        <v>142</v>
      </c>
      <c r="L1193" s="14">
        <v>0.33300000000000002</v>
      </c>
      <c r="M1193" s="14">
        <f t="shared" si="18"/>
        <v>0.33300000000000002</v>
      </c>
      <c r="N1193" s="7" t="s">
        <v>1300</v>
      </c>
      <c r="O1193" s="12"/>
      <c r="P1193" s="12" t="s">
        <v>130</v>
      </c>
    </row>
    <row r="1194" spans="1:16" ht="180" hidden="1" customHeight="1" x14ac:dyDescent="0.35">
      <c r="A1194" s="12">
        <v>3282</v>
      </c>
      <c r="B1194" s="12" t="s">
        <v>100</v>
      </c>
      <c r="C1194" s="12" t="s">
        <v>103</v>
      </c>
      <c r="D1194" s="12" t="s">
        <v>104</v>
      </c>
      <c r="E1194" s="12" t="s">
        <v>126</v>
      </c>
      <c r="F1194" s="12" t="s">
        <v>39</v>
      </c>
      <c r="G1194" s="12" t="s">
        <v>60</v>
      </c>
      <c r="H1194" s="12">
        <v>11</v>
      </c>
      <c r="I1194" s="13">
        <v>45931.068078703698</v>
      </c>
      <c r="J1194" s="12" t="s">
        <v>127</v>
      </c>
      <c r="K1194" s="12" t="s">
        <v>142</v>
      </c>
      <c r="L1194" s="14">
        <v>0.33300000000000002</v>
      </c>
      <c r="M1194" s="14">
        <f t="shared" si="18"/>
        <v>0.33300000000000002</v>
      </c>
      <c r="N1194" s="7" t="s">
        <v>1301</v>
      </c>
      <c r="O1194" s="12"/>
      <c r="P1194" s="12" t="s">
        <v>130</v>
      </c>
    </row>
    <row r="1195" spans="1:16" ht="157.5" hidden="1" customHeight="1" x14ac:dyDescent="0.35">
      <c r="A1195" s="12">
        <v>6433</v>
      </c>
      <c r="B1195" s="12" t="s">
        <v>100</v>
      </c>
      <c r="C1195" s="12" t="s">
        <v>103</v>
      </c>
      <c r="D1195" s="12" t="s">
        <v>104</v>
      </c>
      <c r="E1195" s="12" t="s">
        <v>131</v>
      </c>
      <c r="F1195" s="12" t="s">
        <v>39</v>
      </c>
      <c r="G1195" s="12" t="s">
        <v>60</v>
      </c>
      <c r="H1195" s="12">
        <v>11</v>
      </c>
      <c r="I1195" s="13">
        <v>45931.068078703698</v>
      </c>
      <c r="J1195" s="12" t="s">
        <v>127</v>
      </c>
      <c r="K1195" s="12" t="s">
        <v>142</v>
      </c>
      <c r="L1195" s="14">
        <v>0.33300000000000002</v>
      </c>
      <c r="M1195" s="14">
        <f t="shared" si="18"/>
        <v>0.33300000000000002</v>
      </c>
      <c r="N1195" s="7" t="s">
        <v>1302</v>
      </c>
      <c r="O1195" s="12"/>
      <c r="P1195" s="12" t="s">
        <v>130</v>
      </c>
    </row>
    <row r="1196" spans="1:16" ht="191.25" hidden="1" customHeight="1" x14ac:dyDescent="0.35">
      <c r="A1196" s="12">
        <v>6411</v>
      </c>
      <c r="B1196" s="12" t="s">
        <v>100</v>
      </c>
      <c r="C1196" s="12" t="s">
        <v>103</v>
      </c>
      <c r="D1196" s="12" t="s">
        <v>104</v>
      </c>
      <c r="E1196" s="12" t="s">
        <v>134</v>
      </c>
      <c r="F1196" s="12" t="s">
        <v>39</v>
      </c>
      <c r="G1196" s="12" t="s">
        <v>60</v>
      </c>
      <c r="H1196" s="12">
        <v>11</v>
      </c>
      <c r="I1196" s="13">
        <v>45931.068078703698</v>
      </c>
      <c r="J1196" s="12" t="s">
        <v>127</v>
      </c>
      <c r="K1196" s="12" t="s">
        <v>142</v>
      </c>
      <c r="L1196" s="14">
        <v>0.33300000000000002</v>
      </c>
      <c r="M1196" s="14">
        <f t="shared" si="18"/>
        <v>0.33300000000000002</v>
      </c>
      <c r="N1196" s="7" t="s">
        <v>1303</v>
      </c>
      <c r="O1196" s="12"/>
      <c r="P1196" s="12"/>
    </row>
    <row r="1197" spans="1:16" ht="135.75" hidden="1" customHeight="1" x14ac:dyDescent="0.35">
      <c r="A1197" s="12">
        <v>6440</v>
      </c>
      <c r="B1197" s="12" t="s">
        <v>100</v>
      </c>
      <c r="C1197" s="12" t="s">
        <v>105</v>
      </c>
      <c r="D1197" s="12" t="s">
        <v>106</v>
      </c>
      <c r="E1197" s="12" t="s">
        <v>126</v>
      </c>
      <c r="F1197" s="12" t="s">
        <v>39</v>
      </c>
      <c r="G1197" s="12" t="s">
        <v>60</v>
      </c>
      <c r="H1197" s="12">
        <v>11</v>
      </c>
      <c r="I1197" s="13">
        <v>45931.068078703698</v>
      </c>
      <c r="J1197" s="12" t="s">
        <v>127</v>
      </c>
      <c r="K1197" s="12" t="s">
        <v>142</v>
      </c>
      <c r="L1197" s="14">
        <v>0.33300000000000002</v>
      </c>
      <c r="M1197" s="14">
        <f t="shared" si="18"/>
        <v>0.33300000000000002</v>
      </c>
      <c r="N1197" s="7" t="s">
        <v>1304</v>
      </c>
      <c r="O1197" s="12"/>
      <c r="P1197" s="12" t="s">
        <v>130</v>
      </c>
    </row>
    <row r="1198" spans="1:16" ht="147" hidden="1" customHeight="1" x14ac:dyDescent="0.35">
      <c r="A1198" s="12">
        <v>6461</v>
      </c>
      <c r="B1198" s="12" t="s">
        <v>100</v>
      </c>
      <c r="C1198" s="12" t="s">
        <v>105</v>
      </c>
      <c r="D1198" s="12" t="s">
        <v>106</v>
      </c>
      <c r="E1198" s="12" t="s">
        <v>131</v>
      </c>
      <c r="F1198" s="12" t="s">
        <v>39</v>
      </c>
      <c r="G1198" s="12" t="s">
        <v>60</v>
      </c>
      <c r="H1198" s="12">
        <v>11</v>
      </c>
      <c r="I1198" s="13">
        <v>45931.068078703698</v>
      </c>
      <c r="J1198" s="12" t="s">
        <v>127</v>
      </c>
      <c r="K1198" s="12" t="s">
        <v>142</v>
      </c>
      <c r="L1198" s="14">
        <v>0.33300000000000002</v>
      </c>
      <c r="M1198" s="14">
        <f t="shared" si="18"/>
        <v>0.33300000000000002</v>
      </c>
      <c r="N1198" s="7" t="s">
        <v>1305</v>
      </c>
      <c r="O1198" s="12"/>
      <c r="P1198" s="12" t="s">
        <v>130</v>
      </c>
    </row>
    <row r="1199" spans="1:16" ht="191.25" hidden="1" customHeight="1" x14ac:dyDescent="0.35">
      <c r="A1199" s="12">
        <v>6462</v>
      </c>
      <c r="B1199" s="12" t="s">
        <v>100</v>
      </c>
      <c r="C1199" s="12" t="s">
        <v>107</v>
      </c>
      <c r="D1199" s="12" t="s">
        <v>108</v>
      </c>
      <c r="E1199" s="12" t="s">
        <v>126</v>
      </c>
      <c r="F1199" s="12" t="s">
        <v>39</v>
      </c>
      <c r="G1199" s="12" t="s">
        <v>60</v>
      </c>
      <c r="H1199" s="12">
        <v>11</v>
      </c>
      <c r="I1199" s="13">
        <v>45931.068078703698</v>
      </c>
      <c r="J1199" s="12" t="s">
        <v>127</v>
      </c>
      <c r="K1199" s="12" t="s">
        <v>142</v>
      </c>
      <c r="L1199" s="14">
        <v>0.33300000000000002</v>
      </c>
      <c r="M1199" s="14">
        <f t="shared" si="18"/>
        <v>0.33300000000000002</v>
      </c>
      <c r="N1199" s="7" t="s">
        <v>1306</v>
      </c>
      <c r="O1199" s="12"/>
      <c r="P1199" s="12" t="s">
        <v>130</v>
      </c>
    </row>
    <row r="1200" spans="1:16" ht="90.75" hidden="1" customHeight="1" x14ac:dyDescent="0.35">
      <c r="A1200" s="12">
        <v>6445</v>
      </c>
      <c r="B1200" s="12" t="s">
        <v>100</v>
      </c>
      <c r="C1200" s="12" t="s">
        <v>107</v>
      </c>
      <c r="D1200" s="12" t="s">
        <v>108</v>
      </c>
      <c r="E1200" s="12" t="s">
        <v>131</v>
      </c>
      <c r="F1200" s="12" t="s">
        <v>39</v>
      </c>
      <c r="G1200" s="12" t="s">
        <v>60</v>
      </c>
      <c r="H1200" s="12">
        <v>11</v>
      </c>
      <c r="I1200" s="13">
        <v>45931.068078703698</v>
      </c>
      <c r="J1200" s="12" t="s">
        <v>127</v>
      </c>
      <c r="K1200" s="12" t="s">
        <v>132</v>
      </c>
      <c r="L1200" s="14">
        <v>0.66600000000000004</v>
      </c>
      <c r="M1200" s="14">
        <f t="shared" si="18"/>
        <v>0.66600000000000004</v>
      </c>
      <c r="N1200" s="7" t="s">
        <v>1307</v>
      </c>
      <c r="O1200" s="12"/>
      <c r="P1200" s="12" t="s">
        <v>130</v>
      </c>
    </row>
    <row r="1201" spans="1:16" ht="135.75" hidden="1" customHeight="1" x14ac:dyDescent="0.35">
      <c r="A1201" s="12">
        <v>6463</v>
      </c>
      <c r="B1201" s="12" t="s">
        <v>100</v>
      </c>
      <c r="C1201" s="12" t="s">
        <v>107</v>
      </c>
      <c r="D1201" s="12" t="s">
        <v>108</v>
      </c>
      <c r="E1201" s="12" t="s">
        <v>134</v>
      </c>
      <c r="F1201" s="12" t="s">
        <v>39</v>
      </c>
      <c r="G1201" s="12" t="s">
        <v>60</v>
      </c>
      <c r="H1201" s="12">
        <v>11</v>
      </c>
      <c r="I1201" s="13">
        <v>45931.068078703698</v>
      </c>
      <c r="J1201" s="12" t="s">
        <v>127</v>
      </c>
      <c r="K1201" s="12" t="s">
        <v>142</v>
      </c>
      <c r="L1201" s="14">
        <v>0.33300000000000002</v>
      </c>
      <c r="M1201" s="14">
        <f t="shared" si="18"/>
        <v>0.33300000000000002</v>
      </c>
      <c r="N1201" s="7" t="s">
        <v>1308</v>
      </c>
      <c r="O1201" s="12"/>
      <c r="P1201" s="12" t="s">
        <v>130</v>
      </c>
    </row>
    <row r="1202" spans="1:16" ht="102" hidden="1" customHeight="1" x14ac:dyDescent="0.35">
      <c r="A1202" s="12">
        <v>6511</v>
      </c>
      <c r="B1202" s="12" t="s">
        <v>100</v>
      </c>
      <c r="C1202" s="12" t="s">
        <v>109</v>
      </c>
      <c r="D1202" s="12" t="s">
        <v>110</v>
      </c>
      <c r="E1202" s="12" t="s">
        <v>126</v>
      </c>
      <c r="F1202" s="12" t="s">
        <v>39</v>
      </c>
      <c r="G1202" s="12" t="s">
        <v>60</v>
      </c>
      <c r="H1202" s="12">
        <v>11</v>
      </c>
      <c r="I1202" s="13">
        <v>45931.068078703698</v>
      </c>
      <c r="J1202" s="12" t="s">
        <v>127</v>
      </c>
      <c r="K1202" s="12" t="s">
        <v>142</v>
      </c>
      <c r="L1202" s="14">
        <v>0.33300000000000002</v>
      </c>
      <c r="M1202" s="14">
        <f t="shared" si="18"/>
        <v>0.33300000000000002</v>
      </c>
      <c r="N1202" s="7" t="s">
        <v>1309</v>
      </c>
      <c r="O1202" s="12"/>
      <c r="P1202" s="12" t="s">
        <v>130</v>
      </c>
    </row>
    <row r="1203" spans="1:16" ht="168.75" hidden="1" customHeight="1" x14ac:dyDescent="0.35">
      <c r="A1203" s="12">
        <v>6512</v>
      </c>
      <c r="B1203" s="12" t="s">
        <v>100</v>
      </c>
      <c r="C1203" s="12" t="s">
        <v>109</v>
      </c>
      <c r="D1203" s="12" t="s">
        <v>110</v>
      </c>
      <c r="E1203" s="12" t="s">
        <v>131</v>
      </c>
      <c r="F1203" s="12" t="s">
        <v>39</v>
      </c>
      <c r="G1203" s="12" t="s">
        <v>60</v>
      </c>
      <c r="H1203" s="12">
        <v>11</v>
      </c>
      <c r="I1203" s="13">
        <v>45931.068078703698</v>
      </c>
      <c r="J1203" s="12" t="s">
        <v>127</v>
      </c>
      <c r="K1203" s="12" t="s">
        <v>132</v>
      </c>
      <c r="L1203" s="14">
        <v>0.66600000000000004</v>
      </c>
      <c r="M1203" s="14">
        <f t="shared" si="18"/>
        <v>0.66600000000000004</v>
      </c>
      <c r="N1203" s="7" t="s">
        <v>1310</v>
      </c>
      <c r="O1203" s="12"/>
      <c r="P1203" s="12" t="s">
        <v>130</v>
      </c>
    </row>
    <row r="1204" spans="1:16" ht="113.25" hidden="1" customHeight="1" x14ac:dyDescent="0.35">
      <c r="A1204" s="12">
        <v>6514</v>
      </c>
      <c r="B1204" s="12" t="s">
        <v>100</v>
      </c>
      <c r="C1204" s="12" t="s">
        <v>111</v>
      </c>
      <c r="D1204" s="12" t="s">
        <v>112</v>
      </c>
      <c r="E1204" s="12" t="s">
        <v>126</v>
      </c>
      <c r="F1204" s="12" t="s">
        <v>39</v>
      </c>
      <c r="G1204" s="12" t="s">
        <v>60</v>
      </c>
      <c r="H1204" s="12">
        <v>11</v>
      </c>
      <c r="I1204" s="13">
        <v>45931.068078703698</v>
      </c>
      <c r="J1204" s="12" t="s">
        <v>127</v>
      </c>
      <c r="K1204" s="12" t="s">
        <v>135</v>
      </c>
      <c r="L1204" s="14"/>
      <c r="M1204" s="14">
        <f t="shared" si="18"/>
        <v>0</v>
      </c>
      <c r="N1204" s="7" t="s">
        <v>1311</v>
      </c>
      <c r="O1204" s="12"/>
      <c r="P1204" s="12"/>
    </row>
    <row r="1205" spans="1:16" ht="102" hidden="1" customHeight="1" x14ac:dyDescent="0.35">
      <c r="A1205" s="12">
        <v>6515</v>
      </c>
      <c r="B1205" s="12" t="s">
        <v>100</v>
      </c>
      <c r="C1205" s="12" t="s">
        <v>111</v>
      </c>
      <c r="D1205" s="12" t="s">
        <v>112</v>
      </c>
      <c r="E1205" s="12" t="s">
        <v>131</v>
      </c>
      <c r="F1205" s="12" t="s">
        <v>39</v>
      </c>
      <c r="G1205" s="12" t="s">
        <v>60</v>
      </c>
      <c r="H1205" s="12">
        <v>11</v>
      </c>
      <c r="I1205" s="13">
        <v>45931.068078703698</v>
      </c>
      <c r="J1205" s="12" t="s">
        <v>127</v>
      </c>
      <c r="K1205" s="12" t="s">
        <v>142</v>
      </c>
      <c r="L1205" s="14">
        <v>0.33300000000000002</v>
      </c>
      <c r="M1205" s="14">
        <f t="shared" si="18"/>
        <v>0.33300000000000002</v>
      </c>
      <c r="N1205" s="7" t="s">
        <v>1312</v>
      </c>
      <c r="O1205" s="12"/>
      <c r="P1205" s="12" t="s">
        <v>130</v>
      </c>
    </row>
    <row r="1206" spans="1:16" ht="57" hidden="1" customHeight="1" x14ac:dyDescent="0.35">
      <c r="A1206" s="12">
        <v>6530</v>
      </c>
      <c r="B1206" s="12" t="s">
        <v>100</v>
      </c>
      <c r="C1206" s="12" t="s">
        <v>111</v>
      </c>
      <c r="D1206" s="12" t="s">
        <v>112</v>
      </c>
      <c r="E1206" s="12" t="s">
        <v>134</v>
      </c>
      <c r="F1206" s="12" t="s">
        <v>39</v>
      </c>
      <c r="G1206" s="12" t="s">
        <v>60</v>
      </c>
      <c r="H1206" s="12">
        <v>11</v>
      </c>
      <c r="I1206" s="13">
        <v>45931.068078703698</v>
      </c>
      <c r="J1206" s="12" t="s">
        <v>127</v>
      </c>
      <c r="K1206" s="12" t="s">
        <v>142</v>
      </c>
      <c r="L1206" s="14">
        <v>0.33300000000000002</v>
      </c>
      <c r="M1206" s="14">
        <f t="shared" si="18"/>
        <v>0.33300000000000002</v>
      </c>
      <c r="N1206" s="7" t="s">
        <v>1313</v>
      </c>
      <c r="O1206" s="12"/>
      <c r="P1206" s="12" t="s">
        <v>130</v>
      </c>
    </row>
    <row r="1207" spans="1:16" ht="79.5" hidden="1" customHeight="1" x14ac:dyDescent="0.35">
      <c r="A1207" s="12">
        <v>6537</v>
      </c>
      <c r="B1207" s="12" t="s">
        <v>100</v>
      </c>
      <c r="C1207" s="12" t="s">
        <v>113</v>
      </c>
      <c r="D1207" s="12" t="s">
        <v>114</v>
      </c>
      <c r="E1207" s="12" t="s">
        <v>126</v>
      </c>
      <c r="F1207" s="12" t="s">
        <v>39</v>
      </c>
      <c r="G1207" s="12" t="s">
        <v>60</v>
      </c>
      <c r="H1207" s="12">
        <v>11</v>
      </c>
      <c r="I1207" s="13">
        <v>45931.068078703698</v>
      </c>
      <c r="J1207" s="12" t="s">
        <v>127</v>
      </c>
      <c r="K1207" s="12" t="s">
        <v>132</v>
      </c>
      <c r="L1207" s="14">
        <v>0.66600000000000004</v>
      </c>
      <c r="M1207" s="14">
        <f t="shared" si="18"/>
        <v>0.66600000000000004</v>
      </c>
      <c r="N1207" s="7" t="s">
        <v>1314</v>
      </c>
      <c r="O1207" s="12"/>
      <c r="P1207" s="12" t="s">
        <v>130</v>
      </c>
    </row>
    <row r="1208" spans="1:16" ht="124.5" hidden="1" customHeight="1" x14ac:dyDescent="0.35">
      <c r="A1208" s="12">
        <v>6561</v>
      </c>
      <c r="B1208" s="12" t="s">
        <v>100</v>
      </c>
      <c r="C1208" s="12" t="s">
        <v>113</v>
      </c>
      <c r="D1208" s="12" t="s">
        <v>114</v>
      </c>
      <c r="E1208" s="12" t="s">
        <v>131</v>
      </c>
      <c r="F1208" s="12" t="s">
        <v>39</v>
      </c>
      <c r="G1208" s="12" t="s">
        <v>60</v>
      </c>
      <c r="H1208" s="12">
        <v>11</v>
      </c>
      <c r="I1208" s="13">
        <v>45931.068078703698</v>
      </c>
      <c r="J1208" s="12" t="s">
        <v>127</v>
      </c>
      <c r="K1208" s="12" t="s">
        <v>128</v>
      </c>
      <c r="L1208" s="14">
        <v>1</v>
      </c>
      <c r="M1208" s="14">
        <f t="shared" si="18"/>
        <v>1</v>
      </c>
      <c r="N1208" s="7" t="s">
        <v>1315</v>
      </c>
      <c r="O1208" s="12"/>
      <c r="P1208" s="12" t="s">
        <v>130</v>
      </c>
    </row>
    <row r="1209" spans="1:16" ht="270" hidden="1" customHeight="1" x14ac:dyDescent="0.35">
      <c r="A1209" s="12">
        <v>6563</v>
      </c>
      <c r="B1209" s="12" t="s">
        <v>100</v>
      </c>
      <c r="C1209" s="12" t="s">
        <v>113</v>
      </c>
      <c r="D1209" s="12" t="s">
        <v>114</v>
      </c>
      <c r="E1209" s="12" t="s">
        <v>134</v>
      </c>
      <c r="F1209" s="12" t="s">
        <v>39</v>
      </c>
      <c r="G1209" s="12" t="s">
        <v>60</v>
      </c>
      <c r="H1209" s="12">
        <v>11</v>
      </c>
      <c r="I1209" s="13">
        <v>45931.068078703698</v>
      </c>
      <c r="J1209" s="12" t="s">
        <v>127</v>
      </c>
      <c r="K1209" s="12" t="s">
        <v>132</v>
      </c>
      <c r="L1209" s="14">
        <v>0.66600000000000004</v>
      </c>
      <c r="M1209" s="14">
        <f t="shared" si="18"/>
        <v>0.66600000000000004</v>
      </c>
      <c r="N1209" s="7" t="s">
        <v>1316</v>
      </c>
      <c r="O1209" s="12"/>
      <c r="P1209" s="12" t="s">
        <v>130</v>
      </c>
    </row>
    <row r="1210" spans="1:16" ht="124.5" hidden="1" customHeight="1" x14ac:dyDescent="0.35">
      <c r="A1210" s="12">
        <v>1628</v>
      </c>
      <c r="B1210" s="12" t="s">
        <v>100</v>
      </c>
      <c r="C1210" s="12" t="s">
        <v>101</v>
      </c>
      <c r="D1210" s="12" t="s">
        <v>102</v>
      </c>
      <c r="E1210" s="12" t="s">
        <v>126</v>
      </c>
      <c r="F1210" s="12" t="s">
        <v>39</v>
      </c>
      <c r="G1210" s="12" t="s">
        <v>61</v>
      </c>
      <c r="H1210" s="12">
        <v>14</v>
      </c>
      <c r="I1210" s="13">
        <v>45888.597199074102</v>
      </c>
      <c r="J1210" s="12" t="s">
        <v>127</v>
      </c>
      <c r="K1210" s="12" t="s">
        <v>132</v>
      </c>
      <c r="L1210" s="14">
        <v>0.66600000000000004</v>
      </c>
      <c r="M1210" s="14">
        <f t="shared" si="18"/>
        <v>0.66600000000000004</v>
      </c>
      <c r="N1210" s="7" t="s">
        <v>1317</v>
      </c>
      <c r="O1210" s="12"/>
      <c r="P1210" s="12" t="s">
        <v>130</v>
      </c>
    </row>
    <row r="1211" spans="1:16" ht="57" hidden="1" customHeight="1" x14ac:dyDescent="0.35">
      <c r="A1211" s="12">
        <v>4206</v>
      </c>
      <c r="B1211" s="12" t="s">
        <v>100</v>
      </c>
      <c r="C1211" s="12" t="s">
        <v>101</v>
      </c>
      <c r="D1211" s="12" t="s">
        <v>102</v>
      </c>
      <c r="E1211" s="12" t="s">
        <v>131</v>
      </c>
      <c r="F1211" s="12" t="s">
        <v>39</v>
      </c>
      <c r="G1211" s="12" t="s">
        <v>61</v>
      </c>
      <c r="H1211" s="12">
        <v>14</v>
      </c>
      <c r="I1211" s="13">
        <v>45888.597199074102</v>
      </c>
      <c r="J1211" s="12" t="s">
        <v>127</v>
      </c>
      <c r="K1211" s="12" t="s">
        <v>142</v>
      </c>
      <c r="L1211" s="14">
        <v>0.33300000000000002</v>
      </c>
      <c r="M1211" s="14">
        <f t="shared" si="18"/>
        <v>0.33300000000000002</v>
      </c>
      <c r="N1211" s="7" t="s">
        <v>1318</v>
      </c>
      <c r="O1211" s="12"/>
      <c r="P1211" s="12" t="s">
        <v>130</v>
      </c>
    </row>
    <row r="1212" spans="1:16" ht="34.5" hidden="1" customHeight="1" x14ac:dyDescent="0.35">
      <c r="A1212" s="12">
        <v>4207</v>
      </c>
      <c r="B1212" s="12" t="s">
        <v>100</v>
      </c>
      <c r="C1212" s="12" t="s">
        <v>101</v>
      </c>
      <c r="D1212" s="12" t="s">
        <v>102</v>
      </c>
      <c r="E1212" s="12" t="s">
        <v>134</v>
      </c>
      <c r="F1212" s="12" t="s">
        <v>39</v>
      </c>
      <c r="G1212" s="12" t="s">
        <v>61</v>
      </c>
      <c r="H1212" s="12">
        <v>14</v>
      </c>
      <c r="I1212" s="13">
        <v>45888.597199074102</v>
      </c>
      <c r="J1212" s="12" t="s">
        <v>127</v>
      </c>
      <c r="K1212" s="12" t="s">
        <v>132</v>
      </c>
      <c r="L1212" s="14">
        <v>0.66600000000000004</v>
      </c>
      <c r="M1212" s="14">
        <f t="shared" si="18"/>
        <v>0.66600000000000004</v>
      </c>
      <c r="N1212" s="7" t="s">
        <v>1319</v>
      </c>
      <c r="O1212" s="12"/>
      <c r="P1212" s="12" t="s">
        <v>130</v>
      </c>
    </row>
    <row r="1213" spans="1:16" ht="45.75" hidden="1" customHeight="1" x14ac:dyDescent="0.35">
      <c r="A1213" s="12">
        <v>4304</v>
      </c>
      <c r="B1213" s="12" t="s">
        <v>100</v>
      </c>
      <c r="C1213" s="12" t="s">
        <v>103</v>
      </c>
      <c r="D1213" s="12" t="s">
        <v>104</v>
      </c>
      <c r="E1213" s="12" t="s">
        <v>126</v>
      </c>
      <c r="F1213" s="12" t="s">
        <v>39</v>
      </c>
      <c r="G1213" s="12" t="s">
        <v>61</v>
      </c>
      <c r="H1213" s="12">
        <v>14</v>
      </c>
      <c r="I1213" s="13">
        <v>45888.597199074102</v>
      </c>
      <c r="J1213" s="12" t="s">
        <v>127</v>
      </c>
      <c r="K1213" s="12" t="s">
        <v>135</v>
      </c>
      <c r="L1213" s="14"/>
      <c r="M1213" s="14">
        <f t="shared" si="18"/>
        <v>0</v>
      </c>
      <c r="N1213" s="7" t="s">
        <v>1320</v>
      </c>
      <c r="O1213" s="12"/>
      <c r="P1213" s="12" t="s">
        <v>130</v>
      </c>
    </row>
    <row r="1214" spans="1:16" ht="23.25" hidden="1" customHeight="1" x14ac:dyDescent="0.35">
      <c r="A1214" s="12">
        <v>4293</v>
      </c>
      <c r="B1214" s="12" t="s">
        <v>100</v>
      </c>
      <c r="C1214" s="12" t="s">
        <v>103</v>
      </c>
      <c r="D1214" s="12" t="s">
        <v>104</v>
      </c>
      <c r="E1214" s="12" t="s">
        <v>131</v>
      </c>
      <c r="F1214" s="12" t="s">
        <v>39</v>
      </c>
      <c r="G1214" s="12" t="s">
        <v>61</v>
      </c>
      <c r="H1214" s="12">
        <v>14</v>
      </c>
      <c r="I1214" s="13">
        <v>45888.597199074102</v>
      </c>
      <c r="J1214" s="12" t="s">
        <v>127</v>
      </c>
      <c r="K1214" s="12" t="s">
        <v>135</v>
      </c>
      <c r="L1214" s="14"/>
      <c r="M1214" s="14">
        <f t="shared" si="18"/>
        <v>0</v>
      </c>
      <c r="N1214" s="7" t="s">
        <v>1321</v>
      </c>
      <c r="O1214" s="12"/>
      <c r="P1214" s="12" t="s">
        <v>130</v>
      </c>
    </row>
    <row r="1215" spans="1:16" ht="23.25" hidden="1" customHeight="1" x14ac:dyDescent="0.35">
      <c r="A1215" s="12">
        <v>4294</v>
      </c>
      <c r="B1215" s="12" t="s">
        <v>100</v>
      </c>
      <c r="C1215" s="12" t="s">
        <v>103</v>
      </c>
      <c r="D1215" s="12" t="s">
        <v>104</v>
      </c>
      <c r="E1215" s="12" t="s">
        <v>134</v>
      </c>
      <c r="F1215" s="12" t="s">
        <v>39</v>
      </c>
      <c r="G1215" s="12" t="s">
        <v>61</v>
      </c>
      <c r="H1215" s="12">
        <v>14</v>
      </c>
      <c r="I1215" s="13">
        <v>45888.597199074102</v>
      </c>
      <c r="J1215" s="12" t="s">
        <v>127</v>
      </c>
      <c r="K1215" s="12" t="s">
        <v>135</v>
      </c>
      <c r="L1215" s="14"/>
      <c r="M1215" s="14">
        <f t="shared" si="18"/>
        <v>0</v>
      </c>
      <c r="N1215" s="7" t="s">
        <v>1322</v>
      </c>
      <c r="O1215" s="12"/>
      <c r="P1215" s="12" t="s">
        <v>130</v>
      </c>
    </row>
    <row r="1216" spans="1:16" ht="23.25" hidden="1" customHeight="1" x14ac:dyDescent="0.35">
      <c r="A1216" s="12">
        <v>4305</v>
      </c>
      <c r="B1216" s="12" t="s">
        <v>100</v>
      </c>
      <c r="C1216" s="12" t="s">
        <v>105</v>
      </c>
      <c r="D1216" s="12" t="s">
        <v>106</v>
      </c>
      <c r="E1216" s="12" t="s">
        <v>126</v>
      </c>
      <c r="F1216" s="12" t="s">
        <v>39</v>
      </c>
      <c r="G1216" s="12" t="s">
        <v>61</v>
      </c>
      <c r="H1216" s="12">
        <v>14</v>
      </c>
      <c r="I1216" s="13">
        <v>45888.597199074102</v>
      </c>
      <c r="J1216" s="12" t="s">
        <v>127</v>
      </c>
      <c r="K1216" s="12" t="s">
        <v>135</v>
      </c>
      <c r="L1216" s="14"/>
      <c r="M1216" s="14">
        <f t="shared" si="18"/>
        <v>0</v>
      </c>
      <c r="N1216" s="7" t="s">
        <v>1323</v>
      </c>
      <c r="O1216" s="12"/>
      <c r="P1216" s="12" t="s">
        <v>130</v>
      </c>
    </row>
    <row r="1217" spans="1:16" ht="23.25" hidden="1" customHeight="1" x14ac:dyDescent="0.35">
      <c r="A1217" s="12">
        <v>4295</v>
      </c>
      <c r="B1217" s="12" t="s">
        <v>100</v>
      </c>
      <c r="C1217" s="12" t="s">
        <v>105</v>
      </c>
      <c r="D1217" s="12" t="s">
        <v>106</v>
      </c>
      <c r="E1217" s="12" t="s">
        <v>131</v>
      </c>
      <c r="F1217" s="12" t="s">
        <v>39</v>
      </c>
      <c r="G1217" s="12" t="s">
        <v>61</v>
      </c>
      <c r="H1217" s="12">
        <v>14</v>
      </c>
      <c r="I1217" s="13">
        <v>45888.597199074102</v>
      </c>
      <c r="J1217" s="12" t="s">
        <v>127</v>
      </c>
      <c r="K1217" s="12" t="s">
        <v>135</v>
      </c>
      <c r="L1217" s="14"/>
      <c r="M1217" s="14">
        <f t="shared" si="18"/>
        <v>0</v>
      </c>
      <c r="N1217" s="7" t="s">
        <v>1323</v>
      </c>
      <c r="O1217" s="12"/>
      <c r="P1217" s="12" t="s">
        <v>130</v>
      </c>
    </row>
    <row r="1218" spans="1:16" ht="102" hidden="1" customHeight="1" x14ac:dyDescent="0.35">
      <c r="A1218" s="12">
        <v>4306</v>
      </c>
      <c r="B1218" s="12" t="s">
        <v>100</v>
      </c>
      <c r="C1218" s="12" t="s">
        <v>107</v>
      </c>
      <c r="D1218" s="12" t="s">
        <v>108</v>
      </c>
      <c r="E1218" s="12" t="s">
        <v>126</v>
      </c>
      <c r="F1218" s="12" t="s">
        <v>39</v>
      </c>
      <c r="G1218" s="12" t="s">
        <v>61</v>
      </c>
      <c r="H1218" s="12">
        <v>14</v>
      </c>
      <c r="I1218" s="13">
        <v>45888.597199074102</v>
      </c>
      <c r="J1218" s="12" t="s">
        <v>127</v>
      </c>
      <c r="K1218" s="12" t="s">
        <v>142</v>
      </c>
      <c r="L1218" s="14">
        <v>0.33300000000000002</v>
      </c>
      <c r="M1218" s="14">
        <f t="shared" ref="M1218:M1281" si="19">IF(K1218="Sem progresso",0,IF(OR(K1218="Não avaliado",K1218="Não se aplica",K1218=""),"",L1218))</f>
        <v>0.33300000000000002</v>
      </c>
      <c r="N1218" s="7" t="s">
        <v>1324</v>
      </c>
      <c r="O1218" s="12"/>
      <c r="P1218" s="12" t="s">
        <v>130</v>
      </c>
    </row>
    <row r="1219" spans="1:16" ht="68.25" hidden="1" customHeight="1" x14ac:dyDescent="0.35">
      <c r="A1219" s="12">
        <v>4307</v>
      </c>
      <c r="B1219" s="12" t="s">
        <v>100</v>
      </c>
      <c r="C1219" s="12" t="s">
        <v>107</v>
      </c>
      <c r="D1219" s="12" t="s">
        <v>108</v>
      </c>
      <c r="E1219" s="12" t="s">
        <v>131</v>
      </c>
      <c r="F1219" s="12" t="s">
        <v>39</v>
      </c>
      <c r="G1219" s="12" t="s">
        <v>61</v>
      </c>
      <c r="H1219" s="12">
        <v>14</v>
      </c>
      <c r="I1219" s="13">
        <v>45888.597199074102</v>
      </c>
      <c r="J1219" s="12" t="s">
        <v>127</v>
      </c>
      <c r="K1219" s="12" t="s">
        <v>142</v>
      </c>
      <c r="L1219" s="14">
        <v>0.33300000000000002</v>
      </c>
      <c r="M1219" s="14">
        <f t="shared" si="19"/>
        <v>0.33300000000000002</v>
      </c>
      <c r="N1219" s="7" t="s">
        <v>1325</v>
      </c>
      <c r="O1219" s="12"/>
      <c r="P1219" s="12" t="s">
        <v>130</v>
      </c>
    </row>
    <row r="1220" spans="1:16" ht="23.25" hidden="1" customHeight="1" x14ac:dyDescent="0.35">
      <c r="A1220" s="12">
        <v>4529</v>
      </c>
      <c r="B1220" s="12" t="s">
        <v>100</v>
      </c>
      <c r="C1220" s="12" t="s">
        <v>107</v>
      </c>
      <c r="D1220" s="12" t="s">
        <v>108</v>
      </c>
      <c r="E1220" s="12" t="s">
        <v>134</v>
      </c>
      <c r="F1220" s="12" t="s">
        <v>39</v>
      </c>
      <c r="G1220" s="12" t="s">
        <v>61</v>
      </c>
      <c r="H1220" s="12">
        <v>14</v>
      </c>
      <c r="I1220" s="13">
        <v>45888.597199074102</v>
      </c>
      <c r="J1220" s="12" t="s">
        <v>127</v>
      </c>
      <c r="K1220" s="12" t="s">
        <v>135</v>
      </c>
      <c r="L1220" s="14"/>
      <c r="M1220" s="14">
        <f t="shared" si="19"/>
        <v>0</v>
      </c>
      <c r="N1220" s="7" t="s">
        <v>1326</v>
      </c>
      <c r="O1220" s="12"/>
      <c r="P1220" s="12" t="s">
        <v>130</v>
      </c>
    </row>
    <row r="1221" spans="1:16" ht="102" hidden="1" customHeight="1" x14ac:dyDescent="0.35">
      <c r="A1221" s="12">
        <v>4530</v>
      </c>
      <c r="B1221" s="12" t="s">
        <v>100</v>
      </c>
      <c r="C1221" s="12" t="s">
        <v>109</v>
      </c>
      <c r="D1221" s="12" t="s">
        <v>110</v>
      </c>
      <c r="E1221" s="12" t="s">
        <v>126</v>
      </c>
      <c r="F1221" s="12" t="s">
        <v>39</v>
      </c>
      <c r="G1221" s="12" t="s">
        <v>61</v>
      </c>
      <c r="H1221" s="12">
        <v>14</v>
      </c>
      <c r="I1221" s="13">
        <v>45888.597199074102</v>
      </c>
      <c r="J1221" s="12" t="s">
        <v>127</v>
      </c>
      <c r="K1221" s="12" t="s">
        <v>142</v>
      </c>
      <c r="L1221" s="14">
        <v>0.33300000000000002</v>
      </c>
      <c r="M1221" s="14">
        <f t="shared" si="19"/>
        <v>0.33300000000000002</v>
      </c>
      <c r="N1221" s="7" t="s">
        <v>1327</v>
      </c>
      <c r="O1221" s="12"/>
      <c r="P1221" s="12" t="s">
        <v>130</v>
      </c>
    </row>
    <row r="1222" spans="1:16" ht="68.25" hidden="1" customHeight="1" x14ac:dyDescent="0.35">
      <c r="A1222" s="12">
        <v>4531</v>
      </c>
      <c r="B1222" s="12" t="s">
        <v>100</v>
      </c>
      <c r="C1222" s="12" t="s">
        <v>109</v>
      </c>
      <c r="D1222" s="12" t="s">
        <v>110</v>
      </c>
      <c r="E1222" s="12" t="s">
        <v>131</v>
      </c>
      <c r="F1222" s="12" t="s">
        <v>39</v>
      </c>
      <c r="G1222" s="12" t="s">
        <v>61</v>
      </c>
      <c r="H1222" s="12">
        <v>14</v>
      </c>
      <c r="I1222" s="13">
        <v>45888.597199074102</v>
      </c>
      <c r="J1222" s="12" t="s">
        <v>127</v>
      </c>
      <c r="K1222" s="12" t="s">
        <v>142</v>
      </c>
      <c r="L1222" s="14">
        <v>0.33300000000000002</v>
      </c>
      <c r="M1222" s="14">
        <f t="shared" si="19"/>
        <v>0.33300000000000002</v>
      </c>
      <c r="N1222" s="7" t="s">
        <v>1328</v>
      </c>
      <c r="O1222" s="12"/>
      <c r="P1222" s="12" t="s">
        <v>130</v>
      </c>
    </row>
    <row r="1223" spans="1:16" ht="34.5" hidden="1" customHeight="1" x14ac:dyDescent="0.35">
      <c r="A1223" s="12">
        <v>4841</v>
      </c>
      <c r="B1223" s="12" t="s">
        <v>100</v>
      </c>
      <c r="C1223" s="12" t="s">
        <v>111</v>
      </c>
      <c r="D1223" s="12" t="s">
        <v>112</v>
      </c>
      <c r="E1223" s="12" t="s">
        <v>126</v>
      </c>
      <c r="F1223" s="12" t="s">
        <v>39</v>
      </c>
      <c r="G1223" s="12" t="s">
        <v>61</v>
      </c>
      <c r="H1223" s="12">
        <v>14</v>
      </c>
      <c r="I1223" s="13">
        <v>45888.597199074102</v>
      </c>
      <c r="J1223" s="12" t="s">
        <v>127</v>
      </c>
      <c r="K1223" s="12" t="s">
        <v>135</v>
      </c>
      <c r="L1223" s="14"/>
      <c r="M1223" s="14">
        <f t="shared" si="19"/>
        <v>0</v>
      </c>
      <c r="N1223" s="7" t="s">
        <v>1329</v>
      </c>
      <c r="O1223" s="12"/>
      <c r="P1223" s="12" t="s">
        <v>130</v>
      </c>
    </row>
    <row r="1224" spans="1:16" ht="34.5" hidden="1" customHeight="1" x14ac:dyDescent="0.35">
      <c r="A1224" s="12">
        <v>4842</v>
      </c>
      <c r="B1224" s="12" t="s">
        <v>100</v>
      </c>
      <c r="C1224" s="12" t="s">
        <v>111</v>
      </c>
      <c r="D1224" s="12" t="s">
        <v>112</v>
      </c>
      <c r="E1224" s="12" t="s">
        <v>131</v>
      </c>
      <c r="F1224" s="12" t="s">
        <v>39</v>
      </c>
      <c r="G1224" s="12" t="s">
        <v>61</v>
      </c>
      <c r="H1224" s="12">
        <v>14</v>
      </c>
      <c r="I1224" s="13">
        <v>45888.597199074102</v>
      </c>
      <c r="J1224" s="12" t="s">
        <v>127</v>
      </c>
      <c r="K1224" s="12" t="s">
        <v>135</v>
      </c>
      <c r="L1224" s="14"/>
      <c r="M1224" s="14">
        <f t="shared" si="19"/>
        <v>0</v>
      </c>
      <c r="N1224" s="7" t="s">
        <v>1329</v>
      </c>
      <c r="O1224" s="12"/>
      <c r="P1224" s="12" t="s">
        <v>130</v>
      </c>
    </row>
    <row r="1225" spans="1:16" ht="34.5" hidden="1" customHeight="1" x14ac:dyDescent="0.35">
      <c r="A1225" s="12">
        <v>4815</v>
      </c>
      <c r="B1225" s="12" t="s">
        <v>100</v>
      </c>
      <c r="C1225" s="12" t="s">
        <v>111</v>
      </c>
      <c r="D1225" s="12" t="s">
        <v>112</v>
      </c>
      <c r="E1225" s="12" t="s">
        <v>134</v>
      </c>
      <c r="F1225" s="12" t="s">
        <v>39</v>
      </c>
      <c r="G1225" s="12" t="s">
        <v>61</v>
      </c>
      <c r="H1225" s="12">
        <v>14</v>
      </c>
      <c r="I1225" s="13">
        <v>45888.597199074102</v>
      </c>
      <c r="J1225" s="12" t="s">
        <v>127</v>
      </c>
      <c r="K1225" s="12" t="s">
        <v>135</v>
      </c>
      <c r="L1225" s="14"/>
      <c r="M1225" s="14">
        <f t="shared" si="19"/>
        <v>0</v>
      </c>
      <c r="N1225" s="7" t="s">
        <v>1330</v>
      </c>
      <c r="O1225" s="12"/>
      <c r="P1225" s="12" t="s">
        <v>130</v>
      </c>
    </row>
    <row r="1226" spans="1:16" ht="90.75" hidden="1" customHeight="1" x14ac:dyDescent="0.35">
      <c r="A1226" s="12">
        <v>4928</v>
      </c>
      <c r="B1226" s="12" t="s">
        <v>100</v>
      </c>
      <c r="C1226" s="12" t="s">
        <v>113</v>
      </c>
      <c r="D1226" s="12" t="s">
        <v>114</v>
      </c>
      <c r="E1226" s="12" t="s">
        <v>126</v>
      </c>
      <c r="F1226" s="12" t="s">
        <v>39</v>
      </c>
      <c r="G1226" s="12" t="s">
        <v>61</v>
      </c>
      <c r="H1226" s="12">
        <v>14</v>
      </c>
      <c r="I1226" s="13">
        <v>45888.597199074102</v>
      </c>
      <c r="J1226" s="12" t="s">
        <v>127</v>
      </c>
      <c r="K1226" s="12" t="s">
        <v>142</v>
      </c>
      <c r="L1226" s="14">
        <v>0.33300000000000002</v>
      </c>
      <c r="M1226" s="14">
        <f t="shared" si="19"/>
        <v>0.33300000000000002</v>
      </c>
      <c r="N1226" s="7" t="s">
        <v>1331</v>
      </c>
      <c r="O1226" s="12"/>
      <c r="P1226" s="12" t="s">
        <v>130</v>
      </c>
    </row>
    <row r="1227" spans="1:16" ht="34.5" hidden="1" customHeight="1" x14ac:dyDescent="0.35">
      <c r="A1227" s="12">
        <v>4950</v>
      </c>
      <c r="B1227" s="12" t="s">
        <v>100</v>
      </c>
      <c r="C1227" s="12" t="s">
        <v>113</v>
      </c>
      <c r="D1227" s="12" t="s">
        <v>114</v>
      </c>
      <c r="E1227" s="12" t="s">
        <v>131</v>
      </c>
      <c r="F1227" s="12" t="s">
        <v>39</v>
      </c>
      <c r="G1227" s="12" t="s">
        <v>61</v>
      </c>
      <c r="H1227" s="12">
        <v>14</v>
      </c>
      <c r="I1227" s="13">
        <v>45888.597199074102</v>
      </c>
      <c r="J1227" s="12" t="s">
        <v>127</v>
      </c>
      <c r="K1227" s="12" t="s">
        <v>135</v>
      </c>
      <c r="L1227" s="14"/>
      <c r="M1227" s="14">
        <f t="shared" si="19"/>
        <v>0</v>
      </c>
      <c r="N1227" s="7" t="s">
        <v>1332</v>
      </c>
      <c r="O1227" s="12"/>
      <c r="P1227" s="12" t="s">
        <v>130</v>
      </c>
    </row>
    <row r="1228" spans="1:16" ht="45.75" hidden="1" customHeight="1" x14ac:dyDescent="0.35">
      <c r="A1228" s="12">
        <v>5086</v>
      </c>
      <c r="B1228" s="12" t="s">
        <v>100</v>
      </c>
      <c r="C1228" s="12" t="s">
        <v>113</v>
      </c>
      <c r="D1228" s="12" t="s">
        <v>114</v>
      </c>
      <c r="E1228" s="12" t="s">
        <v>134</v>
      </c>
      <c r="F1228" s="12" t="s">
        <v>39</v>
      </c>
      <c r="G1228" s="12" t="s">
        <v>61</v>
      </c>
      <c r="H1228" s="12">
        <v>14</v>
      </c>
      <c r="I1228" s="13">
        <v>45888.597199074102</v>
      </c>
      <c r="J1228" s="12" t="s">
        <v>127</v>
      </c>
      <c r="K1228" s="12" t="s">
        <v>142</v>
      </c>
      <c r="L1228" s="14">
        <v>0.33300000000000002</v>
      </c>
      <c r="M1228" s="14">
        <f t="shared" si="19"/>
        <v>0.33300000000000002</v>
      </c>
      <c r="N1228" s="7" t="s">
        <v>1333</v>
      </c>
      <c r="O1228" s="12"/>
      <c r="P1228" s="12" t="s">
        <v>130</v>
      </c>
    </row>
    <row r="1229" spans="1:16" ht="57" hidden="1" customHeight="1" x14ac:dyDescent="0.35">
      <c r="A1229" s="12">
        <v>4741</v>
      </c>
      <c r="B1229" s="12" t="s">
        <v>100</v>
      </c>
      <c r="C1229" s="12" t="s">
        <v>101</v>
      </c>
      <c r="D1229" s="12" t="s">
        <v>102</v>
      </c>
      <c r="E1229" s="12" t="s">
        <v>126</v>
      </c>
      <c r="F1229" s="12" t="s">
        <v>66</v>
      </c>
      <c r="G1229" s="12" t="s">
        <v>85</v>
      </c>
      <c r="H1229" s="12">
        <v>2927408</v>
      </c>
      <c r="I1229" s="13">
        <v>45919.012951388897</v>
      </c>
      <c r="J1229" s="12" t="s">
        <v>127</v>
      </c>
      <c r="K1229" s="12" t="s">
        <v>128</v>
      </c>
      <c r="L1229" s="14">
        <v>1</v>
      </c>
      <c r="M1229" s="14">
        <f t="shared" si="19"/>
        <v>1</v>
      </c>
      <c r="N1229" s="7" t="s">
        <v>1334</v>
      </c>
      <c r="O1229" s="12"/>
      <c r="P1229" s="12" t="s">
        <v>130</v>
      </c>
    </row>
    <row r="1230" spans="1:16" ht="68.25" hidden="1" customHeight="1" x14ac:dyDescent="0.35">
      <c r="A1230" s="12">
        <v>4711</v>
      </c>
      <c r="B1230" s="12" t="s">
        <v>100</v>
      </c>
      <c r="C1230" s="12" t="s">
        <v>101</v>
      </c>
      <c r="D1230" s="12" t="s">
        <v>102</v>
      </c>
      <c r="E1230" s="12" t="s">
        <v>131</v>
      </c>
      <c r="F1230" s="12" t="s">
        <v>66</v>
      </c>
      <c r="G1230" s="12" t="s">
        <v>85</v>
      </c>
      <c r="H1230" s="12">
        <v>2927408</v>
      </c>
      <c r="I1230" s="13">
        <v>45919.012951388897</v>
      </c>
      <c r="J1230" s="12" t="s">
        <v>127</v>
      </c>
      <c r="K1230" s="12" t="s">
        <v>128</v>
      </c>
      <c r="L1230" s="14">
        <v>1</v>
      </c>
      <c r="M1230" s="14">
        <f t="shared" si="19"/>
        <v>1</v>
      </c>
      <c r="N1230" s="7" t="s">
        <v>1335</v>
      </c>
      <c r="O1230" s="12"/>
      <c r="P1230" s="12" t="s">
        <v>130</v>
      </c>
    </row>
    <row r="1231" spans="1:16" ht="147" hidden="1" customHeight="1" x14ac:dyDescent="0.35">
      <c r="A1231" s="12">
        <v>4742</v>
      </c>
      <c r="B1231" s="12" t="s">
        <v>100</v>
      </c>
      <c r="C1231" s="12" t="s">
        <v>101</v>
      </c>
      <c r="D1231" s="12" t="s">
        <v>102</v>
      </c>
      <c r="E1231" s="12" t="s">
        <v>134</v>
      </c>
      <c r="F1231" s="12" t="s">
        <v>66</v>
      </c>
      <c r="G1231" s="12" t="s">
        <v>85</v>
      </c>
      <c r="H1231" s="12">
        <v>2927408</v>
      </c>
      <c r="I1231" s="13">
        <v>45919.012951388897</v>
      </c>
      <c r="J1231" s="12" t="s">
        <v>127</v>
      </c>
      <c r="K1231" s="12" t="s">
        <v>132</v>
      </c>
      <c r="L1231" s="14">
        <v>0.66600000000000004</v>
      </c>
      <c r="M1231" s="14">
        <f t="shared" si="19"/>
        <v>0.66600000000000004</v>
      </c>
      <c r="N1231" s="7" t="s">
        <v>1336</v>
      </c>
      <c r="O1231" s="12"/>
      <c r="P1231" s="12" t="s">
        <v>130</v>
      </c>
    </row>
    <row r="1232" spans="1:16" ht="68.25" hidden="1" customHeight="1" x14ac:dyDescent="0.35">
      <c r="A1232" s="12">
        <v>6603</v>
      </c>
      <c r="B1232" s="12" t="s">
        <v>100</v>
      </c>
      <c r="C1232" s="12" t="s">
        <v>103</v>
      </c>
      <c r="D1232" s="12" t="s">
        <v>104</v>
      </c>
      <c r="E1232" s="12" t="s">
        <v>126</v>
      </c>
      <c r="F1232" s="12" t="s">
        <v>66</v>
      </c>
      <c r="G1232" s="12" t="s">
        <v>85</v>
      </c>
      <c r="H1232" s="12">
        <v>2927408</v>
      </c>
      <c r="I1232" s="13">
        <v>45919.012951388897</v>
      </c>
      <c r="J1232" s="12" t="s">
        <v>127</v>
      </c>
      <c r="K1232" s="12" t="s">
        <v>128</v>
      </c>
      <c r="L1232" s="14">
        <v>1</v>
      </c>
      <c r="M1232" s="14">
        <f t="shared" si="19"/>
        <v>1</v>
      </c>
      <c r="N1232" s="7" t="s">
        <v>1337</v>
      </c>
      <c r="O1232" s="12"/>
      <c r="P1232" s="12" t="s">
        <v>130</v>
      </c>
    </row>
    <row r="1233" spans="1:16" ht="102" hidden="1" customHeight="1" x14ac:dyDescent="0.35">
      <c r="A1233" s="12">
        <v>6664</v>
      </c>
      <c r="B1233" s="12" t="s">
        <v>100</v>
      </c>
      <c r="C1233" s="12" t="s">
        <v>103</v>
      </c>
      <c r="D1233" s="12" t="s">
        <v>104</v>
      </c>
      <c r="E1233" s="12" t="s">
        <v>131</v>
      </c>
      <c r="F1233" s="12" t="s">
        <v>66</v>
      </c>
      <c r="G1233" s="12" t="s">
        <v>85</v>
      </c>
      <c r="H1233" s="12">
        <v>2927408</v>
      </c>
      <c r="I1233" s="13">
        <v>45919.012951388897</v>
      </c>
      <c r="J1233" s="12" t="s">
        <v>127</v>
      </c>
      <c r="K1233" s="12" t="s">
        <v>128</v>
      </c>
      <c r="L1233" s="14">
        <v>1</v>
      </c>
      <c r="M1233" s="14">
        <f t="shared" si="19"/>
        <v>1</v>
      </c>
      <c r="N1233" s="7" t="s">
        <v>1338</v>
      </c>
      <c r="O1233" s="12"/>
      <c r="P1233" s="12" t="s">
        <v>130</v>
      </c>
    </row>
    <row r="1234" spans="1:16" ht="79.5" hidden="1" customHeight="1" x14ac:dyDescent="0.35">
      <c r="A1234" s="12">
        <v>6682</v>
      </c>
      <c r="B1234" s="12" t="s">
        <v>100</v>
      </c>
      <c r="C1234" s="12" t="s">
        <v>103</v>
      </c>
      <c r="D1234" s="12" t="s">
        <v>104</v>
      </c>
      <c r="E1234" s="12" t="s">
        <v>134</v>
      </c>
      <c r="F1234" s="12" t="s">
        <v>66</v>
      </c>
      <c r="G1234" s="12" t="s">
        <v>85</v>
      </c>
      <c r="H1234" s="12">
        <v>2927408</v>
      </c>
      <c r="I1234" s="13">
        <v>45919.012951388897</v>
      </c>
      <c r="J1234" s="12" t="s">
        <v>127</v>
      </c>
      <c r="K1234" s="12" t="s">
        <v>128</v>
      </c>
      <c r="L1234" s="14">
        <v>1</v>
      </c>
      <c r="M1234" s="14">
        <f t="shared" si="19"/>
        <v>1</v>
      </c>
      <c r="N1234" s="7" t="s">
        <v>1339</v>
      </c>
      <c r="O1234" s="12"/>
      <c r="P1234" s="12" t="s">
        <v>130</v>
      </c>
    </row>
    <row r="1235" spans="1:16" ht="113.25" hidden="1" customHeight="1" x14ac:dyDescent="0.35">
      <c r="A1235" s="12">
        <v>6684</v>
      </c>
      <c r="B1235" s="12" t="s">
        <v>100</v>
      </c>
      <c r="C1235" s="12" t="s">
        <v>105</v>
      </c>
      <c r="D1235" s="12" t="s">
        <v>106</v>
      </c>
      <c r="E1235" s="12" t="s">
        <v>126</v>
      </c>
      <c r="F1235" s="12" t="s">
        <v>66</v>
      </c>
      <c r="G1235" s="12" t="s">
        <v>85</v>
      </c>
      <c r="H1235" s="12">
        <v>2927408</v>
      </c>
      <c r="I1235" s="13">
        <v>45919.012951388897</v>
      </c>
      <c r="J1235" s="12" t="s">
        <v>127</v>
      </c>
      <c r="K1235" s="12" t="s">
        <v>128</v>
      </c>
      <c r="L1235" s="14">
        <v>1</v>
      </c>
      <c r="M1235" s="14">
        <f t="shared" si="19"/>
        <v>1</v>
      </c>
      <c r="N1235" s="7" t="s">
        <v>1340</v>
      </c>
      <c r="O1235" s="12"/>
      <c r="P1235" s="12" t="s">
        <v>130</v>
      </c>
    </row>
    <row r="1236" spans="1:16" ht="68.25" hidden="1" customHeight="1" x14ac:dyDescent="0.35">
      <c r="A1236" s="12">
        <v>6669</v>
      </c>
      <c r="B1236" s="12" t="s">
        <v>100</v>
      </c>
      <c r="C1236" s="12" t="s">
        <v>105</v>
      </c>
      <c r="D1236" s="12" t="s">
        <v>106</v>
      </c>
      <c r="E1236" s="12" t="s">
        <v>131</v>
      </c>
      <c r="F1236" s="12" t="s">
        <v>66</v>
      </c>
      <c r="G1236" s="12" t="s">
        <v>85</v>
      </c>
      <c r="H1236" s="12">
        <v>2927408</v>
      </c>
      <c r="I1236" s="13">
        <v>45919.012951388897</v>
      </c>
      <c r="J1236" s="12" t="s">
        <v>127</v>
      </c>
      <c r="K1236" s="12" t="s">
        <v>132</v>
      </c>
      <c r="L1236" s="14">
        <v>0.66600000000000004</v>
      </c>
      <c r="M1236" s="14">
        <f t="shared" si="19"/>
        <v>0.66600000000000004</v>
      </c>
      <c r="N1236" s="7" t="s">
        <v>1341</v>
      </c>
      <c r="O1236" s="12"/>
      <c r="P1236" s="12" t="s">
        <v>130</v>
      </c>
    </row>
    <row r="1237" spans="1:16" ht="180" hidden="1" customHeight="1" x14ac:dyDescent="0.35">
      <c r="A1237" s="12">
        <v>6670</v>
      </c>
      <c r="B1237" s="12" t="s">
        <v>100</v>
      </c>
      <c r="C1237" s="12" t="s">
        <v>107</v>
      </c>
      <c r="D1237" s="12" t="s">
        <v>108</v>
      </c>
      <c r="E1237" s="12" t="s">
        <v>126</v>
      </c>
      <c r="F1237" s="12" t="s">
        <v>66</v>
      </c>
      <c r="G1237" s="12" t="s">
        <v>85</v>
      </c>
      <c r="H1237" s="12">
        <v>2927408</v>
      </c>
      <c r="I1237" s="13">
        <v>45919.012951388897</v>
      </c>
      <c r="J1237" s="12" t="s">
        <v>127</v>
      </c>
      <c r="K1237" s="12" t="s">
        <v>132</v>
      </c>
      <c r="L1237" s="14">
        <v>0.66600000000000004</v>
      </c>
      <c r="M1237" s="14">
        <f t="shared" si="19"/>
        <v>0.66600000000000004</v>
      </c>
      <c r="N1237" s="7" t="s">
        <v>1342</v>
      </c>
      <c r="O1237" s="12"/>
      <c r="P1237" s="12" t="s">
        <v>130</v>
      </c>
    </row>
    <row r="1238" spans="1:16" ht="202.5" hidden="1" customHeight="1" x14ac:dyDescent="0.35">
      <c r="A1238" s="12">
        <v>7182</v>
      </c>
      <c r="B1238" s="12" t="s">
        <v>100</v>
      </c>
      <c r="C1238" s="12" t="s">
        <v>107</v>
      </c>
      <c r="D1238" s="12" t="s">
        <v>108</v>
      </c>
      <c r="E1238" s="12" t="s">
        <v>131</v>
      </c>
      <c r="F1238" s="12" t="s">
        <v>66</v>
      </c>
      <c r="G1238" s="12" t="s">
        <v>85</v>
      </c>
      <c r="H1238" s="12">
        <v>2927408</v>
      </c>
      <c r="I1238" s="13">
        <v>45919.012951388897</v>
      </c>
      <c r="J1238" s="12" t="s">
        <v>127</v>
      </c>
      <c r="K1238" s="12" t="s">
        <v>128</v>
      </c>
      <c r="L1238" s="14">
        <v>1</v>
      </c>
      <c r="M1238" s="14">
        <f t="shared" si="19"/>
        <v>1</v>
      </c>
      <c r="N1238" s="7" t="s">
        <v>1343</v>
      </c>
      <c r="O1238" s="12"/>
      <c r="P1238" s="12" t="s">
        <v>130</v>
      </c>
    </row>
    <row r="1239" spans="1:16" ht="157.5" hidden="1" customHeight="1" x14ac:dyDescent="0.35">
      <c r="A1239" s="12">
        <v>7178</v>
      </c>
      <c r="B1239" s="12" t="s">
        <v>100</v>
      </c>
      <c r="C1239" s="12" t="s">
        <v>107</v>
      </c>
      <c r="D1239" s="12" t="s">
        <v>108</v>
      </c>
      <c r="E1239" s="12" t="s">
        <v>134</v>
      </c>
      <c r="F1239" s="12" t="s">
        <v>66</v>
      </c>
      <c r="G1239" s="12" t="s">
        <v>85</v>
      </c>
      <c r="H1239" s="12">
        <v>2927408</v>
      </c>
      <c r="I1239" s="13">
        <v>45919.012951388897</v>
      </c>
      <c r="J1239" s="12" t="s">
        <v>127</v>
      </c>
      <c r="K1239" s="12" t="s">
        <v>132</v>
      </c>
      <c r="L1239" s="14">
        <v>0.66600000000000004</v>
      </c>
      <c r="M1239" s="14">
        <f t="shared" si="19"/>
        <v>0.66600000000000004</v>
      </c>
      <c r="N1239" s="7" t="s">
        <v>1344</v>
      </c>
      <c r="O1239" s="12"/>
      <c r="P1239" s="12" t="s">
        <v>130</v>
      </c>
    </row>
    <row r="1240" spans="1:16" ht="236.25" hidden="1" customHeight="1" x14ac:dyDescent="0.35">
      <c r="A1240" s="12">
        <v>7202</v>
      </c>
      <c r="B1240" s="12" t="s">
        <v>100</v>
      </c>
      <c r="C1240" s="12" t="s">
        <v>109</v>
      </c>
      <c r="D1240" s="12" t="s">
        <v>110</v>
      </c>
      <c r="E1240" s="12" t="s">
        <v>126</v>
      </c>
      <c r="F1240" s="12" t="s">
        <v>66</v>
      </c>
      <c r="G1240" s="12" t="s">
        <v>85</v>
      </c>
      <c r="H1240" s="12">
        <v>2927408</v>
      </c>
      <c r="I1240" s="13">
        <v>45919.012951388897</v>
      </c>
      <c r="J1240" s="12" t="s">
        <v>127</v>
      </c>
      <c r="K1240" s="12" t="s">
        <v>132</v>
      </c>
      <c r="L1240" s="14">
        <v>0.66600000000000004</v>
      </c>
      <c r="M1240" s="14">
        <f t="shared" si="19"/>
        <v>0.66600000000000004</v>
      </c>
      <c r="N1240" s="7" t="s">
        <v>1345</v>
      </c>
      <c r="O1240" s="12"/>
      <c r="P1240" s="12" t="s">
        <v>130</v>
      </c>
    </row>
    <row r="1241" spans="1:16" ht="157.5" hidden="1" customHeight="1" x14ac:dyDescent="0.35">
      <c r="A1241" s="12">
        <v>7216</v>
      </c>
      <c r="B1241" s="12" t="s">
        <v>100</v>
      </c>
      <c r="C1241" s="12" t="s">
        <v>109</v>
      </c>
      <c r="D1241" s="12" t="s">
        <v>110</v>
      </c>
      <c r="E1241" s="12" t="s">
        <v>131</v>
      </c>
      <c r="F1241" s="12" t="s">
        <v>66</v>
      </c>
      <c r="G1241" s="12" t="s">
        <v>85</v>
      </c>
      <c r="H1241" s="12">
        <v>2927408</v>
      </c>
      <c r="I1241" s="13">
        <v>45919.012951388897</v>
      </c>
      <c r="J1241" s="12" t="s">
        <v>127</v>
      </c>
      <c r="K1241" s="12" t="s">
        <v>128</v>
      </c>
      <c r="L1241" s="14">
        <v>1</v>
      </c>
      <c r="M1241" s="14">
        <f t="shared" si="19"/>
        <v>1</v>
      </c>
      <c r="N1241" s="7" t="s">
        <v>1346</v>
      </c>
      <c r="O1241" s="12"/>
      <c r="P1241" s="12" t="s">
        <v>130</v>
      </c>
    </row>
    <row r="1242" spans="1:16" ht="124.5" hidden="1" customHeight="1" x14ac:dyDescent="0.35">
      <c r="A1242" s="12">
        <v>7198</v>
      </c>
      <c r="B1242" s="12" t="s">
        <v>100</v>
      </c>
      <c r="C1242" s="12" t="s">
        <v>111</v>
      </c>
      <c r="D1242" s="12" t="s">
        <v>112</v>
      </c>
      <c r="E1242" s="12" t="s">
        <v>126</v>
      </c>
      <c r="F1242" s="12" t="s">
        <v>66</v>
      </c>
      <c r="G1242" s="12" t="s">
        <v>85</v>
      </c>
      <c r="H1242" s="12">
        <v>2927408</v>
      </c>
      <c r="I1242" s="13">
        <v>45919.012951388897</v>
      </c>
      <c r="J1242" s="12" t="s">
        <v>127</v>
      </c>
      <c r="K1242" s="12" t="s">
        <v>128</v>
      </c>
      <c r="L1242" s="14">
        <v>1</v>
      </c>
      <c r="M1242" s="14">
        <f t="shared" si="19"/>
        <v>1</v>
      </c>
      <c r="N1242" s="7" t="s">
        <v>1347</v>
      </c>
      <c r="O1242" s="12"/>
      <c r="P1242" s="12" t="s">
        <v>130</v>
      </c>
    </row>
    <row r="1243" spans="1:16" ht="225" hidden="1" customHeight="1" x14ac:dyDescent="0.35">
      <c r="A1243" s="12">
        <v>7243</v>
      </c>
      <c r="B1243" s="12" t="s">
        <v>100</v>
      </c>
      <c r="C1243" s="12" t="s">
        <v>111</v>
      </c>
      <c r="D1243" s="12" t="s">
        <v>112</v>
      </c>
      <c r="E1243" s="12" t="s">
        <v>131</v>
      </c>
      <c r="F1243" s="12" t="s">
        <v>66</v>
      </c>
      <c r="G1243" s="12" t="s">
        <v>85</v>
      </c>
      <c r="H1243" s="12">
        <v>2927408</v>
      </c>
      <c r="I1243" s="13">
        <v>45919.012951388897</v>
      </c>
      <c r="J1243" s="12" t="s">
        <v>127</v>
      </c>
      <c r="K1243" s="12" t="s">
        <v>128</v>
      </c>
      <c r="L1243" s="14">
        <v>1</v>
      </c>
      <c r="M1243" s="14">
        <f t="shared" si="19"/>
        <v>1</v>
      </c>
      <c r="N1243" s="7" t="s">
        <v>1348</v>
      </c>
      <c r="O1243" s="12"/>
      <c r="P1243" s="12" t="s">
        <v>130</v>
      </c>
    </row>
    <row r="1244" spans="1:16" ht="79.5" hidden="1" customHeight="1" x14ac:dyDescent="0.35">
      <c r="A1244" s="12">
        <v>7246</v>
      </c>
      <c r="B1244" s="12" t="s">
        <v>100</v>
      </c>
      <c r="C1244" s="12" t="s">
        <v>111</v>
      </c>
      <c r="D1244" s="12" t="s">
        <v>112</v>
      </c>
      <c r="E1244" s="12" t="s">
        <v>134</v>
      </c>
      <c r="F1244" s="12" t="s">
        <v>66</v>
      </c>
      <c r="G1244" s="12" t="s">
        <v>85</v>
      </c>
      <c r="H1244" s="12">
        <v>2927408</v>
      </c>
      <c r="I1244" s="13">
        <v>45919.012951388897</v>
      </c>
      <c r="J1244" s="12" t="s">
        <v>127</v>
      </c>
      <c r="K1244" s="12" t="s">
        <v>128</v>
      </c>
      <c r="L1244" s="14">
        <v>1</v>
      </c>
      <c r="M1244" s="14">
        <f t="shared" si="19"/>
        <v>1</v>
      </c>
      <c r="N1244" s="7" t="s">
        <v>1349</v>
      </c>
      <c r="O1244" s="12"/>
      <c r="P1244" s="12" t="s">
        <v>130</v>
      </c>
    </row>
    <row r="1245" spans="1:16" ht="157.5" hidden="1" customHeight="1" x14ac:dyDescent="0.35">
      <c r="A1245" s="12">
        <v>7251</v>
      </c>
      <c r="B1245" s="12" t="s">
        <v>100</v>
      </c>
      <c r="C1245" s="12" t="s">
        <v>113</v>
      </c>
      <c r="D1245" s="12" t="s">
        <v>114</v>
      </c>
      <c r="E1245" s="12" t="s">
        <v>126</v>
      </c>
      <c r="F1245" s="12" t="s">
        <v>66</v>
      </c>
      <c r="G1245" s="12" t="s">
        <v>85</v>
      </c>
      <c r="H1245" s="12">
        <v>2927408</v>
      </c>
      <c r="I1245" s="13">
        <v>45919.012951388897</v>
      </c>
      <c r="J1245" s="12" t="s">
        <v>127</v>
      </c>
      <c r="K1245" s="12" t="s">
        <v>132</v>
      </c>
      <c r="L1245" s="14">
        <v>0.66600000000000004</v>
      </c>
      <c r="M1245" s="14">
        <f t="shared" si="19"/>
        <v>0.66600000000000004</v>
      </c>
      <c r="N1245" s="7" t="s">
        <v>1350</v>
      </c>
      <c r="O1245" s="12"/>
      <c r="P1245" s="12" t="s">
        <v>130</v>
      </c>
    </row>
    <row r="1246" spans="1:16" ht="23.25" hidden="1" customHeight="1" x14ac:dyDescent="0.35">
      <c r="A1246" s="12">
        <v>7253</v>
      </c>
      <c r="B1246" s="12" t="s">
        <v>100</v>
      </c>
      <c r="C1246" s="12" t="s">
        <v>113</v>
      </c>
      <c r="D1246" s="12" t="s">
        <v>114</v>
      </c>
      <c r="E1246" s="12" t="s">
        <v>131</v>
      </c>
      <c r="F1246" s="12" t="s">
        <v>66</v>
      </c>
      <c r="G1246" s="12" t="s">
        <v>85</v>
      </c>
      <c r="H1246" s="12">
        <v>2927408</v>
      </c>
      <c r="I1246" s="13">
        <v>45919.012951388897</v>
      </c>
      <c r="J1246" s="12" t="s">
        <v>127</v>
      </c>
      <c r="K1246" s="12" t="s">
        <v>135</v>
      </c>
      <c r="L1246" s="14"/>
      <c r="M1246" s="14">
        <f t="shared" si="19"/>
        <v>0</v>
      </c>
      <c r="N1246" s="7" t="s">
        <v>1351</v>
      </c>
      <c r="O1246" s="12"/>
      <c r="P1246" s="12" t="s">
        <v>130</v>
      </c>
    </row>
    <row r="1247" spans="1:16" ht="15" hidden="1" customHeight="1" x14ac:dyDescent="0.35">
      <c r="A1247" s="12">
        <v>7233</v>
      </c>
      <c r="B1247" s="12" t="s">
        <v>100</v>
      </c>
      <c r="C1247" s="12" t="s">
        <v>113</v>
      </c>
      <c r="D1247" s="12" t="s">
        <v>114</v>
      </c>
      <c r="E1247" s="12" t="s">
        <v>134</v>
      </c>
      <c r="F1247" s="12" t="s">
        <v>66</v>
      </c>
      <c r="G1247" s="12" t="s">
        <v>85</v>
      </c>
      <c r="H1247" s="12">
        <v>2927408</v>
      </c>
      <c r="I1247" s="13">
        <v>45919.012951388897</v>
      </c>
      <c r="J1247" s="12" t="s">
        <v>127</v>
      </c>
      <c r="K1247" s="12" t="s">
        <v>688</v>
      </c>
      <c r="L1247" s="14"/>
      <c r="M1247" s="14" t="str">
        <f t="shared" si="19"/>
        <v/>
      </c>
      <c r="N1247" s="7" t="s">
        <v>1352</v>
      </c>
      <c r="O1247" s="12"/>
      <c r="P1247" s="12" t="s">
        <v>130</v>
      </c>
    </row>
    <row r="1248" spans="1:16" ht="79.5" hidden="1" customHeight="1" x14ac:dyDescent="0.35">
      <c r="A1248" s="12">
        <v>1657</v>
      </c>
      <c r="B1248" s="12" t="s">
        <v>100</v>
      </c>
      <c r="C1248" s="12" t="s">
        <v>101</v>
      </c>
      <c r="D1248" s="12" t="s">
        <v>102</v>
      </c>
      <c r="E1248" s="12" t="s">
        <v>126</v>
      </c>
      <c r="F1248" s="12" t="s">
        <v>39</v>
      </c>
      <c r="G1248" s="12" t="s">
        <v>62</v>
      </c>
      <c r="H1248" s="12">
        <v>42</v>
      </c>
      <c r="I1248" s="13">
        <v>45910.594305555598</v>
      </c>
      <c r="J1248" s="12" t="s">
        <v>127</v>
      </c>
      <c r="K1248" s="12" t="s">
        <v>128</v>
      </c>
      <c r="L1248" s="14">
        <v>1</v>
      </c>
      <c r="M1248" s="14">
        <f t="shared" si="19"/>
        <v>1</v>
      </c>
      <c r="N1248" s="7" t="s">
        <v>1353</v>
      </c>
      <c r="O1248" s="12"/>
      <c r="P1248" s="12"/>
    </row>
    <row r="1249" spans="1:16" ht="236.25" hidden="1" customHeight="1" x14ac:dyDescent="0.35">
      <c r="A1249" s="12">
        <v>6333</v>
      </c>
      <c r="B1249" s="12" t="s">
        <v>100</v>
      </c>
      <c r="C1249" s="12" t="s">
        <v>101</v>
      </c>
      <c r="D1249" s="12" t="s">
        <v>102</v>
      </c>
      <c r="E1249" s="12" t="s">
        <v>131</v>
      </c>
      <c r="F1249" s="12" t="s">
        <v>39</v>
      </c>
      <c r="G1249" s="12" t="s">
        <v>62</v>
      </c>
      <c r="H1249" s="12">
        <v>42</v>
      </c>
      <c r="I1249" s="13">
        <v>45910.594305555598</v>
      </c>
      <c r="J1249" s="12" t="s">
        <v>127</v>
      </c>
      <c r="K1249" s="12" t="s">
        <v>128</v>
      </c>
      <c r="L1249" s="14">
        <v>1</v>
      </c>
      <c r="M1249" s="14">
        <f t="shared" si="19"/>
        <v>1</v>
      </c>
      <c r="N1249" s="7" t="s">
        <v>1354</v>
      </c>
      <c r="O1249" s="12"/>
      <c r="P1249" s="12" t="s">
        <v>130</v>
      </c>
    </row>
    <row r="1250" spans="1:16" ht="213.75" hidden="1" customHeight="1" x14ac:dyDescent="0.35">
      <c r="A1250" s="12">
        <v>6335</v>
      </c>
      <c r="B1250" s="12" t="s">
        <v>100</v>
      </c>
      <c r="C1250" s="12" t="s">
        <v>101</v>
      </c>
      <c r="D1250" s="12" t="s">
        <v>102</v>
      </c>
      <c r="E1250" s="12" t="s">
        <v>134</v>
      </c>
      <c r="F1250" s="12" t="s">
        <v>39</v>
      </c>
      <c r="G1250" s="12" t="s">
        <v>62</v>
      </c>
      <c r="H1250" s="12">
        <v>42</v>
      </c>
      <c r="I1250" s="13">
        <v>45910.594305555598</v>
      </c>
      <c r="J1250" s="12" t="s">
        <v>127</v>
      </c>
      <c r="K1250" s="12" t="s">
        <v>132</v>
      </c>
      <c r="L1250" s="14">
        <v>0.66600000000000004</v>
      </c>
      <c r="M1250" s="14">
        <f t="shared" si="19"/>
        <v>0.66600000000000004</v>
      </c>
      <c r="N1250" s="7" t="s">
        <v>1355</v>
      </c>
      <c r="O1250" s="12"/>
      <c r="P1250" s="12"/>
    </row>
    <row r="1251" spans="1:16" ht="147" hidden="1" customHeight="1" x14ac:dyDescent="0.35">
      <c r="A1251" s="12">
        <v>6342</v>
      </c>
      <c r="B1251" s="12" t="s">
        <v>100</v>
      </c>
      <c r="C1251" s="12" t="s">
        <v>103</v>
      </c>
      <c r="D1251" s="12" t="s">
        <v>104</v>
      </c>
      <c r="E1251" s="12" t="s">
        <v>126</v>
      </c>
      <c r="F1251" s="12" t="s">
        <v>39</v>
      </c>
      <c r="G1251" s="12" t="s">
        <v>62</v>
      </c>
      <c r="H1251" s="12">
        <v>42</v>
      </c>
      <c r="I1251" s="13">
        <v>45910.594305555598</v>
      </c>
      <c r="J1251" s="12" t="s">
        <v>127</v>
      </c>
      <c r="K1251" s="12" t="s">
        <v>132</v>
      </c>
      <c r="L1251" s="14">
        <v>0.66600000000000004</v>
      </c>
      <c r="M1251" s="14">
        <f t="shared" si="19"/>
        <v>0.66600000000000004</v>
      </c>
      <c r="N1251" s="7" t="s">
        <v>1356</v>
      </c>
      <c r="O1251" s="12"/>
      <c r="P1251" s="12" t="s">
        <v>130</v>
      </c>
    </row>
    <row r="1252" spans="1:16" ht="180" hidden="1" customHeight="1" x14ac:dyDescent="0.35">
      <c r="A1252" s="12">
        <v>6361</v>
      </c>
      <c r="B1252" s="12" t="s">
        <v>100</v>
      </c>
      <c r="C1252" s="12" t="s">
        <v>103</v>
      </c>
      <c r="D1252" s="12" t="s">
        <v>104</v>
      </c>
      <c r="E1252" s="12" t="s">
        <v>131</v>
      </c>
      <c r="F1252" s="12" t="s">
        <v>39</v>
      </c>
      <c r="G1252" s="12" t="s">
        <v>62</v>
      </c>
      <c r="H1252" s="12">
        <v>42</v>
      </c>
      <c r="I1252" s="13">
        <v>45910.594305555598</v>
      </c>
      <c r="J1252" s="12" t="s">
        <v>127</v>
      </c>
      <c r="K1252" s="12" t="s">
        <v>128</v>
      </c>
      <c r="L1252" s="14">
        <v>1</v>
      </c>
      <c r="M1252" s="14">
        <f t="shared" si="19"/>
        <v>1</v>
      </c>
      <c r="N1252" s="7" t="s">
        <v>1357</v>
      </c>
      <c r="O1252" s="12"/>
      <c r="P1252" s="12" t="s">
        <v>130</v>
      </c>
    </row>
    <row r="1253" spans="1:16" ht="236.25" hidden="1" customHeight="1" x14ac:dyDescent="0.35">
      <c r="A1253" s="12">
        <v>6344</v>
      </c>
      <c r="B1253" s="12" t="s">
        <v>100</v>
      </c>
      <c r="C1253" s="12" t="s">
        <v>103</v>
      </c>
      <c r="D1253" s="12" t="s">
        <v>104</v>
      </c>
      <c r="E1253" s="12" t="s">
        <v>134</v>
      </c>
      <c r="F1253" s="12" t="s">
        <v>39</v>
      </c>
      <c r="G1253" s="12" t="s">
        <v>62</v>
      </c>
      <c r="H1253" s="12">
        <v>42</v>
      </c>
      <c r="I1253" s="13">
        <v>45910.594305555598</v>
      </c>
      <c r="J1253" s="12" t="s">
        <v>127</v>
      </c>
      <c r="K1253" s="12" t="s">
        <v>128</v>
      </c>
      <c r="L1253" s="14">
        <v>1</v>
      </c>
      <c r="M1253" s="14">
        <f t="shared" si="19"/>
        <v>1</v>
      </c>
      <c r="N1253" s="7" t="s">
        <v>1358</v>
      </c>
      <c r="O1253" s="12"/>
      <c r="P1253" s="12" t="s">
        <v>130</v>
      </c>
    </row>
    <row r="1254" spans="1:16" ht="191.25" hidden="1" customHeight="1" x14ac:dyDescent="0.35">
      <c r="A1254" s="12">
        <v>6347</v>
      </c>
      <c r="B1254" s="12" t="s">
        <v>100</v>
      </c>
      <c r="C1254" s="12" t="s">
        <v>105</v>
      </c>
      <c r="D1254" s="12" t="s">
        <v>106</v>
      </c>
      <c r="E1254" s="12" t="s">
        <v>126</v>
      </c>
      <c r="F1254" s="12" t="s">
        <v>39</v>
      </c>
      <c r="G1254" s="12" t="s">
        <v>62</v>
      </c>
      <c r="H1254" s="12">
        <v>42</v>
      </c>
      <c r="I1254" s="13">
        <v>45910.594305555598</v>
      </c>
      <c r="J1254" s="12" t="s">
        <v>127</v>
      </c>
      <c r="K1254" s="12" t="s">
        <v>132</v>
      </c>
      <c r="L1254" s="14">
        <v>0.66600000000000004</v>
      </c>
      <c r="M1254" s="14">
        <f t="shared" si="19"/>
        <v>0.66600000000000004</v>
      </c>
      <c r="N1254" s="7" t="s">
        <v>1359</v>
      </c>
      <c r="O1254" s="12"/>
      <c r="P1254" s="12" t="s">
        <v>130</v>
      </c>
    </row>
    <row r="1255" spans="1:16" ht="147" hidden="1" customHeight="1" x14ac:dyDescent="0.35">
      <c r="A1255" s="12">
        <v>6348</v>
      </c>
      <c r="B1255" s="12" t="s">
        <v>100</v>
      </c>
      <c r="C1255" s="12" t="s">
        <v>105</v>
      </c>
      <c r="D1255" s="12" t="s">
        <v>106</v>
      </c>
      <c r="E1255" s="12" t="s">
        <v>131</v>
      </c>
      <c r="F1255" s="12" t="s">
        <v>39</v>
      </c>
      <c r="G1255" s="12" t="s">
        <v>62</v>
      </c>
      <c r="H1255" s="12">
        <v>42</v>
      </c>
      <c r="I1255" s="13">
        <v>45910.594305555598</v>
      </c>
      <c r="J1255" s="12" t="s">
        <v>127</v>
      </c>
      <c r="K1255" s="12" t="s">
        <v>128</v>
      </c>
      <c r="L1255" s="14">
        <v>1</v>
      </c>
      <c r="M1255" s="14">
        <f t="shared" si="19"/>
        <v>1</v>
      </c>
      <c r="N1255" s="7" t="s">
        <v>1360</v>
      </c>
      <c r="O1255" s="12"/>
      <c r="P1255" s="12" t="s">
        <v>130</v>
      </c>
    </row>
    <row r="1256" spans="1:16" ht="180" hidden="1" customHeight="1" x14ac:dyDescent="0.35">
      <c r="A1256" s="12">
        <v>6469</v>
      </c>
      <c r="B1256" s="12" t="s">
        <v>100</v>
      </c>
      <c r="C1256" s="12" t="s">
        <v>107</v>
      </c>
      <c r="D1256" s="12" t="s">
        <v>108</v>
      </c>
      <c r="E1256" s="12" t="s">
        <v>126</v>
      </c>
      <c r="F1256" s="12" t="s">
        <v>39</v>
      </c>
      <c r="G1256" s="12" t="s">
        <v>62</v>
      </c>
      <c r="H1256" s="12">
        <v>42</v>
      </c>
      <c r="I1256" s="13">
        <v>45910.594305555598</v>
      </c>
      <c r="J1256" s="12" t="s">
        <v>127</v>
      </c>
      <c r="K1256" s="12" t="s">
        <v>132</v>
      </c>
      <c r="L1256" s="14">
        <v>0.66600000000000004</v>
      </c>
      <c r="M1256" s="14">
        <f t="shared" si="19"/>
        <v>0.66600000000000004</v>
      </c>
      <c r="N1256" s="7" t="s">
        <v>1361</v>
      </c>
      <c r="O1256" s="12"/>
      <c r="P1256" s="12" t="s">
        <v>130</v>
      </c>
    </row>
    <row r="1257" spans="1:16" ht="147" hidden="1" customHeight="1" x14ac:dyDescent="0.35">
      <c r="A1257" s="12">
        <v>6535</v>
      </c>
      <c r="B1257" s="12" t="s">
        <v>100</v>
      </c>
      <c r="C1257" s="12" t="s">
        <v>107</v>
      </c>
      <c r="D1257" s="12" t="s">
        <v>108</v>
      </c>
      <c r="E1257" s="12" t="s">
        <v>131</v>
      </c>
      <c r="F1257" s="12" t="s">
        <v>39</v>
      </c>
      <c r="G1257" s="12" t="s">
        <v>62</v>
      </c>
      <c r="H1257" s="12">
        <v>42</v>
      </c>
      <c r="I1257" s="13">
        <v>45910.594305555598</v>
      </c>
      <c r="J1257" s="12" t="s">
        <v>127</v>
      </c>
      <c r="K1257" s="12" t="s">
        <v>128</v>
      </c>
      <c r="L1257" s="14">
        <v>1</v>
      </c>
      <c r="M1257" s="14">
        <f t="shared" si="19"/>
        <v>1</v>
      </c>
      <c r="N1257" s="7" t="s">
        <v>1362</v>
      </c>
      <c r="O1257" s="12"/>
      <c r="P1257" s="12" t="s">
        <v>130</v>
      </c>
    </row>
    <row r="1258" spans="1:16" ht="168.75" hidden="1" customHeight="1" x14ac:dyDescent="0.35">
      <c r="A1258" s="12">
        <v>6536</v>
      </c>
      <c r="B1258" s="12" t="s">
        <v>100</v>
      </c>
      <c r="C1258" s="12" t="s">
        <v>107</v>
      </c>
      <c r="D1258" s="12" t="s">
        <v>108</v>
      </c>
      <c r="E1258" s="12" t="s">
        <v>134</v>
      </c>
      <c r="F1258" s="12" t="s">
        <v>39</v>
      </c>
      <c r="G1258" s="12" t="s">
        <v>62</v>
      </c>
      <c r="H1258" s="12">
        <v>42</v>
      </c>
      <c r="I1258" s="13">
        <v>45910.594305555598</v>
      </c>
      <c r="J1258" s="12" t="s">
        <v>127</v>
      </c>
      <c r="K1258" s="12" t="s">
        <v>128</v>
      </c>
      <c r="L1258" s="14">
        <v>1</v>
      </c>
      <c r="M1258" s="14">
        <f t="shared" si="19"/>
        <v>1</v>
      </c>
      <c r="N1258" s="7" t="s">
        <v>1363</v>
      </c>
      <c r="O1258" s="12"/>
      <c r="P1258" s="12" t="s">
        <v>130</v>
      </c>
    </row>
    <row r="1259" spans="1:16" ht="168.75" hidden="1" customHeight="1" x14ac:dyDescent="0.35">
      <c r="A1259" s="12">
        <v>6562</v>
      </c>
      <c r="B1259" s="12" t="s">
        <v>100</v>
      </c>
      <c r="C1259" s="12" t="s">
        <v>109</v>
      </c>
      <c r="D1259" s="12" t="s">
        <v>110</v>
      </c>
      <c r="E1259" s="12" t="s">
        <v>126</v>
      </c>
      <c r="F1259" s="12" t="s">
        <v>39</v>
      </c>
      <c r="G1259" s="12" t="s">
        <v>62</v>
      </c>
      <c r="H1259" s="12">
        <v>42</v>
      </c>
      <c r="I1259" s="13">
        <v>45910.594305555598</v>
      </c>
      <c r="J1259" s="12" t="s">
        <v>127</v>
      </c>
      <c r="K1259" s="12" t="s">
        <v>132</v>
      </c>
      <c r="L1259" s="14">
        <v>0.66600000000000004</v>
      </c>
      <c r="M1259" s="14">
        <f t="shared" si="19"/>
        <v>0.66600000000000004</v>
      </c>
      <c r="N1259" s="7" t="s">
        <v>1364</v>
      </c>
      <c r="O1259" s="12"/>
      <c r="P1259" s="12" t="s">
        <v>130</v>
      </c>
    </row>
    <row r="1260" spans="1:16" ht="124.5" hidden="1" customHeight="1" x14ac:dyDescent="0.35">
      <c r="A1260" s="12">
        <v>6540</v>
      </c>
      <c r="B1260" s="12" t="s">
        <v>100</v>
      </c>
      <c r="C1260" s="12" t="s">
        <v>109</v>
      </c>
      <c r="D1260" s="12" t="s">
        <v>110</v>
      </c>
      <c r="E1260" s="12" t="s">
        <v>131</v>
      </c>
      <c r="F1260" s="12" t="s">
        <v>39</v>
      </c>
      <c r="G1260" s="12" t="s">
        <v>62</v>
      </c>
      <c r="H1260" s="12">
        <v>42</v>
      </c>
      <c r="I1260" s="13">
        <v>45910.594305555598</v>
      </c>
      <c r="J1260" s="12" t="s">
        <v>127</v>
      </c>
      <c r="K1260" s="12" t="s">
        <v>128</v>
      </c>
      <c r="L1260" s="14">
        <v>1</v>
      </c>
      <c r="M1260" s="14">
        <f t="shared" si="19"/>
        <v>1</v>
      </c>
      <c r="N1260" s="7" t="s">
        <v>1365</v>
      </c>
      <c r="O1260" s="12"/>
      <c r="P1260" s="12" t="s">
        <v>130</v>
      </c>
    </row>
    <row r="1261" spans="1:16" ht="180" hidden="1" customHeight="1" x14ac:dyDescent="0.35">
      <c r="A1261" s="12">
        <v>6582</v>
      </c>
      <c r="B1261" s="12" t="s">
        <v>100</v>
      </c>
      <c r="C1261" s="12" t="s">
        <v>111</v>
      </c>
      <c r="D1261" s="12" t="s">
        <v>112</v>
      </c>
      <c r="E1261" s="12" t="s">
        <v>126</v>
      </c>
      <c r="F1261" s="12" t="s">
        <v>39</v>
      </c>
      <c r="G1261" s="12" t="s">
        <v>62</v>
      </c>
      <c r="H1261" s="12">
        <v>42</v>
      </c>
      <c r="I1261" s="13">
        <v>45910.594305555598</v>
      </c>
      <c r="J1261" s="12" t="s">
        <v>127</v>
      </c>
      <c r="K1261" s="12" t="s">
        <v>142</v>
      </c>
      <c r="L1261" s="14">
        <v>0.33300000000000002</v>
      </c>
      <c r="M1261" s="14">
        <f t="shared" si="19"/>
        <v>0.33300000000000002</v>
      </c>
      <c r="N1261" s="7" t="s">
        <v>1366</v>
      </c>
      <c r="O1261" s="12"/>
      <c r="P1261" s="12" t="s">
        <v>130</v>
      </c>
    </row>
    <row r="1262" spans="1:16" ht="147" hidden="1" customHeight="1" x14ac:dyDescent="0.35">
      <c r="A1262" s="12">
        <v>6583</v>
      </c>
      <c r="B1262" s="12" t="s">
        <v>100</v>
      </c>
      <c r="C1262" s="12" t="s">
        <v>111</v>
      </c>
      <c r="D1262" s="12" t="s">
        <v>112</v>
      </c>
      <c r="E1262" s="12" t="s">
        <v>131</v>
      </c>
      <c r="F1262" s="12" t="s">
        <v>39</v>
      </c>
      <c r="G1262" s="12" t="s">
        <v>62</v>
      </c>
      <c r="H1262" s="12">
        <v>42</v>
      </c>
      <c r="I1262" s="13">
        <v>45910.594305555598</v>
      </c>
      <c r="J1262" s="12" t="s">
        <v>127</v>
      </c>
      <c r="K1262" s="12" t="s">
        <v>142</v>
      </c>
      <c r="L1262" s="14">
        <v>0.33300000000000002</v>
      </c>
      <c r="M1262" s="14">
        <f t="shared" si="19"/>
        <v>0.33300000000000002</v>
      </c>
      <c r="N1262" s="7" t="s">
        <v>1367</v>
      </c>
      <c r="O1262" s="12"/>
      <c r="P1262" s="12" t="s">
        <v>130</v>
      </c>
    </row>
    <row r="1263" spans="1:16" ht="180" hidden="1" customHeight="1" x14ac:dyDescent="0.35">
      <c r="A1263" s="12">
        <v>6601</v>
      </c>
      <c r="B1263" s="12" t="s">
        <v>100</v>
      </c>
      <c r="C1263" s="12" t="s">
        <v>111</v>
      </c>
      <c r="D1263" s="12" t="s">
        <v>112</v>
      </c>
      <c r="E1263" s="12" t="s">
        <v>134</v>
      </c>
      <c r="F1263" s="12" t="s">
        <v>39</v>
      </c>
      <c r="G1263" s="12" t="s">
        <v>62</v>
      </c>
      <c r="H1263" s="12">
        <v>42</v>
      </c>
      <c r="I1263" s="13">
        <v>45910.594305555598</v>
      </c>
      <c r="J1263" s="12" t="s">
        <v>127</v>
      </c>
      <c r="K1263" s="12" t="s">
        <v>135</v>
      </c>
      <c r="L1263" s="14"/>
      <c r="M1263" s="14">
        <f t="shared" si="19"/>
        <v>0</v>
      </c>
      <c r="N1263" s="7" t="s">
        <v>1368</v>
      </c>
      <c r="O1263" s="12"/>
      <c r="P1263" s="12" t="s">
        <v>130</v>
      </c>
    </row>
    <row r="1264" spans="1:16" ht="147" hidden="1" customHeight="1" x14ac:dyDescent="0.35">
      <c r="A1264" s="12">
        <v>6565</v>
      </c>
      <c r="B1264" s="12" t="s">
        <v>100</v>
      </c>
      <c r="C1264" s="12" t="s">
        <v>113</v>
      </c>
      <c r="D1264" s="12" t="s">
        <v>114</v>
      </c>
      <c r="E1264" s="12" t="s">
        <v>126</v>
      </c>
      <c r="F1264" s="12" t="s">
        <v>39</v>
      </c>
      <c r="G1264" s="12" t="s">
        <v>62</v>
      </c>
      <c r="H1264" s="12">
        <v>42</v>
      </c>
      <c r="I1264" s="13">
        <v>45910.594305555598</v>
      </c>
      <c r="J1264" s="12" t="s">
        <v>127</v>
      </c>
      <c r="K1264" s="12" t="s">
        <v>128</v>
      </c>
      <c r="L1264" s="14">
        <v>1</v>
      </c>
      <c r="M1264" s="14">
        <f t="shared" si="19"/>
        <v>1</v>
      </c>
      <c r="N1264" s="7" t="s">
        <v>1369</v>
      </c>
      <c r="O1264" s="12"/>
      <c r="P1264" s="12" t="s">
        <v>130</v>
      </c>
    </row>
    <row r="1265" spans="1:16" ht="135.75" hidden="1" customHeight="1" x14ac:dyDescent="0.35">
      <c r="A1265" s="12">
        <v>6602</v>
      </c>
      <c r="B1265" s="12" t="s">
        <v>100</v>
      </c>
      <c r="C1265" s="12" t="s">
        <v>113</v>
      </c>
      <c r="D1265" s="12" t="s">
        <v>114</v>
      </c>
      <c r="E1265" s="12" t="s">
        <v>131</v>
      </c>
      <c r="F1265" s="12" t="s">
        <v>39</v>
      </c>
      <c r="G1265" s="12" t="s">
        <v>62</v>
      </c>
      <c r="H1265" s="12">
        <v>42</v>
      </c>
      <c r="I1265" s="13">
        <v>45910.594305555598</v>
      </c>
      <c r="J1265" s="12" t="s">
        <v>127</v>
      </c>
      <c r="K1265" s="12" t="s">
        <v>132</v>
      </c>
      <c r="L1265" s="14">
        <v>0.66600000000000004</v>
      </c>
      <c r="M1265" s="14">
        <f t="shared" si="19"/>
        <v>0.66600000000000004</v>
      </c>
      <c r="N1265" s="7" t="s">
        <v>1370</v>
      </c>
      <c r="O1265" s="12"/>
      <c r="P1265" s="12" t="s">
        <v>130</v>
      </c>
    </row>
    <row r="1266" spans="1:16" ht="180" hidden="1" customHeight="1" x14ac:dyDescent="0.35">
      <c r="A1266" s="12">
        <v>6567</v>
      </c>
      <c r="B1266" s="12" t="s">
        <v>100</v>
      </c>
      <c r="C1266" s="12" t="s">
        <v>113</v>
      </c>
      <c r="D1266" s="12" t="s">
        <v>114</v>
      </c>
      <c r="E1266" s="12" t="s">
        <v>134</v>
      </c>
      <c r="F1266" s="12" t="s">
        <v>39</v>
      </c>
      <c r="G1266" s="12" t="s">
        <v>62</v>
      </c>
      <c r="H1266" s="12">
        <v>42</v>
      </c>
      <c r="I1266" s="13">
        <v>45910.594305555598</v>
      </c>
      <c r="J1266" s="12" t="s">
        <v>127</v>
      </c>
      <c r="K1266" s="12" t="s">
        <v>135</v>
      </c>
      <c r="L1266" s="14"/>
      <c r="M1266" s="14">
        <f t="shared" si="19"/>
        <v>0</v>
      </c>
      <c r="N1266" s="7" t="s">
        <v>1371</v>
      </c>
      <c r="O1266" s="12"/>
      <c r="P1266" s="12" t="s">
        <v>130</v>
      </c>
    </row>
    <row r="1267" spans="1:16" ht="34.5" hidden="1" customHeight="1" x14ac:dyDescent="0.35">
      <c r="A1267" s="12">
        <v>5421</v>
      </c>
      <c r="B1267" s="12" t="s">
        <v>100</v>
      </c>
      <c r="C1267" s="12" t="s">
        <v>101</v>
      </c>
      <c r="D1267" s="12" t="s">
        <v>102</v>
      </c>
      <c r="E1267" s="12" t="s">
        <v>126</v>
      </c>
      <c r="F1267" s="12" t="s">
        <v>39</v>
      </c>
      <c r="G1267" s="12" t="s">
        <v>63</v>
      </c>
      <c r="H1267" s="12">
        <v>28</v>
      </c>
      <c r="I1267" s="13">
        <v>45932.569618055597</v>
      </c>
      <c r="J1267" s="12" t="s">
        <v>127</v>
      </c>
      <c r="K1267" s="12" t="s">
        <v>128</v>
      </c>
      <c r="L1267" s="14">
        <v>1</v>
      </c>
      <c r="M1267" s="14">
        <f t="shared" si="19"/>
        <v>1</v>
      </c>
      <c r="N1267" s="7" t="s">
        <v>1372</v>
      </c>
      <c r="O1267" s="12"/>
      <c r="P1267" s="12" t="s">
        <v>130</v>
      </c>
    </row>
    <row r="1268" spans="1:16" ht="57" hidden="1" customHeight="1" x14ac:dyDescent="0.35">
      <c r="A1268" s="12">
        <v>5441</v>
      </c>
      <c r="B1268" s="12" t="s">
        <v>100</v>
      </c>
      <c r="C1268" s="12" t="s">
        <v>101</v>
      </c>
      <c r="D1268" s="12" t="s">
        <v>102</v>
      </c>
      <c r="E1268" s="12" t="s">
        <v>131</v>
      </c>
      <c r="F1268" s="12" t="s">
        <v>39</v>
      </c>
      <c r="G1268" s="12" t="s">
        <v>63</v>
      </c>
      <c r="H1268" s="12">
        <v>28</v>
      </c>
      <c r="I1268" s="13">
        <v>45932.569618055597</v>
      </c>
      <c r="J1268" s="12" t="s">
        <v>127</v>
      </c>
      <c r="K1268" s="12" t="s">
        <v>128</v>
      </c>
      <c r="L1268" s="14">
        <v>1</v>
      </c>
      <c r="M1268" s="14">
        <f t="shared" si="19"/>
        <v>1</v>
      </c>
      <c r="N1268" s="7" t="s">
        <v>1373</v>
      </c>
      <c r="O1268" s="12"/>
      <c r="P1268" s="12" t="s">
        <v>130</v>
      </c>
    </row>
    <row r="1269" spans="1:16" ht="34.5" hidden="1" customHeight="1" x14ac:dyDescent="0.35">
      <c r="A1269" s="12">
        <v>5450</v>
      </c>
      <c r="B1269" s="12" t="s">
        <v>100</v>
      </c>
      <c r="C1269" s="12" t="s">
        <v>101</v>
      </c>
      <c r="D1269" s="12" t="s">
        <v>102</v>
      </c>
      <c r="E1269" s="12" t="s">
        <v>134</v>
      </c>
      <c r="F1269" s="12" t="s">
        <v>39</v>
      </c>
      <c r="G1269" s="12" t="s">
        <v>63</v>
      </c>
      <c r="H1269" s="12">
        <v>28</v>
      </c>
      <c r="I1269" s="13">
        <v>45932.569618055597</v>
      </c>
      <c r="J1269" s="12" t="s">
        <v>127</v>
      </c>
      <c r="K1269" s="12" t="s">
        <v>142</v>
      </c>
      <c r="L1269" s="14">
        <v>0.33300000000000002</v>
      </c>
      <c r="M1269" s="14">
        <f t="shared" si="19"/>
        <v>0.33300000000000002</v>
      </c>
      <c r="N1269" s="7" t="s">
        <v>1374</v>
      </c>
      <c r="O1269" s="12"/>
      <c r="P1269" s="12" t="s">
        <v>130</v>
      </c>
    </row>
    <row r="1270" spans="1:16" ht="45.75" hidden="1" customHeight="1" x14ac:dyDescent="0.35">
      <c r="A1270" s="12">
        <v>5451</v>
      </c>
      <c r="B1270" s="12" t="s">
        <v>100</v>
      </c>
      <c r="C1270" s="12" t="s">
        <v>103</v>
      </c>
      <c r="D1270" s="12" t="s">
        <v>104</v>
      </c>
      <c r="E1270" s="12" t="s">
        <v>126</v>
      </c>
      <c r="F1270" s="12" t="s">
        <v>39</v>
      </c>
      <c r="G1270" s="12" t="s">
        <v>63</v>
      </c>
      <c r="H1270" s="12">
        <v>28</v>
      </c>
      <c r="I1270" s="13">
        <v>45932.569618055597</v>
      </c>
      <c r="J1270" s="12" t="s">
        <v>127</v>
      </c>
      <c r="K1270" s="12" t="s">
        <v>128</v>
      </c>
      <c r="L1270" s="14">
        <v>1</v>
      </c>
      <c r="M1270" s="14">
        <f t="shared" si="19"/>
        <v>1</v>
      </c>
      <c r="N1270" s="7" t="s">
        <v>1375</v>
      </c>
      <c r="O1270" s="12"/>
      <c r="P1270" s="12" t="s">
        <v>130</v>
      </c>
    </row>
    <row r="1271" spans="1:16" ht="68.25" hidden="1" customHeight="1" x14ac:dyDescent="0.35">
      <c r="A1271" s="12">
        <v>5561</v>
      </c>
      <c r="B1271" s="12" t="s">
        <v>100</v>
      </c>
      <c r="C1271" s="12" t="s">
        <v>103</v>
      </c>
      <c r="D1271" s="12" t="s">
        <v>104</v>
      </c>
      <c r="E1271" s="12" t="s">
        <v>131</v>
      </c>
      <c r="F1271" s="12" t="s">
        <v>39</v>
      </c>
      <c r="G1271" s="12" t="s">
        <v>63</v>
      </c>
      <c r="H1271" s="12">
        <v>28</v>
      </c>
      <c r="I1271" s="13">
        <v>45932.569618055597</v>
      </c>
      <c r="J1271" s="12" t="s">
        <v>127</v>
      </c>
      <c r="K1271" s="12" t="s">
        <v>128</v>
      </c>
      <c r="L1271" s="14">
        <v>1</v>
      </c>
      <c r="M1271" s="14">
        <f t="shared" si="19"/>
        <v>1</v>
      </c>
      <c r="N1271" s="7" t="s">
        <v>1376</v>
      </c>
      <c r="O1271" s="12"/>
      <c r="P1271" s="12" t="s">
        <v>130</v>
      </c>
    </row>
    <row r="1272" spans="1:16" ht="90.75" hidden="1" customHeight="1" x14ac:dyDescent="0.35">
      <c r="A1272" s="12">
        <v>5581</v>
      </c>
      <c r="B1272" s="12" t="s">
        <v>100</v>
      </c>
      <c r="C1272" s="12" t="s">
        <v>103</v>
      </c>
      <c r="D1272" s="12" t="s">
        <v>104</v>
      </c>
      <c r="E1272" s="12" t="s">
        <v>134</v>
      </c>
      <c r="F1272" s="12" t="s">
        <v>39</v>
      </c>
      <c r="G1272" s="12" t="s">
        <v>63</v>
      </c>
      <c r="H1272" s="12">
        <v>28</v>
      </c>
      <c r="I1272" s="13">
        <v>45932.569618055597</v>
      </c>
      <c r="J1272" s="12" t="s">
        <v>127</v>
      </c>
      <c r="K1272" s="12" t="s">
        <v>132</v>
      </c>
      <c r="L1272" s="14">
        <v>0.66600000000000004</v>
      </c>
      <c r="M1272" s="14">
        <f t="shared" si="19"/>
        <v>0.66600000000000004</v>
      </c>
      <c r="N1272" s="7" t="s">
        <v>1377</v>
      </c>
      <c r="O1272" s="12"/>
      <c r="P1272" s="12" t="s">
        <v>130</v>
      </c>
    </row>
    <row r="1273" spans="1:16" ht="34.5" hidden="1" customHeight="1" x14ac:dyDescent="0.35">
      <c r="A1273" s="12">
        <v>5584</v>
      </c>
      <c r="B1273" s="12" t="s">
        <v>100</v>
      </c>
      <c r="C1273" s="12" t="s">
        <v>105</v>
      </c>
      <c r="D1273" s="12" t="s">
        <v>106</v>
      </c>
      <c r="E1273" s="12" t="s">
        <v>126</v>
      </c>
      <c r="F1273" s="12" t="s">
        <v>39</v>
      </c>
      <c r="G1273" s="12" t="s">
        <v>63</v>
      </c>
      <c r="H1273" s="12">
        <v>28</v>
      </c>
      <c r="I1273" s="13">
        <v>45932.569618055597</v>
      </c>
      <c r="J1273" s="12" t="s">
        <v>127</v>
      </c>
      <c r="K1273" s="12" t="s">
        <v>132</v>
      </c>
      <c r="L1273" s="14">
        <v>0.66600000000000004</v>
      </c>
      <c r="M1273" s="14">
        <f t="shared" si="19"/>
        <v>0.66600000000000004</v>
      </c>
      <c r="N1273" s="7" t="s">
        <v>1378</v>
      </c>
      <c r="O1273" s="12"/>
      <c r="P1273" s="12" t="s">
        <v>130</v>
      </c>
    </row>
    <row r="1274" spans="1:16" ht="34.5" hidden="1" customHeight="1" x14ac:dyDescent="0.35">
      <c r="A1274" s="12">
        <v>5601</v>
      </c>
      <c r="B1274" s="12" t="s">
        <v>100</v>
      </c>
      <c r="C1274" s="12" t="s">
        <v>105</v>
      </c>
      <c r="D1274" s="12" t="s">
        <v>106</v>
      </c>
      <c r="E1274" s="12" t="s">
        <v>131</v>
      </c>
      <c r="F1274" s="12" t="s">
        <v>39</v>
      </c>
      <c r="G1274" s="12" t="s">
        <v>63</v>
      </c>
      <c r="H1274" s="12">
        <v>28</v>
      </c>
      <c r="I1274" s="13">
        <v>45932.569618055597</v>
      </c>
      <c r="J1274" s="12" t="s">
        <v>127</v>
      </c>
      <c r="K1274" s="12" t="s">
        <v>142</v>
      </c>
      <c r="L1274" s="14">
        <v>0.33300000000000002</v>
      </c>
      <c r="M1274" s="14">
        <f t="shared" si="19"/>
        <v>0.33300000000000002</v>
      </c>
      <c r="N1274" s="7" t="s">
        <v>1379</v>
      </c>
      <c r="O1274" s="12"/>
      <c r="P1274" s="12" t="s">
        <v>130</v>
      </c>
    </row>
    <row r="1275" spans="1:16" ht="15" hidden="1" customHeight="1" x14ac:dyDescent="0.35">
      <c r="A1275" s="12">
        <v>5602</v>
      </c>
      <c r="B1275" s="12" t="s">
        <v>100</v>
      </c>
      <c r="C1275" s="12" t="s">
        <v>107</v>
      </c>
      <c r="D1275" s="12" t="s">
        <v>108</v>
      </c>
      <c r="E1275" s="12" t="s">
        <v>126</v>
      </c>
      <c r="F1275" s="12" t="s">
        <v>39</v>
      </c>
      <c r="G1275" s="12" t="s">
        <v>63</v>
      </c>
      <c r="H1275" s="12">
        <v>28</v>
      </c>
      <c r="I1275" s="13">
        <v>45932.569618055597</v>
      </c>
      <c r="J1275" s="12" t="s">
        <v>127</v>
      </c>
      <c r="K1275" s="12" t="s">
        <v>132</v>
      </c>
      <c r="L1275" s="14">
        <v>0.66600000000000004</v>
      </c>
      <c r="M1275" s="14">
        <f t="shared" si="19"/>
        <v>0.66600000000000004</v>
      </c>
      <c r="N1275" s="7" t="s">
        <v>1380</v>
      </c>
      <c r="O1275" s="12"/>
      <c r="P1275" s="12" t="s">
        <v>130</v>
      </c>
    </row>
    <row r="1276" spans="1:16" ht="23.25" hidden="1" customHeight="1" x14ac:dyDescent="0.35">
      <c r="A1276" s="12">
        <v>5564</v>
      </c>
      <c r="B1276" s="12" t="s">
        <v>100</v>
      </c>
      <c r="C1276" s="12" t="s">
        <v>107</v>
      </c>
      <c r="D1276" s="12" t="s">
        <v>108</v>
      </c>
      <c r="E1276" s="12" t="s">
        <v>131</v>
      </c>
      <c r="F1276" s="12" t="s">
        <v>39</v>
      </c>
      <c r="G1276" s="12" t="s">
        <v>63</v>
      </c>
      <c r="H1276" s="12">
        <v>28</v>
      </c>
      <c r="I1276" s="13">
        <v>45932.569618055597</v>
      </c>
      <c r="J1276" s="12" t="s">
        <v>127</v>
      </c>
      <c r="K1276" s="12" t="s">
        <v>142</v>
      </c>
      <c r="L1276" s="14">
        <v>0.33300000000000002</v>
      </c>
      <c r="M1276" s="14">
        <f t="shared" si="19"/>
        <v>0.33300000000000002</v>
      </c>
      <c r="N1276" s="7" t="s">
        <v>1381</v>
      </c>
      <c r="O1276" s="12"/>
      <c r="P1276" s="12" t="s">
        <v>130</v>
      </c>
    </row>
    <row r="1277" spans="1:16" ht="15" hidden="1" customHeight="1" x14ac:dyDescent="0.35">
      <c r="A1277" s="12">
        <v>5604</v>
      </c>
      <c r="B1277" s="12" t="s">
        <v>100</v>
      </c>
      <c r="C1277" s="12" t="s">
        <v>107</v>
      </c>
      <c r="D1277" s="12" t="s">
        <v>108</v>
      </c>
      <c r="E1277" s="12" t="s">
        <v>134</v>
      </c>
      <c r="F1277" s="12" t="s">
        <v>39</v>
      </c>
      <c r="G1277" s="12" t="s">
        <v>63</v>
      </c>
      <c r="H1277" s="12">
        <v>28</v>
      </c>
      <c r="I1277" s="13">
        <v>45932.569618055597</v>
      </c>
      <c r="J1277" s="12" t="s">
        <v>127</v>
      </c>
      <c r="K1277" s="12" t="s">
        <v>142</v>
      </c>
      <c r="L1277" s="14">
        <v>0.33300000000000002</v>
      </c>
      <c r="M1277" s="14">
        <f t="shared" si="19"/>
        <v>0.33300000000000002</v>
      </c>
      <c r="N1277" s="7" t="s">
        <v>1382</v>
      </c>
      <c r="O1277" s="12"/>
      <c r="P1277" s="12" t="s">
        <v>130</v>
      </c>
    </row>
    <row r="1278" spans="1:16" ht="57" hidden="1" customHeight="1" x14ac:dyDescent="0.35">
      <c r="A1278" s="12">
        <v>5642</v>
      </c>
      <c r="B1278" s="12" t="s">
        <v>100</v>
      </c>
      <c r="C1278" s="12" t="s">
        <v>109</v>
      </c>
      <c r="D1278" s="12" t="s">
        <v>110</v>
      </c>
      <c r="E1278" s="12" t="s">
        <v>126</v>
      </c>
      <c r="F1278" s="12" t="s">
        <v>39</v>
      </c>
      <c r="G1278" s="12" t="s">
        <v>63</v>
      </c>
      <c r="H1278" s="12">
        <v>28</v>
      </c>
      <c r="I1278" s="13">
        <v>45932.569618055597</v>
      </c>
      <c r="J1278" s="12" t="s">
        <v>127</v>
      </c>
      <c r="K1278" s="12" t="s">
        <v>142</v>
      </c>
      <c r="L1278" s="14">
        <v>0.33300000000000002</v>
      </c>
      <c r="M1278" s="14">
        <f t="shared" si="19"/>
        <v>0.33300000000000002</v>
      </c>
      <c r="N1278" s="7" t="s">
        <v>1383</v>
      </c>
      <c r="O1278" s="12"/>
      <c r="P1278" s="12" t="s">
        <v>130</v>
      </c>
    </row>
    <row r="1279" spans="1:16" ht="23.25" hidden="1" customHeight="1" x14ac:dyDescent="0.35">
      <c r="A1279" s="12">
        <v>6193</v>
      </c>
      <c r="B1279" s="12" t="s">
        <v>100</v>
      </c>
      <c r="C1279" s="12" t="s">
        <v>109</v>
      </c>
      <c r="D1279" s="12" t="s">
        <v>110</v>
      </c>
      <c r="E1279" s="12" t="s">
        <v>131</v>
      </c>
      <c r="F1279" s="12" t="s">
        <v>39</v>
      </c>
      <c r="G1279" s="12" t="s">
        <v>63</v>
      </c>
      <c r="H1279" s="12">
        <v>28</v>
      </c>
      <c r="I1279" s="13">
        <v>45932.569618055597</v>
      </c>
      <c r="J1279" s="12" t="s">
        <v>127</v>
      </c>
      <c r="K1279" s="12" t="s">
        <v>132</v>
      </c>
      <c r="L1279" s="14">
        <v>0.66600000000000004</v>
      </c>
      <c r="M1279" s="14">
        <f t="shared" si="19"/>
        <v>0.66600000000000004</v>
      </c>
      <c r="N1279" s="7" t="s">
        <v>1384</v>
      </c>
      <c r="O1279" s="12"/>
      <c r="P1279" s="12" t="s">
        <v>130</v>
      </c>
    </row>
    <row r="1280" spans="1:16" ht="68.25" hidden="1" customHeight="1" x14ac:dyDescent="0.35">
      <c r="A1280" s="12">
        <v>6194</v>
      </c>
      <c r="B1280" s="12" t="s">
        <v>100</v>
      </c>
      <c r="C1280" s="12" t="s">
        <v>111</v>
      </c>
      <c r="D1280" s="12" t="s">
        <v>112</v>
      </c>
      <c r="E1280" s="12" t="s">
        <v>126</v>
      </c>
      <c r="F1280" s="12" t="s">
        <v>39</v>
      </c>
      <c r="G1280" s="12" t="s">
        <v>63</v>
      </c>
      <c r="H1280" s="12">
        <v>28</v>
      </c>
      <c r="I1280" s="13">
        <v>45932.569618055597</v>
      </c>
      <c r="J1280" s="12" t="s">
        <v>127</v>
      </c>
      <c r="K1280" s="12" t="s">
        <v>135</v>
      </c>
      <c r="L1280" s="14"/>
      <c r="M1280" s="14">
        <f t="shared" si="19"/>
        <v>0</v>
      </c>
      <c r="N1280" s="7" t="s">
        <v>1385</v>
      </c>
      <c r="O1280" s="12"/>
      <c r="P1280" s="12" t="s">
        <v>130</v>
      </c>
    </row>
    <row r="1281" spans="1:16" ht="34.5" hidden="1" customHeight="1" x14ac:dyDescent="0.35">
      <c r="A1281" s="12">
        <v>6209</v>
      </c>
      <c r="B1281" s="12" t="s">
        <v>100</v>
      </c>
      <c r="C1281" s="12" t="s">
        <v>111</v>
      </c>
      <c r="D1281" s="12" t="s">
        <v>112</v>
      </c>
      <c r="E1281" s="12" t="s">
        <v>131</v>
      </c>
      <c r="F1281" s="12" t="s">
        <v>39</v>
      </c>
      <c r="G1281" s="12" t="s">
        <v>63</v>
      </c>
      <c r="H1281" s="12">
        <v>28</v>
      </c>
      <c r="I1281" s="13">
        <v>45932.569618055597</v>
      </c>
      <c r="J1281" s="12" t="s">
        <v>127</v>
      </c>
      <c r="K1281" s="12" t="s">
        <v>142</v>
      </c>
      <c r="L1281" s="14">
        <v>0.33300000000000002</v>
      </c>
      <c r="M1281" s="14">
        <f t="shared" si="19"/>
        <v>0.33300000000000002</v>
      </c>
      <c r="N1281" s="7" t="s">
        <v>1386</v>
      </c>
      <c r="O1281" s="12"/>
      <c r="P1281" s="12" t="s">
        <v>130</v>
      </c>
    </row>
    <row r="1282" spans="1:16" ht="34.5" hidden="1" customHeight="1" x14ac:dyDescent="0.35">
      <c r="A1282" s="12">
        <v>6210</v>
      </c>
      <c r="B1282" s="12" t="s">
        <v>100</v>
      </c>
      <c r="C1282" s="12" t="s">
        <v>111</v>
      </c>
      <c r="D1282" s="12" t="s">
        <v>112</v>
      </c>
      <c r="E1282" s="12" t="s">
        <v>134</v>
      </c>
      <c r="F1282" s="12" t="s">
        <v>39</v>
      </c>
      <c r="G1282" s="12" t="s">
        <v>63</v>
      </c>
      <c r="H1282" s="12">
        <v>28</v>
      </c>
      <c r="I1282" s="13">
        <v>45932.569618055597</v>
      </c>
      <c r="J1282" s="12" t="s">
        <v>127</v>
      </c>
      <c r="K1282" s="12" t="s">
        <v>135</v>
      </c>
      <c r="L1282" s="14"/>
      <c r="M1282" s="14">
        <f t="shared" ref="M1282:M1345" si="20">IF(K1282="Sem progresso",0,IF(OR(K1282="Não avaliado",K1282="Não se aplica",K1282=""),"",L1282))</f>
        <v>0</v>
      </c>
      <c r="N1282" s="7" t="s">
        <v>1387</v>
      </c>
      <c r="O1282" s="12"/>
      <c r="P1282" s="12" t="s">
        <v>130</v>
      </c>
    </row>
    <row r="1283" spans="1:16" ht="68.25" hidden="1" customHeight="1" x14ac:dyDescent="0.35">
      <c r="A1283" s="12">
        <v>6211</v>
      </c>
      <c r="B1283" s="12" t="s">
        <v>100</v>
      </c>
      <c r="C1283" s="12" t="s">
        <v>113</v>
      </c>
      <c r="D1283" s="12" t="s">
        <v>114</v>
      </c>
      <c r="E1283" s="12" t="s">
        <v>126</v>
      </c>
      <c r="F1283" s="12" t="s">
        <v>39</v>
      </c>
      <c r="G1283" s="12" t="s">
        <v>63</v>
      </c>
      <c r="H1283" s="12">
        <v>28</v>
      </c>
      <c r="I1283" s="13">
        <v>45932.569618055597</v>
      </c>
      <c r="J1283" s="12" t="s">
        <v>127</v>
      </c>
      <c r="K1283" s="12" t="s">
        <v>142</v>
      </c>
      <c r="L1283" s="14">
        <v>0.33300000000000002</v>
      </c>
      <c r="M1283" s="14">
        <f t="shared" si="20"/>
        <v>0.33300000000000002</v>
      </c>
      <c r="N1283" s="7" t="s">
        <v>1388</v>
      </c>
      <c r="O1283" s="12"/>
      <c r="P1283" s="12" t="s">
        <v>130</v>
      </c>
    </row>
    <row r="1284" spans="1:16" ht="45.75" hidden="1" customHeight="1" x14ac:dyDescent="0.35">
      <c r="A1284" s="12">
        <v>6212</v>
      </c>
      <c r="B1284" s="12" t="s">
        <v>100</v>
      </c>
      <c r="C1284" s="12" t="s">
        <v>113</v>
      </c>
      <c r="D1284" s="12" t="s">
        <v>114</v>
      </c>
      <c r="E1284" s="12" t="s">
        <v>131</v>
      </c>
      <c r="F1284" s="12" t="s">
        <v>39</v>
      </c>
      <c r="G1284" s="12" t="s">
        <v>63</v>
      </c>
      <c r="H1284" s="12">
        <v>28</v>
      </c>
      <c r="I1284" s="13">
        <v>45932.569618055597</v>
      </c>
      <c r="J1284" s="12" t="s">
        <v>127</v>
      </c>
      <c r="K1284" s="12" t="s">
        <v>128</v>
      </c>
      <c r="L1284" s="14">
        <v>1</v>
      </c>
      <c r="M1284" s="14">
        <f t="shared" si="20"/>
        <v>1</v>
      </c>
      <c r="N1284" s="7" t="s">
        <v>1389</v>
      </c>
      <c r="O1284" s="12"/>
      <c r="P1284" s="12" t="s">
        <v>130</v>
      </c>
    </row>
    <row r="1285" spans="1:16" ht="23.25" hidden="1" customHeight="1" x14ac:dyDescent="0.35">
      <c r="A1285" s="12">
        <v>6218</v>
      </c>
      <c r="B1285" s="12" t="s">
        <v>100</v>
      </c>
      <c r="C1285" s="12" t="s">
        <v>113</v>
      </c>
      <c r="D1285" s="12" t="s">
        <v>114</v>
      </c>
      <c r="E1285" s="12" t="s">
        <v>134</v>
      </c>
      <c r="F1285" s="12" t="s">
        <v>39</v>
      </c>
      <c r="G1285" s="12" t="s">
        <v>63</v>
      </c>
      <c r="H1285" s="12">
        <v>28</v>
      </c>
      <c r="I1285" s="13">
        <v>45932.569618055597</v>
      </c>
      <c r="J1285" s="12" t="s">
        <v>127</v>
      </c>
      <c r="K1285" s="12" t="s">
        <v>135</v>
      </c>
      <c r="L1285" s="14"/>
      <c r="M1285" s="14">
        <f t="shared" si="20"/>
        <v>0</v>
      </c>
      <c r="N1285" s="7" t="s">
        <v>1390</v>
      </c>
      <c r="O1285" s="12"/>
      <c r="P1285" s="12" t="s">
        <v>130</v>
      </c>
    </row>
    <row r="1286" spans="1:16" ht="180" hidden="1" customHeight="1" x14ac:dyDescent="0.35">
      <c r="A1286" s="12">
        <v>3742</v>
      </c>
      <c r="B1286" s="12" t="s">
        <v>100</v>
      </c>
      <c r="C1286" s="12" t="s">
        <v>101</v>
      </c>
      <c r="D1286" s="12" t="s">
        <v>102</v>
      </c>
      <c r="E1286" s="12" t="s">
        <v>126</v>
      </c>
      <c r="F1286" s="12" t="s">
        <v>66</v>
      </c>
      <c r="G1286" s="12" t="s">
        <v>86</v>
      </c>
      <c r="H1286" s="12">
        <v>2111300</v>
      </c>
      <c r="I1286" s="13">
        <v>45915.615428240701</v>
      </c>
      <c r="J1286" s="12" t="s">
        <v>127</v>
      </c>
      <c r="K1286" s="12" t="s">
        <v>128</v>
      </c>
      <c r="L1286" s="14">
        <v>1</v>
      </c>
      <c r="M1286" s="14">
        <f t="shared" si="20"/>
        <v>1</v>
      </c>
      <c r="N1286" s="7" t="s">
        <v>1391</v>
      </c>
      <c r="O1286" s="12"/>
      <c r="P1286" s="12" t="s">
        <v>130</v>
      </c>
    </row>
    <row r="1287" spans="1:16" ht="147" hidden="1" customHeight="1" x14ac:dyDescent="0.35">
      <c r="A1287" s="12">
        <v>3981</v>
      </c>
      <c r="B1287" s="12" t="s">
        <v>100</v>
      </c>
      <c r="C1287" s="12" t="s">
        <v>101</v>
      </c>
      <c r="D1287" s="12" t="s">
        <v>102</v>
      </c>
      <c r="E1287" s="12" t="s">
        <v>131</v>
      </c>
      <c r="F1287" s="12" t="s">
        <v>66</v>
      </c>
      <c r="G1287" s="12" t="s">
        <v>86</v>
      </c>
      <c r="H1287" s="12">
        <v>2111300</v>
      </c>
      <c r="I1287" s="13">
        <v>45915.615428240701</v>
      </c>
      <c r="J1287" s="12" t="s">
        <v>127</v>
      </c>
      <c r="K1287" s="12" t="s">
        <v>142</v>
      </c>
      <c r="L1287" s="14">
        <v>0.33300000000000002</v>
      </c>
      <c r="M1287" s="14">
        <f t="shared" si="20"/>
        <v>0.33300000000000002</v>
      </c>
      <c r="N1287" s="7" t="s">
        <v>1392</v>
      </c>
      <c r="O1287" s="12"/>
      <c r="P1287" s="12" t="s">
        <v>130</v>
      </c>
    </row>
    <row r="1288" spans="1:16" ht="191.25" hidden="1" customHeight="1" x14ac:dyDescent="0.35">
      <c r="A1288" s="12">
        <v>4001</v>
      </c>
      <c r="B1288" s="12" t="s">
        <v>100</v>
      </c>
      <c r="C1288" s="12" t="s">
        <v>101</v>
      </c>
      <c r="D1288" s="12" t="s">
        <v>102</v>
      </c>
      <c r="E1288" s="12" t="s">
        <v>134</v>
      </c>
      <c r="F1288" s="12" t="s">
        <v>66</v>
      </c>
      <c r="G1288" s="12" t="s">
        <v>86</v>
      </c>
      <c r="H1288" s="12">
        <v>2111300</v>
      </c>
      <c r="I1288" s="13">
        <v>45915.615428240701</v>
      </c>
      <c r="J1288" s="12" t="s">
        <v>127</v>
      </c>
      <c r="K1288" s="12" t="s">
        <v>128</v>
      </c>
      <c r="L1288" s="14">
        <v>1</v>
      </c>
      <c r="M1288" s="14">
        <f t="shared" si="20"/>
        <v>1</v>
      </c>
      <c r="N1288" s="7" t="s">
        <v>1393</v>
      </c>
      <c r="O1288" s="12"/>
      <c r="P1288" s="12" t="s">
        <v>130</v>
      </c>
    </row>
    <row r="1289" spans="1:16" ht="168.75" hidden="1" customHeight="1" x14ac:dyDescent="0.35">
      <c r="A1289" s="12">
        <v>4262</v>
      </c>
      <c r="B1289" s="12" t="s">
        <v>100</v>
      </c>
      <c r="C1289" s="12" t="s">
        <v>103</v>
      </c>
      <c r="D1289" s="12" t="s">
        <v>104</v>
      </c>
      <c r="E1289" s="12" t="s">
        <v>126</v>
      </c>
      <c r="F1289" s="12" t="s">
        <v>66</v>
      </c>
      <c r="G1289" s="12" t="s">
        <v>86</v>
      </c>
      <c r="H1289" s="12">
        <v>2111300</v>
      </c>
      <c r="I1289" s="13">
        <v>45915.615428240701</v>
      </c>
      <c r="J1289" s="12" t="s">
        <v>127</v>
      </c>
      <c r="K1289" s="12" t="s">
        <v>135</v>
      </c>
      <c r="L1289" s="14"/>
      <c r="M1289" s="14">
        <f t="shared" si="20"/>
        <v>0</v>
      </c>
      <c r="N1289" s="7" t="s">
        <v>1394</v>
      </c>
      <c r="O1289" s="12"/>
      <c r="P1289" s="12" t="s">
        <v>130</v>
      </c>
    </row>
    <row r="1290" spans="1:16" ht="180" hidden="1" customHeight="1" x14ac:dyDescent="0.35">
      <c r="A1290" s="12">
        <v>4263</v>
      </c>
      <c r="B1290" s="12" t="s">
        <v>100</v>
      </c>
      <c r="C1290" s="12" t="s">
        <v>103</v>
      </c>
      <c r="D1290" s="12" t="s">
        <v>104</v>
      </c>
      <c r="E1290" s="12" t="s">
        <v>131</v>
      </c>
      <c r="F1290" s="12" t="s">
        <v>66</v>
      </c>
      <c r="G1290" s="12" t="s">
        <v>86</v>
      </c>
      <c r="H1290" s="12">
        <v>2111300</v>
      </c>
      <c r="I1290" s="13">
        <v>45915.615428240701</v>
      </c>
      <c r="J1290" s="12" t="s">
        <v>127</v>
      </c>
      <c r="K1290" s="12" t="s">
        <v>135</v>
      </c>
      <c r="L1290" s="14"/>
      <c r="M1290" s="14">
        <f t="shared" si="20"/>
        <v>0</v>
      </c>
      <c r="N1290" s="7" t="s">
        <v>1395</v>
      </c>
      <c r="O1290" s="12"/>
      <c r="P1290" s="12" t="s">
        <v>130</v>
      </c>
    </row>
    <row r="1291" spans="1:16" ht="147" hidden="1" customHeight="1" x14ac:dyDescent="0.35">
      <c r="A1291" s="12">
        <v>4264</v>
      </c>
      <c r="B1291" s="12" t="s">
        <v>100</v>
      </c>
      <c r="C1291" s="12" t="s">
        <v>103</v>
      </c>
      <c r="D1291" s="12" t="s">
        <v>104</v>
      </c>
      <c r="E1291" s="12" t="s">
        <v>134</v>
      </c>
      <c r="F1291" s="12" t="s">
        <v>66</v>
      </c>
      <c r="G1291" s="12" t="s">
        <v>86</v>
      </c>
      <c r="H1291" s="12">
        <v>2111300</v>
      </c>
      <c r="I1291" s="13">
        <v>45915.615428240701</v>
      </c>
      <c r="J1291" s="12" t="s">
        <v>127</v>
      </c>
      <c r="K1291" s="12" t="s">
        <v>135</v>
      </c>
      <c r="L1291" s="14"/>
      <c r="M1291" s="14">
        <f t="shared" si="20"/>
        <v>0</v>
      </c>
      <c r="N1291" s="7" t="s">
        <v>1396</v>
      </c>
      <c r="O1291" s="12"/>
      <c r="P1291" s="12" t="s">
        <v>130</v>
      </c>
    </row>
    <row r="1292" spans="1:16" ht="213.75" hidden="1" customHeight="1" x14ac:dyDescent="0.35">
      <c r="A1292" s="12">
        <v>4781</v>
      </c>
      <c r="B1292" s="12" t="s">
        <v>100</v>
      </c>
      <c r="C1292" s="12" t="s">
        <v>105</v>
      </c>
      <c r="D1292" s="12" t="s">
        <v>106</v>
      </c>
      <c r="E1292" s="12" t="s">
        <v>126</v>
      </c>
      <c r="F1292" s="12" t="s">
        <v>66</v>
      </c>
      <c r="G1292" s="12" t="s">
        <v>86</v>
      </c>
      <c r="H1292" s="12">
        <v>2111300</v>
      </c>
      <c r="I1292" s="13">
        <v>45915.615428240701</v>
      </c>
      <c r="J1292" s="12" t="s">
        <v>127</v>
      </c>
      <c r="K1292" s="12" t="s">
        <v>128</v>
      </c>
      <c r="L1292" s="14">
        <v>1</v>
      </c>
      <c r="M1292" s="14">
        <f t="shared" si="20"/>
        <v>1</v>
      </c>
      <c r="N1292" s="7" t="s">
        <v>1397</v>
      </c>
      <c r="O1292" s="12"/>
      <c r="P1292" s="12" t="s">
        <v>130</v>
      </c>
    </row>
    <row r="1293" spans="1:16" ht="168.75" hidden="1" customHeight="1" x14ac:dyDescent="0.35">
      <c r="A1293" s="12">
        <v>4890</v>
      </c>
      <c r="B1293" s="12" t="s">
        <v>100</v>
      </c>
      <c r="C1293" s="12" t="s">
        <v>105</v>
      </c>
      <c r="D1293" s="12" t="s">
        <v>106</v>
      </c>
      <c r="E1293" s="12" t="s">
        <v>131</v>
      </c>
      <c r="F1293" s="12" t="s">
        <v>66</v>
      </c>
      <c r="G1293" s="12" t="s">
        <v>86</v>
      </c>
      <c r="H1293" s="12">
        <v>2111300</v>
      </c>
      <c r="I1293" s="13">
        <v>45915.615428240701</v>
      </c>
      <c r="J1293" s="12" t="s">
        <v>127</v>
      </c>
      <c r="K1293" s="12" t="s">
        <v>132</v>
      </c>
      <c r="L1293" s="14">
        <v>0.66600000000000004</v>
      </c>
      <c r="M1293" s="14">
        <f t="shared" si="20"/>
        <v>0.66600000000000004</v>
      </c>
      <c r="N1293" s="7" t="s">
        <v>1398</v>
      </c>
      <c r="O1293" s="12"/>
      <c r="P1293" s="12" t="s">
        <v>130</v>
      </c>
    </row>
    <row r="1294" spans="1:16" ht="202.5" hidden="1" customHeight="1" x14ac:dyDescent="0.35">
      <c r="A1294" s="12">
        <v>4891</v>
      </c>
      <c r="B1294" s="12" t="s">
        <v>100</v>
      </c>
      <c r="C1294" s="12" t="s">
        <v>107</v>
      </c>
      <c r="D1294" s="12" t="s">
        <v>108</v>
      </c>
      <c r="E1294" s="12" t="s">
        <v>126</v>
      </c>
      <c r="F1294" s="12" t="s">
        <v>66</v>
      </c>
      <c r="G1294" s="12" t="s">
        <v>86</v>
      </c>
      <c r="H1294" s="12">
        <v>2111300</v>
      </c>
      <c r="I1294" s="13">
        <v>45915.615428240701</v>
      </c>
      <c r="J1294" s="12" t="s">
        <v>127</v>
      </c>
      <c r="K1294" s="12" t="s">
        <v>132</v>
      </c>
      <c r="L1294" s="14">
        <v>0.66600000000000004</v>
      </c>
      <c r="M1294" s="14">
        <f t="shared" si="20"/>
        <v>0.66600000000000004</v>
      </c>
      <c r="N1294" s="7" t="s">
        <v>1399</v>
      </c>
      <c r="O1294" s="12"/>
      <c r="P1294" s="12" t="s">
        <v>130</v>
      </c>
    </row>
    <row r="1295" spans="1:16" ht="202.5" hidden="1" customHeight="1" x14ac:dyDescent="0.35">
      <c r="A1295" s="12">
        <v>4964</v>
      </c>
      <c r="B1295" s="12" t="s">
        <v>100</v>
      </c>
      <c r="C1295" s="12" t="s">
        <v>107</v>
      </c>
      <c r="D1295" s="12" t="s">
        <v>108</v>
      </c>
      <c r="E1295" s="12" t="s">
        <v>131</v>
      </c>
      <c r="F1295" s="12" t="s">
        <v>66</v>
      </c>
      <c r="G1295" s="12" t="s">
        <v>86</v>
      </c>
      <c r="H1295" s="12">
        <v>2111300</v>
      </c>
      <c r="I1295" s="13">
        <v>45915.615428240701</v>
      </c>
      <c r="J1295" s="12" t="s">
        <v>127</v>
      </c>
      <c r="K1295" s="12" t="s">
        <v>132</v>
      </c>
      <c r="L1295" s="14">
        <v>0.66600000000000004</v>
      </c>
      <c r="M1295" s="14">
        <f t="shared" si="20"/>
        <v>0.66600000000000004</v>
      </c>
      <c r="N1295" s="7" t="s">
        <v>1400</v>
      </c>
      <c r="O1295" s="12"/>
      <c r="P1295" s="12" t="s">
        <v>130</v>
      </c>
    </row>
    <row r="1296" spans="1:16" ht="147" hidden="1" customHeight="1" x14ac:dyDescent="0.35">
      <c r="A1296" s="12">
        <v>4954</v>
      </c>
      <c r="B1296" s="12" t="s">
        <v>100</v>
      </c>
      <c r="C1296" s="12" t="s">
        <v>107</v>
      </c>
      <c r="D1296" s="12" t="s">
        <v>108</v>
      </c>
      <c r="E1296" s="12" t="s">
        <v>134</v>
      </c>
      <c r="F1296" s="12" t="s">
        <v>66</v>
      </c>
      <c r="G1296" s="12" t="s">
        <v>86</v>
      </c>
      <c r="H1296" s="12">
        <v>2111300</v>
      </c>
      <c r="I1296" s="13">
        <v>45915.615428240701</v>
      </c>
      <c r="J1296" s="12" t="s">
        <v>127</v>
      </c>
      <c r="K1296" s="12" t="s">
        <v>132</v>
      </c>
      <c r="L1296" s="14">
        <v>0.66600000000000004</v>
      </c>
      <c r="M1296" s="14">
        <f t="shared" si="20"/>
        <v>0.66600000000000004</v>
      </c>
      <c r="N1296" s="7" t="s">
        <v>1401</v>
      </c>
      <c r="O1296" s="12"/>
      <c r="P1296" s="12" t="s">
        <v>130</v>
      </c>
    </row>
    <row r="1297" spans="1:16" ht="191.25" hidden="1" customHeight="1" x14ac:dyDescent="0.35">
      <c r="A1297" s="12">
        <v>4983</v>
      </c>
      <c r="B1297" s="12" t="s">
        <v>100</v>
      </c>
      <c r="C1297" s="12" t="s">
        <v>109</v>
      </c>
      <c r="D1297" s="12" t="s">
        <v>110</v>
      </c>
      <c r="E1297" s="12" t="s">
        <v>126</v>
      </c>
      <c r="F1297" s="12" t="s">
        <v>66</v>
      </c>
      <c r="G1297" s="12" t="s">
        <v>86</v>
      </c>
      <c r="H1297" s="12">
        <v>2111300</v>
      </c>
      <c r="I1297" s="13">
        <v>45915.615428240701</v>
      </c>
      <c r="J1297" s="12" t="s">
        <v>127</v>
      </c>
      <c r="K1297" s="12" t="s">
        <v>132</v>
      </c>
      <c r="L1297" s="14">
        <v>0.66600000000000004</v>
      </c>
      <c r="M1297" s="14">
        <f t="shared" si="20"/>
        <v>0.66600000000000004</v>
      </c>
      <c r="N1297" s="7" t="s">
        <v>1402</v>
      </c>
      <c r="O1297" s="12"/>
      <c r="P1297" s="12" t="s">
        <v>130</v>
      </c>
    </row>
    <row r="1298" spans="1:16" ht="191.25" hidden="1" customHeight="1" x14ac:dyDescent="0.35">
      <c r="A1298" s="12">
        <v>4984</v>
      </c>
      <c r="B1298" s="12" t="s">
        <v>100</v>
      </c>
      <c r="C1298" s="12" t="s">
        <v>109</v>
      </c>
      <c r="D1298" s="12" t="s">
        <v>110</v>
      </c>
      <c r="E1298" s="12" t="s">
        <v>131</v>
      </c>
      <c r="F1298" s="12" t="s">
        <v>66</v>
      </c>
      <c r="G1298" s="12" t="s">
        <v>86</v>
      </c>
      <c r="H1298" s="12">
        <v>2111300</v>
      </c>
      <c r="I1298" s="13">
        <v>45915.615428240701</v>
      </c>
      <c r="J1298" s="12" t="s">
        <v>127</v>
      </c>
      <c r="K1298" s="12" t="s">
        <v>132</v>
      </c>
      <c r="L1298" s="14">
        <v>0.66600000000000004</v>
      </c>
      <c r="M1298" s="14">
        <f t="shared" si="20"/>
        <v>0.66600000000000004</v>
      </c>
      <c r="N1298" s="7" t="s">
        <v>1403</v>
      </c>
      <c r="O1298" s="12"/>
      <c r="P1298" s="12" t="s">
        <v>130</v>
      </c>
    </row>
    <row r="1299" spans="1:16" ht="213.75" hidden="1" customHeight="1" x14ac:dyDescent="0.35">
      <c r="A1299" s="12">
        <v>5141</v>
      </c>
      <c r="B1299" s="12" t="s">
        <v>100</v>
      </c>
      <c r="C1299" s="12" t="s">
        <v>111</v>
      </c>
      <c r="D1299" s="12" t="s">
        <v>112</v>
      </c>
      <c r="E1299" s="12" t="s">
        <v>126</v>
      </c>
      <c r="F1299" s="12" t="s">
        <v>66</v>
      </c>
      <c r="G1299" s="12" t="s">
        <v>86</v>
      </c>
      <c r="H1299" s="12">
        <v>2111300</v>
      </c>
      <c r="I1299" s="13">
        <v>45915.615428240701</v>
      </c>
      <c r="J1299" s="12" t="s">
        <v>127</v>
      </c>
      <c r="K1299" s="12" t="s">
        <v>132</v>
      </c>
      <c r="L1299" s="14">
        <v>0.66600000000000004</v>
      </c>
      <c r="M1299" s="14">
        <f t="shared" si="20"/>
        <v>0.66600000000000004</v>
      </c>
      <c r="N1299" s="7" t="s">
        <v>1404</v>
      </c>
      <c r="O1299" s="12"/>
      <c r="P1299" s="12" t="s">
        <v>130</v>
      </c>
    </row>
    <row r="1300" spans="1:16" ht="147" hidden="1" customHeight="1" x14ac:dyDescent="0.35">
      <c r="A1300" s="12">
        <v>5161</v>
      </c>
      <c r="B1300" s="12" t="s">
        <v>100</v>
      </c>
      <c r="C1300" s="12" t="s">
        <v>111</v>
      </c>
      <c r="D1300" s="12" t="s">
        <v>112</v>
      </c>
      <c r="E1300" s="12" t="s">
        <v>131</v>
      </c>
      <c r="F1300" s="12" t="s">
        <v>66</v>
      </c>
      <c r="G1300" s="12" t="s">
        <v>86</v>
      </c>
      <c r="H1300" s="12">
        <v>2111300</v>
      </c>
      <c r="I1300" s="13">
        <v>45915.615428240701</v>
      </c>
      <c r="J1300" s="12" t="s">
        <v>127</v>
      </c>
      <c r="K1300" s="12" t="s">
        <v>132</v>
      </c>
      <c r="L1300" s="14">
        <v>0.66600000000000004</v>
      </c>
      <c r="M1300" s="14">
        <f t="shared" si="20"/>
        <v>0.66600000000000004</v>
      </c>
      <c r="N1300" s="7" t="s">
        <v>1405</v>
      </c>
      <c r="O1300" s="12"/>
      <c r="P1300" s="12" t="s">
        <v>130</v>
      </c>
    </row>
    <row r="1301" spans="1:16" ht="202.5" hidden="1" customHeight="1" x14ac:dyDescent="0.35">
      <c r="A1301" s="12">
        <v>6101</v>
      </c>
      <c r="B1301" s="12" t="s">
        <v>100</v>
      </c>
      <c r="C1301" s="12" t="s">
        <v>111</v>
      </c>
      <c r="D1301" s="12" t="s">
        <v>112</v>
      </c>
      <c r="E1301" s="12" t="s">
        <v>134</v>
      </c>
      <c r="F1301" s="12" t="s">
        <v>66</v>
      </c>
      <c r="G1301" s="12" t="s">
        <v>86</v>
      </c>
      <c r="H1301" s="12">
        <v>2111300</v>
      </c>
      <c r="I1301" s="13">
        <v>45915.615428240701</v>
      </c>
      <c r="J1301" s="12" t="s">
        <v>127</v>
      </c>
      <c r="K1301" s="12" t="s">
        <v>128</v>
      </c>
      <c r="L1301" s="14">
        <v>1</v>
      </c>
      <c r="M1301" s="14">
        <f t="shared" si="20"/>
        <v>1</v>
      </c>
      <c r="N1301" s="7" t="s">
        <v>1406</v>
      </c>
      <c r="O1301" s="12"/>
      <c r="P1301" s="12" t="s">
        <v>130</v>
      </c>
    </row>
    <row r="1302" spans="1:16" ht="180" hidden="1" customHeight="1" x14ac:dyDescent="0.35">
      <c r="A1302" s="12">
        <v>7210</v>
      </c>
      <c r="B1302" s="12" t="s">
        <v>100</v>
      </c>
      <c r="C1302" s="12" t="s">
        <v>113</v>
      </c>
      <c r="D1302" s="12" t="s">
        <v>114</v>
      </c>
      <c r="E1302" s="12" t="s">
        <v>126</v>
      </c>
      <c r="F1302" s="12" t="s">
        <v>66</v>
      </c>
      <c r="G1302" s="12" t="s">
        <v>86</v>
      </c>
      <c r="H1302" s="12">
        <v>2111300</v>
      </c>
      <c r="I1302" s="13">
        <v>45915.615428240701</v>
      </c>
      <c r="J1302" s="12" t="s">
        <v>127</v>
      </c>
      <c r="K1302" s="12" t="s">
        <v>128</v>
      </c>
      <c r="L1302" s="14">
        <v>1</v>
      </c>
      <c r="M1302" s="14">
        <f t="shared" si="20"/>
        <v>1</v>
      </c>
      <c r="N1302" s="7" t="s">
        <v>1407</v>
      </c>
      <c r="O1302" s="12"/>
      <c r="P1302" s="12" t="s">
        <v>130</v>
      </c>
    </row>
    <row r="1303" spans="1:16" ht="157.5" hidden="1" customHeight="1" x14ac:dyDescent="0.35">
      <c r="A1303" s="12">
        <v>5721</v>
      </c>
      <c r="B1303" s="12" t="s">
        <v>100</v>
      </c>
      <c r="C1303" s="12" t="s">
        <v>113</v>
      </c>
      <c r="D1303" s="12" t="s">
        <v>114</v>
      </c>
      <c r="E1303" s="12" t="s">
        <v>131</v>
      </c>
      <c r="F1303" s="12" t="s">
        <v>66</v>
      </c>
      <c r="G1303" s="12" t="s">
        <v>86</v>
      </c>
      <c r="H1303" s="12">
        <v>2111300</v>
      </c>
      <c r="I1303" s="13">
        <v>45915.615428240701</v>
      </c>
      <c r="J1303" s="12" t="s">
        <v>127</v>
      </c>
      <c r="K1303" s="12" t="s">
        <v>135</v>
      </c>
      <c r="L1303" s="14"/>
      <c r="M1303" s="14">
        <f t="shared" si="20"/>
        <v>0</v>
      </c>
      <c r="N1303" s="7" t="s">
        <v>1408</v>
      </c>
      <c r="O1303" s="12"/>
      <c r="P1303" s="12" t="s">
        <v>130</v>
      </c>
    </row>
    <row r="1304" spans="1:16" ht="79.5" hidden="1" customHeight="1" x14ac:dyDescent="0.35">
      <c r="A1304" s="12">
        <v>5722</v>
      </c>
      <c r="B1304" s="12" t="s">
        <v>100</v>
      </c>
      <c r="C1304" s="12" t="s">
        <v>113</v>
      </c>
      <c r="D1304" s="12" t="s">
        <v>114</v>
      </c>
      <c r="E1304" s="12" t="s">
        <v>134</v>
      </c>
      <c r="F1304" s="12" t="s">
        <v>66</v>
      </c>
      <c r="G1304" s="12" t="s">
        <v>86</v>
      </c>
      <c r="H1304" s="12">
        <v>2111300</v>
      </c>
      <c r="I1304" s="13">
        <v>45915.615428240701</v>
      </c>
      <c r="J1304" s="12" t="s">
        <v>127</v>
      </c>
      <c r="K1304" s="12" t="s">
        <v>688</v>
      </c>
      <c r="L1304" s="14"/>
      <c r="M1304" s="14" t="str">
        <f t="shared" si="20"/>
        <v/>
      </c>
      <c r="N1304" s="7" t="s">
        <v>1409</v>
      </c>
      <c r="O1304" s="12"/>
      <c r="P1304" s="12" t="s">
        <v>130</v>
      </c>
    </row>
    <row r="1305" spans="1:16" ht="68.25" hidden="1" customHeight="1" x14ac:dyDescent="0.35">
      <c r="A1305" s="12">
        <v>1620</v>
      </c>
      <c r="B1305" s="12" t="s">
        <v>100</v>
      </c>
      <c r="C1305" s="12" t="s">
        <v>101</v>
      </c>
      <c r="D1305" s="12" t="s">
        <v>102</v>
      </c>
      <c r="E1305" s="12" t="s">
        <v>126</v>
      </c>
      <c r="F1305" s="12" t="s">
        <v>66</v>
      </c>
      <c r="G1305" s="12" t="s">
        <v>64</v>
      </c>
      <c r="H1305" s="12">
        <v>3550308</v>
      </c>
      <c r="I1305" s="13">
        <v>45911.615231481497</v>
      </c>
      <c r="J1305" s="12" t="s">
        <v>127</v>
      </c>
      <c r="K1305" s="12" t="s">
        <v>128</v>
      </c>
      <c r="L1305" s="14">
        <v>1</v>
      </c>
      <c r="M1305" s="14">
        <f t="shared" si="20"/>
        <v>1</v>
      </c>
      <c r="N1305" s="7" t="s">
        <v>1410</v>
      </c>
      <c r="O1305" s="12"/>
      <c r="P1305" s="12" t="s">
        <v>130</v>
      </c>
    </row>
    <row r="1306" spans="1:16" ht="45.75" hidden="1" customHeight="1" x14ac:dyDescent="0.35">
      <c r="A1306" s="12">
        <v>5929</v>
      </c>
      <c r="B1306" s="12" t="s">
        <v>100</v>
      </c>
      <c r="C1306" s="12" t="s">
        <v>101</v>
      </c>
      <c r="D1306" s="12" t="s">
        <v>102</v>
      </c>
      <c r="E1306" s="12" t="s">
        <v>126</v>
      </c>
      <c r="F1306" s="12" t="s">
        <v>39</v>
      </c>
      <c r="G1306" s="12" t="s">
        <v>64</v>
      </c>
      <c r="H1306" s="12">
        <v>35</v>
      </c>
      <c r="I1306" s="13">
        <v>45888.797835648198</v>
      </c>
      <c r="J1306" s="12" t="s">
        <v>127</v>
      </c>
      <c r="K1306" s="12" t="s">
        <v>128</v>
      </c>
      <c r="L1306" s="14">
        <v>1</v>
      </c>
      <c r="M1306" s="14">
        <f t="shared" si="20"/>
        <v>1</v>
      </c>
      <c r="N1306" s="7" t="s">
        <v>1411</v>
      </c>
      <c r="O1306" s="12"/>
      <c r="P1306" s="12" t="s">
        <v>130</v>
      </c>
    </row>
    <row r="1307" spans="1:16" ht="68.25" hidden="1" customHeight="1" x14ac:dyDescent="0.35">
      <c r="A1307" s="12">
        <v>5930</v>
      </c>
      <c r="B1307" s="12" t="s">
        <v>100</v>
      </c>
      <c r="C1307" s="12" t="s">
        <v>101</v>
      </c>
      <c r="D1307" s="12" t="s">
        <v>102</v>
      </c>
      <c r="E1307" s="12" t="s">
        <v>131</v>
      </c>
      <c r="F1307" s="12" t="s">
        <v>39</v>
      </c>
      <c r="G1307" s="12" t="s">
        <v>64</v>
      </c>
      <c r="H1307" s="12">
        <v>35</v>
      </c>
      <c r="I1307" s="13">
        <v>45888.797835648198</v>
      </c>
      <c r="J1307" s="12" t="s">
        <v>127</v>
      </c>
      <c r="K1307" s="12" t="s">
        <v>128</v>
      </c>
      <c r="L1307" s="14">
        <v>1</v>
      </c>
      <c r="M1307" s="14">
        <f t="shared" si="20"/>
        <v>1</v>
      </c>
      <c r="N1307" s="7" t="s">
        <v>1412</v>
      </c>
      <c r="O1307" s="12"/>
      <c r="P1307" s="12" t="s">
        <v>130</v>
      </c>
    </row>
    <row r="1308" spans="1:16" ht="34.5" hidden="1" customHeight="1" x14ac:dyDescent="0.35">
      <c r="A1308" s="12">
        <v>3422</v>
      </c>
      <c r="B1308" s="12" t="s">
        <v>100</v>
      </c>
      <c r="C1308" s="12" t="s">
        <v>101</v>
      </c>
      <c r="D1308" s="12" t="s">
        <v>102</v>
      </c>
      <c r="E1308" s="12" t="s">
        <v>131</v>
      </c>
      <c r="F1308" s="12" t="s">
        <v>66</v>
      </c>
      <c r="G1308" s="12" t="s">
        <v>64</v>
      </c>
      <c r="H1308" s="12">
        <v>3550308</v>
      </c>
      <c r="I1308" s="13">
        <v>45911.615231481497</v>
      </c>
      <c r="J1308" s="12" t="s">
        <v>127</v>
      </c>
      <c r="K1308" s="12" t="s">
        <v>128</v>
      </c>
      <c r="L1308" s="14">
        <v>1</v>
      </c>
      <c r="M1308" s="14">
        <f t="shared" si="20"/>
        <v>1</v>
      </c>
      <c r="N1308" s="7" t="s">
        <v>1413</v>
      </c>
      <c r="O1308" s="12"/>
      <c r="P1308" s="12"/>
    </row>
    <row r="1309" spans="1:16" ht="135.75" hidden="1" customHeight="1" x14ac:dyDescent="0.35">
      <c r="A1309" s="12">
        <v>2981</v>
      </c>
      <c r="B1309" s="12" t="s">
        <v>100</v>
      </c>
      <c r="C1309" s="12" t="s">
        <v>101</v>
      </c>
      <c r="D1309" s="12" t="s">
        <v>102</v>
      </c>
      <c r="E1309" s="12" t="s">
        <v>134</v>
      </c>
      <c r="F1309" s="12" t="s">
        <v>66</v>
      </c>
      <c r="G1309" s="12" t="s">
        <v>64</v>
      </c>
      <c r="H1309" s="12">
        <v>3550308</v>
      </c>
      <c r="I1309" s="13">
        <v>45911.615231481497</v>
      </c>
      <c r="J1309" s="12" t="s">
        <v>127</v>
      </c>
      <c r="K1309" s="12" t="s">
        <v>132</v>
      </c>
      <c r="L1309" s="14">
        <v>0.66600000000000004</v>
      </c>
      <c r="M1309" s="14">
        <f t="shared" si="20"/>
        <v>0.66600000000000004</v>
      </c>
      <c r="N1309" s="7" t="s">
        <v>1414</v>
      </c>
      <c r="O1309" s="12"/>
      <c r="P1309" s="12" t="s">
        <v>130</v>
      </c>
    </row>
    <row r="1310" spans="1:16" ht="45.75" hidden="1" customHeight="1" x14ac:dyDescent="0.35">
      <c r="A1310" s="12">
        <v>5931</v>
      </c>
      <c r="B1310" s="12" t="s">
        <v>100</v>
      </c>
      <c r="C1310" s="12" t="s">
        <v>101</v>
      </c>
      <c r="D1310" s="12" t="s">
        <v>102</v>
      </c>
      <c r="E1310" s="12" t="s">
        <v>134</v>
      </c>
      <c r="F1310" s="12" t="s">
        <v>39</v>
      </c>
      <c r="G1310" s="12" t="s">
        <v>64</v>
      </c>
      <c r="H1310" s="12">
        <v>35</v>
      </c>
      <c r="I1310" s="13">
        <v>45888.797835648198</v>
      </c>
      <c r="J1310" s="12" t="s">
        <v>127</v>
      </c>
      <c r="K1310" s="12" t="s">
        <v>128</v>
      </c>
      <c r="L1310" s="14">
        <v>1</v>
      </c>
      <c r="M1310" s="14">
        <f t="shared" si="20"/>
        <v>1</v>
      </c>
      <c r="N1310" s="7" t="s">
        <v>1415</v>
      </c>
      <c r="O1310" s="12"/>
      <c r="P1310" s="12" t="s">
        <v>130</v>
      </c>
    </row>
    <row r="1311" spans="1:16" ht="57" hidden="1" customHeight="1" x14ac:dyDescent="0.35">
      <c r="A1311" s="12">
        <v>5932</v>
      </c>
      <c r="B1311" s="12" t="s">
        <v>100</v>
      </c>
      <c r="C1311" s="12" t="s">
        <v>103</v>
      </c>
      <c r="D1311" s="12" t="s">
        <v>104</v>
      </c>
      <c r="E1311" s="12" t="s">
        <v>126</v>
      </c>
      <c r="F1311" s="12" t="s">
        <v>39</v>
      </c>
      <c r="G1311" s="12" t="s">
        <v>64</v>
      </c>
      <c r="H1311" s="12">
        <v>35</v>
      </c>
      <c r="I1311" s="13">
        <v>45888.797835648198</v>
      </c>
      <c r="J1311" s="12" t="s">
        <v>127</v>
      </c>
      <c r="K1311" s="12" t="s">
        <v>128</v>
      </c>
      <c r="L1311" s="14">
        <v>1</v>
      </c>
      <c r="M1311" s="14">
        <f t="shared" si="20"/>
        <v>1</v>
      </c>
      <c r="N1311" s="7" t="s">
        <v>1416</v>
      </c>
      <c r="O1311" s="12"/>
      <c r="P1311" s="12" t="s">
        <v>130</v>
      </c>
    </row>
    <row r="1312" spans="1:16" ht="113.25" hidden="1" customHeight="1" x14ac:dyDescent="0.35">
      <c r="A1312" s="12">
        <v>2982</v>
      </c>
      <c r="B1312" s="12" t="s">
        <v>100</v>
      </c>
      <c r="C1312" s="12" t="s">
        <v>103</v>
      </c>
      <c r="D1312" s="12" t="s">
        <v>104</v>
      </c>
      <c r="E1312" s="12" t="s">
        <v>126</v>
      </c>
      <c r="F1312" s="12" t="s">
        <v>66</v>
      </c>
      <c r="G1312" s="12" t="s">
        <v>64</v>
      </c>
      <c r="H1312" s="12">
        <v>3550308</v>
      </c>
      <c r="I1312" s="13">
        <v>45911.615231481497</v>
      </c>
      <c r="J1312" s="12" t="s">
        <v>127</v>
      </c>
      <c r="K1312" s="12" t="s">
        <v>132</v>
      </c>
      <c r="L1312" s="14">
        <v>0.66600000000000004</v>
      </c>
      <c r="M1312" s="14">
        <f t="shared" si="20"/>
        <v>0.66600000000000004</v>
      </c>
      <c r="N1312" s="7" t="s">
        <v>1417</v>
      </c>
      <c r="O1312" s="12"/>
      <c r="P1312" s="12" t="s">
        <v>130</v>
      </c>
    </row>
    <row r="1313" spans="1:16" ht="113.25" hidden="1" customHeight="1" x14ac:dyDescent="0.35">
      <c r="A1313" s="12">
        <v>3021</v>
      </c>
      <c r="B1313" s="12" t="s">
        <v>100</v>
      </c>
      <c r="C1313" s="12" t="s">
        <v>103</v>
      </c>
      <c r="D1313" s="12" t="s">
        <v>104</v>
      </c>
      <c r="E1313" s="12" t="s">
        <v>131</v>
      </c>
      <c r="F1313" s="12" t="s">
        <v>66</v>
      </c>
      <c r="G1313" s="12" t="s">
        <v>64</v>
      </c>
      <c r="H1313" s="12">
        <v>3550308</v>
      </c>
      <c r="I1313" s="13">
        <v>45911.615231481497</v>
      </c>
      <c r="J1313" s="12" t="s">
        <v>127</v>
      </c>
      <c r="K1313" s="12" t="s">
        <v>132</v>
      </c>
      <c r="L1313" s="14">
        <v>0.66600000000000004</v>
      </c>
      <c r="M1313" s="14">
        <f t="shared" si="20"/>
        <v>0.66600000000000004</v>
      </c>
      <c r="N1313" s="7" t="s">
        <v>1418</v>
      </c>
      <c r="O1313" s="12"/>
      <c r="P1313" s="12" t="s">
        <v>130</v>
      </c>
    </row>
    <row r="1314" spans="1:16" ht="45.75" hidden="1" customHeight="1" x14ac:dyDescent="0.35">
      <c r="A1314" s="12">
        <v>5951</v>
      </c>
      <c r="B1314" s="12" t="s">
        <v>100</v>
      </c>
      <c r="C1314" s="12" t="s">
        <v>103</v>
      </c>
      <c r="D1314" s="12" t="s">
        <v>104</v>
      </c>
      <c r="E1314" s="12" t="s">
        <v>131</v>
      </c>
      <c r="F1314" s="12" t="s">
        <v>39</v>
      </c>
      <c r="G1314" s="12" t="s">
        <v>64</v>
      </c>
      <c r="H1314" s="12">
        <v>35</v>
      </c>
      <c r="I1314" s="13">
        <v>45888.797835648198</v>
      </c>
      <c r="J1314" s="12" t="s">
        <v>127</v>
      </c>
      <c r="K1314" s="12" t="s">
        <v>128</v>
      </c>
      <c r="L1314" s="14">
        <v>1</v>
      </c>
      <c r="M1314" s="14">
        <f t="shared" si="20"/>
        <v>1</v>
      </c>
      <c r="N1314" s="7" t="s">
        <v>1419</v>
      </c>
      <c r="O1314" s="12"/>
      <c r="P1314" s="12" t="s">
        <v>130</v>
      </c>
    </row>
    <row r="1315" spans="1:16" ht="34.5" hidden="1" customHeight="1" x14ac:dyDescent="0.35">
      <c r="A1315" s="12">
        <v>5952</v>
      </c>
      <c r="B1315" s="12" t="s">
        <v>100</v>
      </c>
      <c r="C1315" s="12" t="s">
        <v>103</v>
      </c>
      <c r="D1315" s="12" t="s">
        <v>104</v>
      </c>
      <c r="E1315" s="12" t="s">
        <v>134</v>
      </c>
      <c r="F1315" s="12" t="s">
        <v>39</v>
      </c>
      <c r="G1315" s="12" t="s">
        <v>64</v>
      </c>
      <c r="H1315" s="12">
        <v>35</v>
      </c>
      <c r="I1315" s="13">
        <v>45888.797835648198</v>
      </c>
      <c r="J1315" s="12" t="s">
        <v>127</v>
      </c>
      <c r="K1315" s="12" t="s">
        <v>128</v>
      </c>
      <c r="L1315" s="14">
        <v>1</v>
      </c>
      <c r="M1315" s="14">
        <f t="shared" si="20"/>
        <v>1</v>
      </c>
      <c r="N1315" s="7" t="s">
        <v>1420</v>
      </c>
      <c r="O1315" s="12"/>
      <c r="P1315" s="12" t="s">
        <v>130</v>
      </c>
    </row>
    <row r="1316" spans="1:16" ht="57" hidden="1" customHeight="1" x14ac:dyDescent="0.35">
      <c r="A1316" s="12">
        <v>4481</v>
      </c>
      <c r="B1316" s="12" t="s">
        <v>100</v>
      </c>
      <c r="C1316" s="12" t="s">
        <v>103</v>
      </c>
      <c r="D1316" s="12" t="s">
        <v>104</v>
      </c>
      <c r="E1316" s="12" t="s">
        <v>134</v>
      </c>
      <c r="F1316" s="12" t="s">
        <v>66</v>
      </c>
      <c r="G1316" s="12" t="s">
        <v>64</v>
      </c>
      <c r="H1316" s="12">
        <v>3550308</v>
      </c>
      <c r="I1316" s="13">
        <v>45911.615231481497</v>
      </c>
      <c r="J1316" s="12" t="s">
        <v>127</v>
      </c>
      <c r="K1316" s="12" t="s">
        <v>128</v>
      </c>
      <c r="L1316" s="14">
        <v>1</v>
      </c>
      <c r="M1316" s="14">
        <f t="shared" si="20"/>
        <v>1</v>
      </c>
      <c r="N1316" s="7" t="s">
        <v>1421</v>
      </c>
      <c r="O1316" s="12"/>
      <c r="P1316" s="12" t="s">
        <v>130</v>
      </c>
    </row>
    <row r="1317" spans="1:16" ht="102" hidden="1" customHeight="1" x14ac:dyDescent="0.35">
      <c r="A1317" s="12">
        <v>3721</v>
      </c>
      <c r="B1317" s="12" t="s">
        <v>100</v>
      </c>
      <c r="C1317" s="12" t="s">
        <v>105</v>
      </c>
      <c r="D1317" s="12" t="s">
        <v>106</v>
      </c>
      <c r="E1317" s="12" t="s">
        <v>126</v>
      </c>
      <c r="F1317" s="12" t="s">
        <v>66</v>
      </c>
      <c r="G1317" s="12" t="s">
        <v>64</v>
      </c>
      <c r="H1317" s="12">
        <v>3550308</v>
      </c>
      <c r="I1317" s="13">
        <v>45911.615231481497</v>
      </c>
      <c r="J1317" s="12" t="s">
        <v>127</v>
      </c>
      <c r="K1317" s="12" t="s">
        <v>128</v>
      </c>
      <c r="L1317" s="14">
        <v>1</v>
      </c>
      <c r="M1317" s="14">
        <f t="shared" si="20"/>
        <v>1</v>
      </c>
      <c r="N1317" s="7" t="s">
        <v>1422</v>
      </c>
      <c r="O1317" s="12"/>
      <c r="P1317" s="12" t="s">
        <v>130</v>
      </c>
    </row>
    <row r="1318" spans="1:16" ht="57" hidden="1" customHeight="1" x14ac:dyDescent="0.35">
      <c r="A1318" s="12">
        <v>5953</v>
      </c>
      <c r="B1318" s="12" t="s">
        <v>100</v>
      </c>
      <c r="C1318" s="12" t="s">
        <v>105</v>
      </c>
      <c r="D1318" s="12" t="s">
        <v>106</v>
      </c>
      <c r="E1318" s="12" t="s">
        <v>126</v>
      </c>
      <c r="F1318" s="12" t="s">
        <v>39</v>
      </c>
      <c r="G1318" s="12" t="s">
        <v>64</v>
      </c>
      <c r="H1318" s="12">
        <v>35</v>
      </c>
      <c r="I1318" s="13">
        <v>45888.797835648198</v>
      </c>
      <c r="J1318" s="12" t="s">
        <v>127</v>
      </c>
      <c r="K1318" s="12" t="s">
        <v>128</v>
      </c>
      <c r="L1318" s="14">
        <v>1</v>
      </c>
      <c r="M1318" s="14">
        <f t="shared" si="20"/>
        <v>1</v>
      </c>
      <c r="N1318" s="7" t="s">
        <v>1423</v>
      </c>
      <c r="O1318" s="12"/>
      <c r="P1318" s="12" t="s">
        <v>130</v>
      </c>
    </row>
    <row r="1319" spans="1:16" ht="57" hidden="1" customHeight="1" x14ac:dyDescent="0.35">
      <c r="A1319" s="12">
        <v>5954</v>
      </c>
      <c r="B1319" s="12" t="s">
        <v>100</v>
      </c>
      <c r="C1319" s="12" t="s">
        <v>105</v>
      </c>
      <c r="D1319" s="12" t="s">
        <v>106</v>
      </c>
      <c r="E1319" s="12" t="s">
        <v>131</v>
      </c>
      <c r="F1319" s="12" t="s">
        <v>39</v>
      </c>
      <c r="G1319" s="12" t="s">
        <v>64</v>
      </c>
      <c r="H1319" s="12">
        <v>35</v>
      </c>
      <c r="I1319" s="13">
        <v>45888.797835648198</v>
      </c>
      <c r="J1319" s="12" t="s">
        <v>127</v>
      </c>
      <c r="K1319" s="12" t="s">
        <v>128</v>
      </c>
      <c r="L1319" s="14">
        <v>1</v>
      </c>
      <c r="M1319" s="14">
        <f t="shared" si="20"/>
        <v>1</v>
      </c>
      <c r="N1319" s="7" t="s">
        <v>1423</v>
      </c>
      <c r="O1319" s="12"/>
      <c r="P1319" s="12" t="s">
        <v>130</v>
      </c>
    </row>
    <row r="1320" spans="1:16" ht="124.5" hidden="1" customHeight="1" x14ac:dyDescent="0.35">
      <c r="A1320" s="12">
        <v>4202</v>
      </c>
      <c r="B1320" s="12" t="s">
        <v>100</v>
      </c>
      <c r="C1320" s="12" t="s">
        <v>105</v>
      </c>
      <c r="D1320" s="12" t="s">
        <v>106</v>
      </c>
      <c r="E1320" s="12" t="s">
        <v>131</v>
      </c>
      <c r="F1320" s="12" t="s">
        <v>66</v>
      </c>
      <c r="G1320" s="12" t="s">
        <v>64</v>
      </c>
      <c r="H1320" s="12">
        <v>3550308</v>
      </c>
      <c r="I1320" s="13">
        <v>45911.615231481497</v>
      </c>
      <c r="J1320" s="12" t="s">
        <v>127</v>
      </c>
      <c r="K1320" s="12" t="s">
        <v>132</v>
      </c>
      <c r="L1320" s="14">
        <v>0.66600000000000004</v>
      </c>
      <c r="M1320" s="14">
        <f t="shared" si="20"/>
        <v>0.66600000000000004</v>
      </c>
      <c r="N1320" s="7" t="s">
        <v>1424</v>
      </c>
      <c r="O1320" s="12"/>
      <c r="P1320" s="12" t="s">
        <v>130</v>
      </c>
    </row>
    <row r="1321" spans="1:16" ht="45.75" hidden="1" customHeight="1" x14ac:dyDescent="0.35">
      <c r="A1321" s="12">
        <v>5933</v>
      </c>
      <c r="B1321" s="12" t="s">
        <v>100</v>
      </c>
      <c r="C1321" s="12" t="s">
        <v>107</v>
      </c>
      <c r="D1321" s="12" t="s">
        <v>108</v>
      </c>
      <c r="E1321" s="12" t="s">
        <v>126</v>
      </c>
      <c r="F1321" s="12" t="s">
        <v>39</v>
      </c>
      <c r="G1321" s="12" t="s">
        <v>64</v>
      </c>
      <c r="H1321" s="12">
        <v>35</v>
      </c>
      <c r="I1321" s="13">
        <v>45888.797835648198</v>
      </c>
      <c r="J1321" s="12" t="s">
        <v>127</v>
      </c>
      <c r="K1321" s="12" t="s">
        <v>128</v>
      </c>
      <c r="L1321" s="14">
        <v>1</v>
      </c>
      <c r="M1321" s="14">
        <f t="shared" si="20"/>
        <v>1</v>
      </c>
      <c r="N1321" s="7" t="s">
        <v>1425</v>
      </c>
      <c r="O1321" s="12"/>
      <c r="P1321" s="12" t="s">
        <v>130</v>
      </c>
    </row>
    <row r="1322" spans="1:16" ht="157.5" hidden="1" customHeight="1" x14ac:dyDescent="0.35">
      <c r="A1322" s="12">
        <v>6181</v>
      </c>
      <c r="B1322" s="12" t="s">
        <v>100</v>
      </c>
      <c r="C1322" s="12" t="s">
        <v>107</v>
      </c>
      <c r="D1322" s="12" t="s">
        <v>108</v>
      </c>
      <c r="E1322" s="12" t="s">
        <v>126</v>
      </c>
      <c r="F1322" s="12" t="s">
        <v>66</v>
      </c>
      <c r="G1322" s="12" t="s">
        <v>64</v>
      </c>
      <c r="H1322" s="12">
        <v>3550308</v>
      </c>
      <c r="I1322" s="13">
        <v>45911.615231481497</v>
      </c>
      <c r="J1322" s="12" t="s">
        <v>127</v>
      </c>
      <c r="K1322" s="12" t="s">
        <v>128</v>
      </c>
      <c r="L1322" s="14">
        <v>1</v>
      </c>
      <c r="M1322" s="14">
        <f t="shared" si="20"/>
        <v>1</v>
      </c>
      <c r="N1322" s="7" t="s">
        <v>1426</v>
      </c>
      <c r="O1322" s="12"/>
      <c r="P1322" s="12" t="s">
        <v>130</v>
      </c>
    </row>
    <row r="1323" spans="1:16" ht="90.75" hidden="1" customHeight="1" x14ac:dyDescent="0.35">
      <c r="A1323" s="12">
        <v>5061</v>
      </c>
      <c r="B1323" s="12" t="s">
        <v>100</v>
      </c>
      <c r="C1323" s="12" t="s">
        <v>107</v>
      </c>
      <c r="D1323" s="12" t="s">
        <v>108</v>
      </c>
      <c r="E1323" s="12" t="s">
        <v>131</v>
      </c>
      <c r="F1323" s="12" t="s">
        <v>66</v>
      </c>
      <c r="G1323" s="12" t="s">
        <v>64</v>
      </c>
      <c r="H1323" s="12">
        <v>3550308</v>
      </c>
      <c r="I1323" s="13">
        <v>45911.615231481497</v>
      </c>
      <c r="J1323" s="12" t="s">
        <v>127</v>
      </c>
      <c r="K1323" s="12" t="s">
        <v>128</v>
      </c>
      <c r="L1323" s="14">
        <v>1</v>
      </c>
      <c r="M1323" s="14">
        <f t="shared" si="20"/>
        <v>1</v>
      </c>
      <c r="N1323" s="7" t="s">
        <v>1427</v>
      </c>
      <c r="O1323" s="12"/>
      <c r="P1323" s="12"/>
    </row>
    <row r="1324" spans="1:16" ht="57" hidden="1" customHeight="1" x14ac:dyDescent="0.35">
      <c r="A1324" s="12">
        <v>5934</v>
      </c>
      <c r="B1324" s="12" t="s">
        <v>100</v>
      </c>
      <c r="C1324" s="12" t="s">
        <v>107</v>
      </c>
      <c r="D1324" s="12" t="s">
        <v>108</v>
      </c>
      <c r="E1324" s="12" t="s">
        <v>131</v>
      </c>
      <c r="F1324" s="12" t="s">
        <v>39</v>
      </c>
      <c r="G1324" s="12" t="s">
        <v>64</v>
      </c>
      <c r="H1324" s="12">
        <v>35</v>
      </c>
      <c r="I1324" s="13">
        <v>45888.797835648198</v>
      </c>
      <c r="J1324" s="12" t="s">
        <v>127</v>
      </c>
      <c r="K1324" s="12" t="s">
        <v>128</v>
      </c>
      <c r="L1324" s="14">
        <v>1</v>
      </c>
      <c r="M1324" s="14">
        <f t="shared" si="20"/>
        <v>1</v>
      </c>
      <c r="N1324" s="7" t="s">
        <v>1428</v>
      </c>
      <c r="O1324" s="12"/>
      <c r="P1324" s="12" t="s">
        <v>130</v>
      </c>
    </row>
    <row r="1325" spans="1:16" ht="135.75" hidden="1" customHeight="1" x14ac:dyDescent="0.35">
      <c r="A1325" s="12">
        <v>5281</v>
      </c>
      <c r="B1325" s="12" t="s">
        <v>100</v>
      </c>
      <c r="C1325" s="12" t="s">
        <v>107</v>
      </c>
      <c r="D1325" s="12" t="s">
        <v>108</v>
      </c>
      <c r="E1325" s="12" t="s">
        <v>134</v>
      </c>
      <c r="F1325" s="12" t="s">
        <v>66</v>
      </c>
      <c r="G1325" s="12" t="s">
        <v>64</v>
      </c>
      <c r="H1325" s="12">
        <v>3550308</v>
      </c>
      <c r="I1325" s="13">
        <v>45911.615231481497</v>
      </c>
      <c r="J1325" s="12" t="s">
        <v>127</v>
      </c>
      <c r="K1325" s="12" t="s">
        <v>128</v>
      </c>
      <c r="L1325" s="14">
        <v>1</v>
      </c>
      <c r="M1325" s="14">
        <f t="shared" si="20"/>
        <v>1</v>
      </c>
      <c r="N1325" s="7" t="s">
        <v>1429</v>
      </c>
      <c r="O1325" s="12"/>
      <c r="P1325" s="12" t="s">
        <v>130</v>
      </c>
    </row>
    <row r="1326" spans="1:16" ht="34.5" hidden="1" customHeight="1" x14ac:dyDescent="0.35">
      <c r="A1326" s="12">
        <v>5935</v>
      </c>
      <c r="B1326" s="12" t="s">
        <v>100</v>
      </c>
      <c r="C1326" s="12" t="s">
        <v>107</v>
      </c>
      <c r="D1326" s="12" t="s">
        <v>108</v>
      </c>
      <c r="E1326" s="12" t="s">
        <v>134</v>
      </c>
      <c r="F1326" s="12" t="s">
        <v>39</v>
      </c>
      <c r="G1326" s="12" t="s">
        <v>64</v>
      </c>
      <c r="H1326" s="12">
        <v>35</v>
      </c>
      <c r="I1326" s="13">
        <v>45888.797835648198</v>
      </c>
      <c r="J1326" s="12" t="s">
        <v>127</v>
      </c>
      <c r="K1326" s="12" t="s">
        <v>128</v>
      </c>
      <c r="L1326" s="14">
        <v>1</v>
      </c>
      <c r="M1326" s="14">
        <f t="shared" si="20"/>
        <v>1</v>
      </c>
      <c r="N1326" s="7" t="s">
        <v>1430</v>
      </c>
      <c r="O1326" s="12"/>
      <c r="P1326" s="12" t="s">
        <v>130</v>
      </c>
    </row>
    <row r="1327" spans="1:16" ht="135.75" hidden="1" customHeight="1" x14ac:dyDescent="0.35">
      <c r="A1327" s="12">
        <v>4499</v>
      </c>
      <c r="B1327" s="12" t="s">
        <v>100</v>
      </c>
      <c r="C1327" s="12" t="s">
        <v>109</v>
      </c>
      <c r="D1327" s="12" t="s">
        <v>110</v>
      </c>
      <c r="E1327" s="12" t="s">
        <v>126</v>
      </c>
      <c r="F1327" s="12" t="s">
        <v>66</v>
      </c>
      <c r="G1327" s="12" t="s">
        <v>64</v>
      </c>
      <c r="H1327" s="12">
        <v>3550308</v>
      </c>
      <c r="I1327" s="13">
        <v>45911.615231481497</v>
      </c>
      <c r="J1327" s="12" t="s">
        <v>127</v>
      </c>
      <c r="K1327" s="12" t="s">
        <v>132</v>
      </c>
      <c r="L1327" s="14">
        <v>0.66600000000000004</v>
      </c>
      <c r="M1327" s="14">
        <f t="shared" si="20"/>
        <v>0.66600000000000004</v>
      </c>
      <c r="N1327" s="7" t="s">
        <v>1431</v>
      </c>
      <c r="O1327" s="12"/>
      <c r="P1327" s="12" t="s">
        <v>130</v>
      </c>
    </row>
    <row r="1328" spans="1:16" ht="68.25" hidden="1" customHeight="1" x14ac:dyDescent="0.35">
      <c r="A1328" s="12">
        <v>5955</v>
      </c>
      <c r="B1328" s="12" t="s">
        <v>100</v>
      </c>
      <c r="C1328" s="12" t="s">
        <v>109</v>
      </c>
      <c r="D1328" s="12" t="s">
        <v>110</v>
      </c>
      <c r="E1328" s="12" t="s">
        <v>126</v>
      </c>
      <c r="F1328" s="12" t="s">
        <v>39</v>
      </c>
      <c r="G1328" s="12" t="s">
        <v>64</v>
      </c>
      <c r="H1328" s="12">
        <v>35</v>
      </c>
      <c r="I1328" s="13">
        <v>45888.797835648198</v>
      </c>
      <c r="J1328" s="12" t="s">
        <v>127</v>
      </c>
      <c r="K1328" s="12" t="s">
        <v>128</v>
      </c>
      <c r="L1328" s="14">
        <v>1</v>
      </c>
      <c r="M1328" s="14">
        <f t="shared" si="20"/>
        <v>1</v>
      </c>
      <c r="N1328" s="7" t="s">
        <v>1432</v>
      </c>
      <c r="O1328" s="12"/>
      <c r="P1328" s="12" t="s">
        <v>130</v>
      </c>
    </row>
    <row r="1329" spans="1:16" ht="34.5" hidden="1" customHeight="1" x14ac:dyDescent="0.35">
      <c r="A1329" s="12">
        <v>5936</v>
      </c>
      <c r="B1329" s="12" t="s">
        <v>100</v>
      </c>
      <c r="C1329" s="12" t="s">
        <v>109</v>
      </c>
      <c r="D1329" s="12" t="s">
        <v>110</v>
      </c>
      <c r="E1329" s="12" t="s">
        <v>131</v>
      </c>
      <c r="F1329" s="12" t="s">
        <v>39</v>
      </c>
      <c r="G1329" s="12" t="s">
        <v>64</v>
      </c>
      <c r="H1329" s="12">
        <v>35</v>
      </c>
      <c r="I1329" s="13">
        <v>45888.797835648198</v>
      </c>
      <c r="J1329" s="12" t="s">
        <v>127</v>
      </c>
      <c r="K1329" s="12" t="s">
        <v>128</v>
      </c>
      <c r="L1329" s="14">
        <v>1</v>
      </c>
      <c r="M1329" s="14">
        <f t="shared" si="20"/>
        <v>1</v>
      </c>
      <c r="N1329" s="7" t="s">
        <v>1433</v>
      </c>
      <c r="O1329" s="12"/>
      <c r="P1329" s="12" t="s">
        <v>130</v>
      </c>
    </row>
    <row r="1330" spans="1:16" ht="57" hidden="1" customHeight="1" x14ac:dyDescent="0.35">
      <c r="A1330" s="12">
        <v>4500</v>
      </c>
      <c r="B1330" s="12" t="s">
        <v>100</v>
      </c>
      <c r="C1330" s="12" t="s">
        <v>109</v>
      </c>
      <c r="D1330" s="12" t="s">
        <v>110</v>
      </c>
      <c r="E1330" s="12" t="s">
        <v>131</v>
      </c>
      <c r="F1330" s="12" t="s">
        <v>66</v>
      </c>
      <c r="G1330" s="12" t="s">
        <v>64</v>
      </c>
      <c r="H1330" s="12">
        <v>3550308</v>
      </c>
      <c r="I1330" s="13">
        <v>45911.615231481497</v>
      </c>
      <c r="J1330" s="12" t="s">
        <v>127</v>
      </c>
      <c r="K1330" s="12" t="s">
        <v>132</v>
      </c>
      <c r="L1330" s="14">
        <v>0.66600000000000004</v>
      </c>
      <c r="M1330" s="14">
        <f t="shared" si="20"/>
        <v>0.66600000000000004</v>
      </c>
      <c r="N1330" s="7" t="s">
        <v>1434</v>
      </c>
      <c r="O1330" s="12"/>
      <c r="P1330" s="12" t="s">
        <v>130</v>
      </c>
    </row>
    <row r="1331" spans="1:16" ht="34.5" hidden="1" customHeight="1" x14ac:dyDescent="0.35">
      <c r="A1331" s="12">
        <v>5956</v>
      </c>
      <c r="B1331" s="12" t="s">
        <v>100</v>
      </c>
      <c r="C1331" s="12" t="s">
        <v>111</v>
      </c>
      <c r="D1331" s="12" t="s">
        <v>112</v>
      </c>
      <c r="E1331" s="12" t="s">
        <v>126</v>
      </c>
      <c r="F1331" s="12" t="s">
        <v>39</v>
      </c>
      <c r="G1331" s="12" t="s">
        <v>64</v>
      </c>
      <c r="H1331" s="12">
        <v>35</v>
      </c>
      <c r="I1331" s="13">
        <v>45888.797835648198</v>
      </c>
      <c r="J1331" s="12" t="s">
        <v>127</v>
      </c>
      <c r="K1331" s="12" t="s">
        <v>128</v>
      </c>
      <c r="L1331" s="14">
        <v>1</v>
      </c>
      <c r="M1331" s="14">
        <f t="shared" si="20"/>
        <v>1</v>
      </c>
      <c r="N1331" s="7" t="s">
        <v>1435</v>
      </c>
      <c r="O1331" s="12"/>
      <c r="P1331" s="12" t="s">
        <v>130</v>
      </c>
    </row>
    <row r="1332" spans="1:16" ht="135.75" hidden="1" customHeight="1" x14ac:dyDescent="0.35">
      <c r="A1332" s="12">
        <v>4498</v>
      </c>
      <c r="B1332" s="12" t="s">
        <v>100</v>
      </c>
      <c r="C1332" s="12" t="s">
        <v>111</v>
      </c>
      <c r="D1332" s="12" t="s">
        <v>112</v>
      </c>
      <c r="E1332" s="12" t="s">
        <v>126</v>
      </c>
      <c r="F1332" s="12" t="s">
        <v>66</v>
      </c>
      <c r="G1332" s="12" t="s">
        <v>64</v>
      </c>
      <c r="H1332" s="12">
        <v>3550308</v>
      </c>
      <c r="I1332" s="13">
        <v>45911.615231481497</v>
      </c>
      <c r="J1332" s="12" t="s">
        <v>127</v>
      </c>
      <c r="K1332" s="12" t="s">
        <v>132</v>
      </c>
      <c r="L1332" s="14">
        <v>0.66600000000000004</v>
      </c>
      <c r="M1332" s="14">
        <f t="shared" si="20"/>
        <v>0.66600000000000004</v>
      </c>
      <c r="N1332" s="7" t="s">
        <v>1436</v>
      </c>
      <c r="O1332" s="12"/>
      <c r="P1332" s="12" t="s">
        <v>130</v>
      </c>
    </row>
    <row r="1333" spans="1:16" ht="45.75" hidden="1" customHeight="1" x14ac:dyDescent="0.35">
      <c r="A1333" s="12">
        <v>5937</v>
      </c>
      <c r="B1333" s="12" t="s">
        <v>100</v>
      </c>
      <c r="C1333" s="12" t="s">
        <v>111</v>
      </c>
      <c r="D1333" s="12" t="s">
        <v>112</v>
      </c>
      <c r="E1333" s="12" t="s">
        <v>131</v>
      </c>
      <c r="F1333" s="12" t="s">
        <v>39</v>
      </c>
      <c r="G1333" s="12" t="s">
        <v>64</v>
      </c>
      <c r="H1333" s="12">
        <v>35</v>
      </c>
      <c r="I1333" s="13">
        <v>45888.797835648198</v>
      </c>
      <c r="J1333" s="12" t="s">
        <v>127</v>
      </c>
      <c r="K1333" s="12" t="s">
        <v>128</v>
      </c>
      <c r="L1333" s="14">
        <v>1</v>
      </c>
      <c r="M1333" s="14">
        <f t="shared" si="20"/>
        <v>1</v>
      </c>
      <c r="N1333" s="7" t="s">
        <v>1437</v>
      </c>
      <c r="O1333" s="12"/>
      <c r="P1333" s="12" t="s">
        <v>130</v>
      </c>
    </row>
    <row r="1334" spans="1:16" ht="68.25" hidden="1" customHeight="1" x14ac:dyDescent="0.35">
      <c r="A1334" s="12">
        <v>6201</v>
      </c>
      <c r="B1334" s="12" t="s">
        <v>100</v>
      </c>
      <c r="C1334" s="12" t="s">
        <v>111</v>
      </c>
      <c r="D1334" s="12" t="s">
        <v>112</v>
      </c>
      <c r="E1334" s="12" t="s">
        <v>131</v>
      </c>
      <c r="F1334" s="12" t="s">
        <v>66</v>
      </c>
      <c r="G1334" s="12" t="s">
        <v>64</v>
      </c>
      <c r="H1334" s="12">
        <v>3550308</v>
      </c>
      <c r="I1334" s="13">
        <v>45911.615231481497</v>
      </c>
      <c r="J1334" s="12" t="s">
        <v>127</v>
      </c>
      <c r="K1334" s="12" t="s">
        <v>545</v>
      </c>
      <c r="L1334" s="14"/>
      <c r="M1334" s="14" t="str">
        <f t="shared" si="20"/>
        <v/>
      </c>
      <c r="N1334" s="7" t="s">
        <v>546</v>
      </c>
      <c r="O1334" s="12"/>
      <c r="P1334" s="12" t="s">
        <v>130</v>
      </c>
    </row>
    <row r="1335" spans="1:16" ht="68.25" hidden="1" customHeight="1" x14ac:dyDescent="0.35">
      <c r="A1335" s="12">
        <v>5938</v>
      </c>
      <c r="B1335" s="12" t="s">
        <v>100</v>
      </c>
      <c r="C1335" s="12" t="s">
        <v>111</v>
      </c>
      <c r="D1335" s="12" t="s">
        <v>112</v>
      </c>
      <c r="E1335" s="12" t="s">
        <v>134</v>
      </c>
      <c r="F1335" s="12" t="s">
        <v>39</v>
      </c>
      <c r="G1335" s="12" t="s">
        <v>64</v>
      </c>
      <c r="H1335" s="12">
        <v>35</v>
      </c>
      <c r="I1335" s="13">
        <v>45888.797835648198</v>
      </c>
      <c r="J1335" s="12" t="s">
        <v>127</v>
      </c>
      <c r="K1335" s="12" t="s">
        <v>128</v>
      </c>
      <c r="L1335" s="14">
        <v>1</v>
      </c>
      <c r="M1335" s="14">
        <f t="shared" si="20"/>
        <v>1</v>
      </c>
      <c r="N1335" s="7" t="s">
        <v>1438</v>
      </c>
      <c r="O1335" s="12"/>
      <c r="P1335" s="12" t="s">
        <v>130</v>
      </c>
    </row>
    <row r="1336" spans="1:16" ht="202.5" hidden="1" customHeight="1" x14ac:dyDescent="0.35">
      <c r="A1336" s="12">
        <v>5741</v>
      </c>
      <c r="B1336" s="12" t="s">
        <v>100</v>
      </c>
      <c r="C1336" s="12" t="s">
        <v>111</v>
      </c>
      <c r="D1336" s="12" t="s">
        <v>112</v>
      </c>
      <c r="E1336" s="12" t="s">
        <v>134</v>
      </c>
      <c r="F1336" s="12" t="s">
        <v>66</v>
      </c>
      <c r="G1336" s="12" t="s">
        <v>64</v>
      </c>
      <c r="H1336" s="12">
        <v>3550308</v>
      </c>
      <c r="I1336" s="13">
        <v>45911.615231481497</v>
      </c>
      <c r="J1336" s="12" t="s">
        <v>127</v>
      </c>
      <c r="K1336" s="12" t="s">
        <v>142</v>
      </c>
      <c r="L1336" s="14">
        <v>0.33300000000000002</v>
      </c>
      <c r="M1336" s="14">
        <f t="shared" si="20"/>
        <v>0.33300000000000002</v>
      </c>
      <c r="N1336" s="7" t="s">
        <v>1439</v>
      </c>
      <c r="O1336" s="12"/>
      <c r="P1336" s="12" t="s">
        <v>130</v>
      </c>
    </row>
    <row r="1337" spans="1:16" ht="57" hidden="1" customHeight="1" x14ac:dyDescent="0.35">
      <c r="A1337" s="12">
        <v>5939</v>
      </c>
      <c r="B1337" s="12" t="s">
        <v>100</v>
      </c>
      <c r="C1337" s="12" t="s">
        <v>113</v>
      </c>
      <c r="D1337" s="12" t="s">
        <v>114</v>
      </c>
      <c r="E1337" s="12" t="s">
        <v>126</v>
      </c>
      <c r="F1337" s="12" t="s">
        <v>39</v>
      </c>
      <c r="G1337" s="12" t="s">
        <v>64</v>
      </c>
      <c r="H1337" s="12">
        <v>35</v>
      </c>
      <c r="I1337" s="13">
        <v>45888.797835648198</v>
      </c>
      <c r="J1337" s="12" t="s">
        <v>127</v>
      </c>
      <c r="K1337" s="12" t="s">
        <v>128</v>
      </c>
      <c r="L1337" s="14">
        <v>1</v>
      </c>
      <c r="M1337" s="14">
        <f t="shared" si="20"/>
        <v>1</v>
      </c>
      <c r="N1337" s="7" t="s">
        <v>1440</v>
      </c>
      <c r="O1337" s="12"/>
      <c r="P1337" s="12" t="s">
        <v>130</v>
      </c>
    </row>
    <row r="1338" spans="1:16" ht="68.25" hidden="1" customHeight="1" x14ac:dyDescent="0.35">
      <c r="A1338" s="12">
        <v>4945</v>
      </c>
      <c r="B1338" s="12" t="s">
        <v>100</v>
      </c>
      <c r="C1338" s="12" t="s">
        <v>113</v>
      </c>
      <c r="D1338" s="12" t="s">
        <v>114</v>
      </c>
      <c r="E1338" s="12" t="s">
        <v>126</v>
      </c>
      <c r="F1338" s="12" t="s">
        <v>66</v>
      </c>
      <c r="G1338" s="12" t="s">
        <v>64</v>
      </c>
      <c r="H1338" s="12">
        <v>3550308</v>
      </c>
      <c r="I1338" s="13">
        <v>45911.615231481497</v>
      </c>
      <c r="J1338" s="12" t="s">
        <v>127</v>
      </c>
      <c r="K1338" s="12" t="s">
        <v>545</v>
      </c>
      <c r="L1338" s="14"/>
      <c r="M1338" s="14" t="str">
        <f t="shared" si="20"/>
        <v/>
      </c>
      <c r="N1338" s="7" t="s">
        <v>1441</v>
      </c>
      <c r="O1338" s="12"/>
      <c r="P1338" s="12" t="s">
        <v>130</v>
      </c>
    </row>
    <row r="1339" spans="1:16" ht="79.5" hidden="1" customHeight="1" x14ac:dyDescent="0.35">
      <c r="A1339" s="12">
        <v>3701</v>
      </c>
      <c r="B1339" s="12" t="s">
        <v>100</v>
      </c>
      <c r="C1339" s="12" t="s">
        <v>113</v>
      </c>
      <c r="D1339" s="12" t="s">
        <v>114</v>
      </c>
      <c r="E1339" s="12" t="s">
        <v>131</v>
      </c>
      <c r="F1339" s="12" t="s">
        <v>66</v>
      </c>
      <c r="G1339" s="12" t="s">
        <v>64</v>
      </c>
      <c r="H1339" s="12">
        <v>3550308</v>
      </c>
      <c r="I1339" s="13">
        <v>45911.615231481497</v>
      </c>
      <c r="J1339" s="12" t="s">
        <v>127</v>
      </c>
      <c r="K1339" s="12" t="s">
        <v>132</v>
      </c>
      <c r="L1339" s="14">
        <v>0.66600000000000004</v>
      </c>
      <c r="M1339" s="14">
        <f t="shared" si="20"/>
        <v>0.66600000000000004</v>
      </c>
      <c r="N1339" s="7" t="s">
        <v>1442</v>
      </c>
      <c r="O1339" s="12"/>
      <c r="P1339" s="12" t="s">
        <v>130</v>
      </c>
    </row>
    <row r="1340" spans="1:16" ht="57" hidden="1" customHeight="1" x14ac:dyDescent="0.35">
      <c r="A1340" s="12">
        <v>5940</v>
      </c>
      <c r="B1340" s="12" t="s">
        <v>100</v>
      </c>
      <c r="C1340" s="12" t="s">
        <v>113</v>
      </c>
      <c r="D1340" s="12" t="s">
        <v>114</v>
      </c>
      <c r="E1340" s="12" t="s">
        <v>131</v>
      </c>
      <c r="F1340" s="12" t="s">
        <v>39</v>
      </c>
      <c r="G1340" s="12" t="s">
        <v>64</v>
      </c>
      <c r="H1340" s="12">
        <v>35</v>
      </c>
      <c r="I1340" s="13">
        <v>45888.797835648198</v>
      </c>
      <c r="J1340" s="12" t="s">
        <v>127</v>
      </c>
      <c r="K1340" s="12" t="s">
        <v>132</v>
      </c>
      <c r="L1340" s="14">
        <v>0.66600000000000004</v>
      </c>
      <c r="M1340" s="14">
        <f t="shared" si="20"/>
        <v>0.66600000000000004</v>
      </c>
      <c r="N1340" s="7" t="s">
        <v>1443</v>
      </c>
      <c r="O1340" s="12"/>
      <c r="P1340" s="12" t="s">
        <v>130</v>
      </c>
    </row>
    <row r="1341" spans="1:16" ht="34.5" hidden="1" customHeight="1" x14ac:dyDescent="0.35">
      <c r="A1341" s="12">
        <v>5957</v>
      </c>
      <c r="B1341" s="12" t="s">
        <v>100</v>
      </c>
      <c r="C1341" s="12" t="s">
        <v>113</v>
      </c>
      <c r="D1341" s="12" t="s">
        <v>114</v>
      </c>
      <c r="E1341" s="12" t="s">
        <v>134</v>
      </c>
      <c r="F1341" s="12" t="s">
        <v>39</v>
      </c>
      <c r="G1341" s="12" t="s">
        <v>64</v>
      </c>
      <c r="H1341" s="12">
        <v>35</v>
      </c>
      <c r="I1341" s="13">
        <v>45888.797835648198</v>
      </c>
      <c r="J1341" s="12" t="s">
        <v>127</v>
      </c>
      <c r="K1341" s="12" t="s">
        <v>132</v>
      </c>
      <c r="L1341" s="14">
        <v>0.66600000000000004</v>
      </c>
      <c r="M1341" s="14">
        <f t="shared" si="20"/>
        <v>0.66600000000000004</v>
      </c>
      <c r="N1341" s="7" t="s">
        <v>1444</v>
      </c>
      <c r="O1341" s="12"/>
      <c r="P1341" s="12" t="s">
        <v>130</v>
      </c>
    </row>
    <row r="1342" spans="1:16" ht="34.5" hidden="1" customHeight="1" x14ac:dyDescent="0.35">
      <c r="A1342" s="12">
        <v>3005</v>
      </c>
      <c r="B1342" s="12" t="s">
        <v>100</v>
      </c>
      <c r="C1342" s="12" t="s">
        <v>113</v>
      </c>
      <c r="D1342" s="12" t="s">
        <v>114</v>
      </c>
      <c r="E1342" s="12" t="s">
        <v>134</v>
      </c>
      <c r="F1342" s="12" t="s">
        <v>66</v>
      </c>
      <c r="G1342" s="12" t="s">
        <v>64</v>
      </c>
      <c r="H1342" s="12">
        <v>3550308</v>
      </c>
      <c r="I1342" s="13">
        <v>45911.615231481497</v>
      </c>
      <c r="J1342" s="12" t="s">
        <v>127</v>
      </c>
      <c r="K1342" s="12" t="s">
        <v>688</v>
      </c>
      <c r="L1342" s="14"/>
      <c r="M1342" s="14" t="str">
        <f t="shared" si="20"/>
        <v/>
      </c>
      <c r="N1342" s="7" t="s">
        <v>1445</v>
      </c>
      <c r="O1342" s="12"/>
      <c r="P1342" s="12" t="s">
        <v>130</v>
      </c>
    </row>
    <row r="1343" spans="1:16" ht="34.5" hidden="1" customHeight="1" x14ac:dyDescent="0.35">
      <c r="A1343" s="12">
        <v>7481</v>
      </c>
      <c r="B1343" s="12" t="s">
        <v>100</v>
      </c>
      <c r="C1343" s="12" t="s">
        <v>101</v>
      </c>
      <c r="D1343" s="12" t="s">
        <v>102</v>
      </c>
      <c r="E1343" s="12" t="s">
        <v>126</v>
      </c>
      <c r="F1343" s="12" t="s">
        <v>66</v>
      </c>
      <c r="G1343" s="12" t="s">
        <v>87</v>
      </c>
      <c r="H1343" s="12">
        <v>2211001</v>
      </c>
      <c r="I1343" s="13">
        <v>45915.662974537001</v>
      </c>
      <c r="J1343" s="12" t="s">
        <v>127</v>
      </c>
      <c r="K1343" s="12" t="s">
        <v>128</v>
      </c>
      <c r="L1343" s="14">
        <v>1</v>
      </c>
      <c r="M1343" s="14">
        <f t="shared" si="20"/>
        <v>1</v>
      </c>
      <c r="N1343" s="7" t="s">
        <v>1446</v>
      </c>
      <c r="O1343" s="12"/>
      <c r="P1343" s="12" t="s">
        <v>130</v>
      </c>
    </row>
    <row r="1344" spans="1:16" ht="79.5" hidden="1" customHeight="1" x14ac:dyDescent="0.35">
      <c r="A1344" s="12">
        <v>7482</v>
      </c>
      <c r="B1344" s="12" t="s">
        <v>100</v>
      </c>
      <c r="C1344" s="12" t="s">
        <v>101</v>
      </c>
      <c r="D1344" s="12" t="s">
        <v>102</v>
      </c>
      <c r="E1344" s="12" t="s">
        <v>131</v>
      </c>
      <c r="F1344" s="12" t="s">
        <v>66</v>
      </c>
      <c r="G1344" s="12" t="s">
        <v>87</v>
      </c>
      <c r="H1344" s="12">
        <v>2211001</v>
      </c>
      <c r="I1344" s="13">
        <v>45915.662974537001</v>
      </c>
      <c r="J1344" s="12" t="s">
        <v>127</v>
      </c>
      <c r="K1344" s="12" t="s">
        <v>128</v>
      </c>
      <c r="L1344" s="14">
        <v>1</v>
      </c>
      <c r="M1344" s="14">
        <f t="shared" si="20"/>
        <v>1</v>
      </c>
      <c r="N1344" s="7" t="s">
        <v>1447</v>
      </c>
      <c r="O1344" s="12"/>
      <c r="P1344" s="12" t="s">
        <v>130</v>
      </c>
    </row>
    <row r="1345" spans="1:16" ht="45.75" hidden="1" customHeight="1" x14ac:dyDescent="0.35">
      <c r="A1345" s="12">
        <v>7483</v>
      </c>
      <c r="B1345" s="12" t="s">
        <v>100</v>
      </c>
      <c r="C1345" s="12" t="s">
        <v>101</v>
      </c>
      <c r="D1345" s="12" t="s">
        <v>102</v>
      </c>
      <c r="E1345" s="12" t="s">
        <v>134</v>
      </c>
      <c r="F1345" s="12" t="s">
        <v>66</v>
      </c>
      <c r="G1345" s="12" t="s">
        <v>87</v>
      </c>
      <c r="H1345" s="12">
        <v>2211001</v>
      </c>
      <c r="I1345" s="13">
        <v>45915.662974537001</v>
      </c>
      <c r="J1345" s="12" t="s">
        <v>127</v>
      </c>
      <c r="K1345" s="12" t="s">
        <v>128</v>
      </c>
      <c r="L1345" s="14">
        <v>1</v>
      </c>
      <c r="M1345" s="14">
        <f t="shared" si="20"/>
        <v>1</v>
      </c>
      <c r="N1345" s="7" t="s">
        <v>1448</v>
      </c>
      <c r="O1345" s="12"/>
      <c r="P1345" s="12" t="s">
        <v>130</v>
      </c>
    </row>
    <row r="1346" spans="1:16" ht="57" hidden="1" customHeight="1" x14ac:dyDescent="0.35">
      <c r="A1346" s="12">
        <v>7484</v>
      </c>
      <c r="B1346" s="12" t="s">
        <v>100</v>
      </c>
      <c r="C1346" s="12" t="s">
        <v>103</v>
      </c>
      <c r="D1346" s="12" t="s">
        <v>104</v>
      </c>
      <c r="E1346" s="12" t="s">
        <v>126</v>
      </c>
      <c r="F1346" s="12" t="s">
        <v>66</v>
      </c>
      <c r="G1346" s="12" t="s">
        <v>87</v>
      </c>
      <c r="H1346" s="12">
        <v>2211001</v>
      </c>
      <c r="I1346" s="13">
        <v>45915.662974537001</v>
      </c>
      <c r="J1346" s="12" t="s">
        <v>127</v>
      </c>
      <c r="K1346" s="12" t="s">
        <v>128</v>
      </c>
      <c r="L1346" s="14">
        <v>1</v>
      </c>
      <c r="M1346" s="14">
        <f t="shared" ref="M1346:M1409" si="21">IF(K1346="Sem progresso",0,IF(OR(K1346="Não avaliado",K1346="Não se aplica",K1346=""),"",L1346))</f>
        <v>1</v>
      </c>
      <c r="N1346" s="7" t="s">
        <v>1449</v>
      </c>
      <c r="O1346" s="12"/>
      <c r="P1346" s="12" t="s">
        <v>130</v>
      </c>
    </row>
    <row r="1347" spans="1:16" ht="57" hidden="1" customHeight="1" x14ac:dyDescent="0.35">
      <c r="A1347" s="12">
        <v>7485</v>
      </c>
      <c r="B1347" s="12" t="s">
        <v>100</v>
      </c>
      <c r="C1347" s="12" t="s">
        <v>103</v>
      </c>
      <c r="D1347" s="12" t="s">
        <v>104</v>
      </c>
      <c r="E1347" s="12" t="s">
        <v>131</v>
      </c>
      <c r="F1347" s="12" t="s">
        <v>66</v>
      </c>
      <c r="G1347" s="12" t="s">
        <v>87</v>
      </c>
      <c r="H1347" s="12">
        <v>2211001</v>
      </c>
      <c r="I1347" s="13">
        <v>45915.662974537001</v>
      </c>
      <c r="J1347" s="12" t="s">
        <v>127</v>
      </c>
      <c r="K1347" s="12" t="s">
        <v>128</v>
      </c>
      <c r="L1347" s="14">
        <v>1</v>
      </c>
      <c r="M1347" s="14">
        <f t="shared" si="21"/>
        <v>1</v>
      </c>
      <c r="N1347" s="7" t="s">
        <v>1450</v>
      </c>
      <c r="O1347" s="12"/>
      <c r="P1347" s="12" t="s">
        <v>130</v>
      </c>
    </row>
    <row r="1348" spans="1:16" ht="90.75" hidden="1" customHeight="1" x14ac:dyDescent="0.35">
      <c r="A1348" s="12">
        <v>7486</v>
      </c>
      <c r="B1348" s="12" t="s">
        <v>100</v>
      </c>
      <c r="C1348" s="12" t="s">
        <v>103</v>
      </c>
      <c r="D1348" s="12" t="s">
        <v>104</v>
      </c>
      <c r="E1348" s="12" t="s">
        <v>134</v>
      </c>
      <c r="F1348" s="12" t="s">
        <v>66</v>
      </c>
      <c r="G1348" s="12" t="s">
        <v>87</v>
      </c>
      <c r="H1348" s="12">
        <v>2211001</v>
      </c>
      <c r="I1348" s="13">
        <v>45915.662974537001</v>
      </c>
      <c r="J1348" s="12" t="s">
        <v>127</v>
      </c>
      <c r="K1348" s="12" t="s">
        <v>142</v>
      </c>
      <c r="L1348" s="14">
        <v>0.33300000000000002</v>
      </c>
      <c r="M1348" s="14">
        <f t="shared" si="21"/>
        <v>0.33300000000000002</v>
      </c>
      <c r="N1348" s="7" t="s">
        <v>1451</v>
      </c>
      <c r="O1348" s="12"/>
      <c r="P1348" s="12" t="s">
        <v>130</v>
      </c>
    </row>
    <row r="1349" spans="1:16" ht="68.25" hidden="1" customHeight="1" x14ac:dyDescent="0.35">
      <c r="A1349" s="12">
        <v>7487</v>
      </c>
      <c r="B1349" s="12" t="s">
        <v>100</v>
      </c>
      <c r="C1349" s="12" t="s">
        <v>105</v>
      </c>
      <c r="D1349" s="12" t="s">
        <v>106</v>
      </c>
      <c r="E1349" s="12" t="s">
        <v>126</v>
      </c>
      <c r="F1349" s="12" t="s">
        <v>66</v>
      </c>
      <c r="G1349" s="12" t="s">
        <v>87</v>
      </c>
      <c r="H1349" s="12">
        <v>2211001</v>
      </c>
      <c r="I1349" s="13">
        <v>45915.662974537001</v>
      </c>
      <c r="J1349" s="12" t="s">
        <v>127</v>
      </c>
      <c r="K1349" s="12" t="s">
        <v>128</v>
      </c>
      <c r="L1349" s="14">
        <v>1</v>
      </c>
      <c r="M1349" s="14">
        <f t="shared" si="21"/>
        <v>1</v>
      </c>
      <c r="N1349" s="7" t="s">
        <v>1452</v>
      </c>
      <c r="O1349" s="12"/>
      <c r="P1349" s="12" t="s">
        <v>130</v>
      </c>
    </row>
    <row r="1350" spans="1:16" ht="79.5" hidden="1" customHeight="1" x14ac:dyDescent="0.35">
      <c r="A1350" s="12">
        <v>7502</v>
      </c>
      <c r="B1350" s="12" t="s">
        <v>100</v>
      </c>
      <c r="C1350" s="12" t="s">
        <v>105</v>
      </c>
      <c r="D1350" s="12" t="s">
        <v>106</v>
      </c>
      <c r="E1350" s="12" t="s">
        <v>131</v>
      </c>
      <c r="F1350" s="12" t="s">
        <v>66</v>
      </c>
      <c r="G1350" s="12" t="s">
        <v>87</v>
      </c>
      <c r="H1350" s="12">
        <v>2211001</v>
      </c>
      <c r="I1350" s="13">
        <v>45915.662974537001</v>
      </c>
      <c r="J1350" s="12" t="s">
        <v>127</v>
      </c>
      <c r="K1350" s="12" t="s">
        <v>132</v>
      </c>
      <c r="L1350" s="14">
        <v>0.66600000000000004</v>
      </c>
      <c r="M1350" s="14">
        <f t="shared" si="21"/>
        <v>0.66600000000000004</v>
      </c>
      <c r="N1350" s="7" t="s">
        <v>1453</v>
      </c>
      <c r="O1350" s="12"/>
      <c r="P1350" s="12" t="s">
        <v>130</v>
      </c>
    </row>
    <row r="1351" spans="1:16" ht="68.25" hidden="1" customHeight="1" x14ac:dyDescent="0.35">
      <c r="A1351" s="12">
        <v>7488</v>
      </c>
      <c r="B1351" s="12" t="s">
        <v>100</v>
      </c>
      <c r="C1351" s="12" t="s">
        <v>107</v>
      </c>
      <c r="D1351" s="12" t="s">
        <v>108</v>
      </c>
      <c r="E1351" s="12" t="s">
        <v>126</v>
      </c>
      <c r="F1351" s="12" t="s">
        <v>66</v>
      </c>
      <c r="G1351" s="12" t="s">
        <v>87</v>
      </c>
      <c r="H1351" s="12">
        <v>2211001</v>
      </c>
      <c r="I1351" s="13">
        <v>45915.662974537001</v>
      </c>
      <c r="J1351" s="12" t="s">
        <v>127</v>
      </c>
      <c r="K1351" s="12" t="s">
        <v>132</v>
      </c>
      <c r="L1351" s="14">
        <v>0.66600000000000004</v>
      </c>
      <c r="M1351" s="14">
        <f t="shared" si="21"/>
        <v>0.66600000000000004</v>
      </c>
      <c r="N1351" s="7" t="s">
        <v>1454</v>
      </c>
      <c r="O1351" s="12"/>
      <c r="P1351" s="12" t="s">
        <v>130</v>
      </c>
    </row>
    <row r="1352" spans="1:16" ht="57" hidden="1" customHeight="1" x14ac:dyDescent="0.35">
      <c r="A1352" s="12">
        <v>7504</v>
      </c>
      <c r="B1352" s="12" t="s">
        <v>100</v>
      </c>
      <c r="C1352" s="12" t="s">
        <v>107</v>
      </c>
      <c r="D1352" s="12" t="s">
        <v>108</v>
      </c>
      <c r="E1352" s="12" t="s">
        <v>131</v>
      </c>
      <c r="F1352" s="12" t="s">
        <v>66</v>
      </c>
      <c r="G1352" s="12" t="s">
        <v>87</v>
      </c>
      <c r="H1352" s="12">
        <v>2211001</v>
      </c>
      <c r="I1352" s="13">
        <v>45915.662974537001</v>
      </c>
      <c r="J1352" s="12" t="s">
        <v>127</v>
      </c>
      <c r="K1352" s="12" t="s">
        <v>142</v>
      </c>
      <c r="L1352" s="14">
        <v>0.33300000000000002</v>
      </c>
      <c r="M1352" s="14">
        <f t="shared" si="21"/>
        <v>0.33300000000000002</v>
      </c>
      <c r="N1352" s="7" t="s">
        <v>1455</v>
      </c>
      <c r="O1352" s="12"/>
      <c r="P1352" s="12" t="s">
        <v>130</v>
      </c>
    </row>
    <row r="1353" spans="1:16" ht="79.5" hidden="1" customHeight="1" x14ac:dyDescent="0.35">
      <c r="A1353" s="12">
        <v>7505</v>
      </c>
      <c r="B1353" s="12" t="s">
        <v>100</v>
      </c>
      <c r="C1353" s="12" t="s">
        <v>107</v>
      </c>
      <c r="D1353" s="12" t="s">
        <v>108</v>
      </c>
      <c r="E1353" s="12" t="s">
        <v>134</v>
      </c>
      <c r="F1353" s="12" t="s">
        <v>66</v>
      </c>
      <c r="G1353" s="12" t="s">
        <v>87</v>
      </c>
      <c r="H1353" s="12">
        <v>2211001</v>
      </c>
      <c r="I1353" s="13">
        <v>45915.662974537001</v>
      </c>
      <c r="J1353" s="12" t="s">
        <v>127</v>
      </c>
      <c r="K1353" s="12" t="s">
        <v>142</v>
      </c>
      <c r="L1353" s="14">
        <v>0.33300000000000002</v>
      </c>
      <c r="M1353" s="14">
        <f t="shared" si="21"/>
        <v>0.33300000000000002</v>
      </c>
      <c r="N1353" s="7" t="s">
        <v>1456</v>
      </c>
      <c r="O1353" s="12"/>
      <c r="P1353" s="12" t="s">
        <v>130</v>
      </c>
    </row>
    <row r="1354" spans="1:16" ht="79.5" hidden="1" customHeight="1" x14ac:dyDescent="0.35">
      <c r="A1354" s="12">
        <v>7506</v>
      </c>
      <c r="B1354" s="12" t="s">
        <v>100</v>
      </c>
      <c r="C1354" s="12" t="s">
        <v>109</v>
      </c>
      <c r="D1354" s="12" t="s">
        <v>110</v>
      </c>
      <c r="E1354" s="12" t="s">
        <v>126</v>
      </c>
      <c r="F1354" s="12" t="s">
        <v>66</v>
      </c>
      <c r="G1354" s="12" t="s">
        <v>87</v>
      </c>
      <c r="H1354" s="12">
        <v>2211001</v>
      </c>
      <c r="I1354" s="13">
        <v>45915.662974537001</v>
      </c>
      <c r="J1354" s="12" t="s">
        <v>127</v>
      </c>
      <c r="K1354" s="12" t="s">
        <v>142</v>
      </c>
      <c r="L1354" s="14">
        <v>0.33300000000000002</v>
      </c>
      <c r="M1354" s="14">
        <f t="shared" si="21"/>
        <v>0.33300000000000002</v>
      </c>
      <c r="N1354" s="7" t="s">
        <v>1457</v>
      </c>
      <c r="O1354" s="12"/>
      <c r="P1354" s="12"/>
    </row>
    <row r="1355" spans="1:16" ht="23.25" hidden="1" customHeight="1" x14ac:dyDescent="0.35">
      <c r="A1355" s="12">
        <v>7507</v>
      </c>
      <c r="B1355" s="12" t="s">
        <v>100</v>
      </c>
      <c r="C1355" s="12" t="s">
        <v>109</v>
      </c>
      <c r="D1355" s="12" t="s">
        <v>110</v>
      </c>
      <c r="E1355" s="12" t="s">
        <v>131</v>
      </c>
      <c r="F1355" s="12" t="s">
        <v>66</v>
      </c>
      <c r="G1355" s="12" t="s">
        <v>87</v>
      </c>
      <c r="H1355" s="12">
        <v>2211001</v>
      </c>
      <c r="I1355" s="13">
        <v>45915.662974537001</v>
      </c>
      <c r="J1355" s="12" t="s">
        <v>127</v>
      </c>
      <c r="K1355" s="12" t="s">
        <v>135</v>
      </c>
      <c r="L1355" s="14"/>
      <c r="M1355" s="14">
        <f t="shared" si="21"/>
        <v>0</v>
      </c>
      <c r="N1355" s="7" t="s">
        <v>1458</v>
      </c>
      <c r="O1355" s="12"/>
      <c r="P1355" s="12" t="s">
        <v>130</v>
      </c>
    </row>
    <row r="1356" spans="1:16" ht="168.75" hidden="1" customHeight="1" x14ac:dyDescent="0.35">
      <c r="A1356" s="12">
        <v>7508</v>
      </c>
      <c r="B1356" s="12" t="s">
        <v>100</v>
      </c>
      <c r="C1356" s="12" t="s">
        <v>111</v>
      </c>
      <c r="D1356" s="12" t="s">
        <v>112</v>
      </c>
      <c r="E1356" s="12" t="s">
        <v>126</v>
      </c>
      <c r="F1356" s="12" t="s">
        <v>66</v>
      </c>
      <c r="G1356" s="12" t="s">
        <v>87</v>
      </c>
      <c r="H1356" s="12">
        <v>2211001</v>
      </c>
      <c r="I1356" s="13">
        <v>45915.662974537001</v>
      </c>
      <c r="J1356" s="12" t="s">
        <v>127</v>
      </c>
      <c r="K1356" s="12" t="s">
        <v>142</v>
      </c>
      <c r="L1356" s="14">
        <v>0.33300000000000002</v>
      </c>
      <c r="M1356" s="14">
        <f t="shared" si="21"/>
        <v>0.33300000000000002</v>
      </c>
      <c r="N1356" s="7" t="s">
        <v>1459</v>
      </c>
      <c r="O1356" s="12"/>
      <c r="P1356" s="12" t="s">
        <v>130</v>
      </c>
    </row>
    <row r="1357" spans="1:16" ht="23.25" hidden="1" customHeight="1" x14ac:dyDescent="0.35">
      <c r="A1357" s="12">
        <v>7509</v>
      </c>
      <c r="B1357" s="12" t="s">
        <v>100</v>
      </c>
      <c r="C1357" s="12" t="s">
        <v>111</v>
      </c>
      <c r="D1357" s="12" t="s">
        <v>112</v>
      </c>
      <c r="E1357" s="12" t="s">
        <v>131</v>
      </c>
      <c r="F1357" s="12" t="s">
        <v>66</v>
      </c>
      <c r="G1357" s="12" t="s">
        <v>87</v>
      </c>
      <c r="H1357" s="12">
        <v>2211001</v>
      </c>
      <c r="I1357" s="13">
        <v>45915.662974537001</v>
      </c>
      <c r="J1357" s="12" t="s">
        <v>127</v>
      </c>
      <c r="K1357" s="12" t="s">
        <v>135</v>
      </c>
      <c r="L1357" s="14"/>
      <c r="M1357" s="14">
        <f t="shared" si="21"/>
        <v>0</v>
      </c>
      <c r="N1357" s="7" t="s">
        <v>1460</v>
      </c>
      <c r="O1357" s="12"/>
      <c r="P1357" s="12" t="s">
        <v>130</v>
      </c>
    </row>
    <row r="1358" spans="1:16" ht="45.75" hidden="1" customHeight="1" x14ac:dyDescent="0.35">
      <c r="A1358" s="12">
        <v>7489</v>
      </c>
      <c r="B1358" s="12" t="s">
        <v>100</v>
      </c>
      <c r="C1358" s="12" t="s">
        <v>111</v>
      </c>
      <c r="D1358" s="12" t="s">
        <v>112</v>
      </c>
      <c r="E1358" s="12" t="s">
        <v>134</v>
      </c>
      <c r="F1358" s="12" t="s">
        <v>66</v>
      </c>
      <c r="G1358" s="12" t="s">
        <v>87</v>
      </c>
      <c r="H1358" s="12">
        <v>2211001</v>
      </c>
      <c r="I1358" s="13">
        <v>45915.662974537001</v>
      </c>
      <c r="J1358" s="12" t="s">
        <v>127</v>
      </c>
      <c r="K1358" s="12" t="s">
        <v>135</v>
      </c>
      <c r="L1358" s="14"/>
      <c r="M1358" s="14">
        <f t="shared" si="21"/>
        <v>0</v>
      </c>
      <c r="N1358" s="7" t="s">
        <v>1461</v>
      </c>
      <c r="O1358" s="12"/>
      <c r="P1358" s="12" t="s">
        <v>130</v>
      </c>
    </row>
    <row r="1359" spans="1:16" ht="23.25" hidden="1" customHeight="1" x14ac:dyDescent="0.35">
      <c r="A1359" s="12">
        <v>7510</v>
      </c>
      <c r="B1359" s="12" t="s">
        <v>100</v>
      </c>
      <c r="C1359" s="12" t="s">
        <v>113</v>
      </c>
      <c r="D1359" s="12" t="s">
        <v>114</v>
      </c>
      <c r="E1359" s="12" t="s">
        <v>126</v>
      </c>
      <c r="F1359" s="12" t="s">
        <v>66</v>
      </c>
      <c r="G1359" s="12" t="s">
        <v>87</v>
      </c>
      <c r="H1359" s="12">
        <v>2211001</v>
      </c>
      <c r="I1359" s="13">
        <v>45915.662974537001</v>
      </c>
      <c r="J1359" s="12" t="s">
        <v>127</v>
      </c>
      <c r="K1359" s="12" t="s">
        <v>135</v>
      </c>
      <c r="L1359" s="14"/>
      <c r="M1359" s="14">
        <f t="shared" si="21"/>
        <v>0</v>
      </c>
      <c r="N1359" s="7" t="s">
        <v>1462</v>
      </c>
      <c r="O1359" s="12"/>
      <c r="P1359" s="12" t="s">
        <v>130</v>
      </c>
    </row>
    <row r="1360" spans="1:16" ht="34.5" hidden="1" customHeight="1" x14ac:dyDescent="0.35">
      <c r="A1360" s="12">
        <v>7490</v>
      </c>
      <c r="B1360" s="12" t="s">
        <v>100</v>
      </c>
      <c r="C1360" s="12" t="s">
        <v>113</v>
      </c>
      <c r="D1360" s="12" t="s">
        <v>114</v>
      </c>
      <c r="E1360" s="12" t="s">
        <v>131</v>
      </c>
      <c r="F1360" s="12" t="s">
        <v>66</v>
      </c>
      <c r="G1360" s="12" t="s">
        <v>87</v>
      </c>
      <c r="H1360" s="12">
        <v>2211001</v>
      </c>
      <c r="I1360" s="13">
        <v>45915.662974537001</v>
      </c>
      <c r="J1360" s="12" t="s">
        <v>127</v>
      </c>
      <c r="K1360" s="12" t="s">
        <v>135</v>
      </c>
      <c r="L1360" s="14"/>
      <c r="M1360" s="14">
        <f t="shared" si="21"/>
        <v>0</v>
      </c>
      <c r="N1360" s="7" t="s">
        <v>1463</v>
      </c>
      <c r="O1360" s="12"/>
      <c r="P1360" s="12" t="s">
        <v>130</v>
      </c>
    </row>
    <row r="1361" spans="1:16" ht="15" hidden="1" customHeight="1" x14ac:dyDescent="0.35">
      <c r="A1361" s="12">
        <v>7511</v>
      </c>
      <c r="B1361" s="12" t="s">
        <v>100</v>
      </c>
      <c r="C1361" s="12" t="s">
        <v>113</v>
      </c>
      <c r="D1361" s="12" t="s">
        <v>114</v>
      </c>
      <c r="E1361" s="12" t="s">
        <v>134</v>
      </c>
      <c r="F1361" s="12" t="s">
        <v>66</v>
      </c>
      <c r="G1361" s="12" t="s">
        <v>87</v>
      </c>
      <c r="H1361" s="12">
        <v>2211001</v>
      </c>
      <c r="I1361" s="13">
        <v>45915.662974537001</v>
      </c>
      <c r="J1361" s="12" t="s">
        <v>127</v>
      </c>
      <c r="K1361" s="12" t="s">
        <v>688</v>
      </c>
      <c r="L1361" s="14"/>
      <c r="M1361" s="14" t="str">
        <f t="shared" si="21"/>
        <v/>
      </c>
      <c r="N1361" s="7" t="s">
        <v>1464</v>
      </c>
      <c r="O1361" s="12"/>
      <c r="P1361" s="12" t="s">
        <v>130</v>
      </c>
    </row>
    <row r="1362" spans="1:16" ht="45.75" hidden="1" customHeight="1" x14ac:dyDescent="0.35">
      <c r="A1362" s="12">
        <v>8026</v>
      </c>
      <c r="B1362" s="12" t="s">
        <v>100</v>
      </c>
      <c r="C1362" s="12" t="s">
        <v>101</v>
      </c>
      <c r="D1362" s="12" t="s">
        <v>102</v>
      </c>
      <c r="E1362" s="12" t="s">
        <v>126</v>
      </c>
      <c r="F1362" s="12" t="s">
        <v>39</v>
      </c>
      <c r="G1362" s="12" t="s">
        <v>65</v>
      </c>
      <c r="H1362" s="12">
        <v>17</v>
      </c>
      <c r="I1362" s="13">
        <v>45912.724004629599</v>
      </c>
      <c r="J1362" s="12" t="s">
        <v>127</v>
      </c>
      <c r="K1362" s="12" t="s">
        <v>128</v>
      </c>
      <c r="L1362" s="14">
        <v>1</v>
      </c>
      <c r="M1362" s="14">
        <f t="shared" si="21"/>
        <v>1</v>
      </c>
      <c r="N1362" s="7" t="s">
        <v>1465</v>
      </c>
      <c r="O1362" s="12"/>
      <c r="P1362" s="12" t="s">
        <v>130</v>
      </c>
    </row>
    <row r="1363" spans="1:16" ht="102" hidden="1" customHeight="1" x14ac:dyDescent="0.35">
      <c r="A1363" s="12">
        <v>8005</v>
      </c>
      <c r="B1363" s="12" t="s">
        <v>100</v>
      </c>
      <c r="C1363" s="12" t="s">
        <v>101</v>
      </c>
      <c r="D1363" s="12" t="s">
        <v>102</v>
      </c>
      <c r="E1363" s="12" t="s">
        <v>131</v>
      </c>
      <c r="F1363" s="12" t="s">
        <v>39</v>
      </c>
      <c r="G1363" s="12" t="s">
        <v>65</v>
      </c>
      <c r="H1363" s="12">
        <v>17</v>
      </c>
      <c r="I1363" s="13">
        <v>45912.724004629599</v>
      </c>
      <c r="J1363" s="12" t="s">
        <v>127</v>
      </c>
      <c r="K1363" s="12" t="s">
        <v>142</v>
      </c>
      <c r="L1363" s="14">
        <v>0.33300000000000002</v>
      </c>
      <c r="M1363" s="14">
        <f t="shared" si="21"/>
        <v>0.33300000000000002</v>
      </c>
      <c r="N1363" s="7" t="s">
        <v>1466</v>
      </c>
      <c r="O1363" s="12"/>
      <c r="P1363" s="12" t="s">
        <v>130</v>
      </c>
    </row>
    <row r="1364" spans="1:16" ht="90.75" hidden="1" customHeight="1" x14ac:dyDescent="0.35">
      <c r="A1364" s="12">
        <v>8041</v>
      </c>
      <c r="B1364" s="12" t="s">
        <v>100</v>
      </c>
      <c r="C1364" s="12" t="s">
        <v>101</v>
      </c>
      <c r="D1364" s="12" t="s">
        <v>102</v>
      </c>
      <c r="E1364" s="12" t="s">
        <v>134</v>
      </c>
      <c r="F1364" s="12" t="s">
        <v>39</v>
      </c>
      <c r="G1364" s="12" t="s">
        <v>65</v>
      </c>
      <c r="H1364" s="12">
        <v>17</v>
      </c>
      <c r="I1364" s="13">
        <v>45912.724004629599</v>
      </c>
      <c r="J1364" s="12" t="s">
        <v>127</v>
      </c>
      <c r="K1364" s="12" t="s">
        <v>132</v>
      </c>
      <c r="L1364" s="14">
        <v>0.66600000000000004</v>
      </c>
      <c r="M1364" s="14">
        <f t="shared" si="21"/>
        <v>0.66600000000000004</v>
      </c>
      <c r="N1364" s="7" t="s">
        <v>1467</v>
      </c>
      <c r="O1364" s="12"/>
      <c r="P1364" s="12" t="s">
        <v>130</v>
      </c>
    </row>
    <row r="1365" spans="1:16" ht="45.75" hidden="1" customHeight="1" x14ac:dyDescent="0.35">
      <c r="A1365" s="12">
        <v>8061</v>
      </c>
      <c r="B1365" s="12" t="s">
        <v>100</v>
      </c>
      <c r="C1365" s="12" t="s">
        <v>103</v>
      </c>
      <c r="D1365" s="12" t="s">
        <v>104</v>
      </c>
      <c r="E1365" s="12" t="s">
        <v>126</v>
      </c>
      <c r="F1365" s="12" t="s">
        <v>39</v>
      </c>
      <c r="G1365" s="12" t="s">
        <v>65</v>
      </c>
      <c r="H1365" s="12">
        <v>17</v>
      </c>
      <c r="I1365" s="13">
        <v>45912.724004629599</v>
      </c>
      <c r="J1365" s="12" t="s">
        <v>127</v>
      </c>
      <c r="K1365" s="12" t="s">
        <v>128</v>
      </c>
      <c r="L1365" s="14">
        <v>1</v>
      </c>
      <c r="M1365" s="14">
        <f t="shared" si="21"/>
        <v>1</v>
      </c>
      <c r="N1365" s="7" t="s">
        <v>1468</v>
      </c>
      <c r="O1365" s="12"/>
      <c r="P1365" s="12" t="s">
        <v>130</v>
      </c>
    </row>
    <row r="1366" spans="1:16" ht="68.25" hidden="1" customHeight="1" x14ac:dyDescent="0.35">
      <c r="A1366" s="12">
        <v>8044</v>
      </c>
      <c r="B1366" s="12" t="s">
        <v>100</v>
      </c>
      <c r="C1366" s="12" t="s">
        <v>103</v>
      </c>
      <c r="D1366" s="12" t="s">
        <v>104</v>
      </c>
      <c r="E1366" s="12" t="s">
        <v>131</v>
      </c>
      <c r="F1366" s="12" t="s">
        <v>39</v>
      </c>
      <c r="G1366" s="12" t="s">
        <v>65</v>
      </c>
      <c r="H1366" s="12">
        <v>17</v>
      </c>
      <c r="I1366" s="13">
        <v>45912.724004629599</v>
      </c>
      <c r="J1366" s="12" t="s">
        <v>127</v>
      </c>
      <c r="K1366" s="12" t="s">
        <v>128</v>
      </c>
      <c r="L1366" s="14">
        <v>1</v>
      </c>
      <c r="M1366" s="14">
        <f t="shared" si="21"/>
        <v>1</v>
      </c>
      <c r="N1366" s="7" t="s">
        <v>1469</v>
      </c>
      <c r="O1366" s="12"/>
      <c r="P1366" s="12" t="s">
        <v>130</v>
      </c>
    </row>
    <row r="1367" spans="1:16" ht="57" hidden="1" customHeight="1" x14ac:dyDescent="0.35">
      <c r="A1367" s="12">
        <v>8045</v>
      </c>
      <c r="B1367" s="12" t="s">
        <v>100</v>
      </c>
      <c r="C1367" s="12" t="s">
        <v>103</v>
      </c>
      <c r="D1367" s="12" t="s">
        <v>104</v>
      </c>
      <c r="E1367" s="12" t="s">
        <v>134</v>
      </c>
      <c r="F1367" s="12" t="s">
        <v>39</v>
      </c>
      <c r="G1367" s="12" t="s">
        <v>65</v>
      </c>
      <c r="H1367" s="12">
        <v>17</v>
      </c>
      <c r="I1367" s="13">
        <v>45912.724004629599</v>
      </c>
      <c r="J1367" s="12" t="s">
        <v>127</v>
      </c>
      <c r="K1367" s="12" t="s">
        <v>132</v>
      </c>
      <c r="L1367" s="14">
        <v>0.66600000000000004</v>
      </c>
      <c r="M1367" s="14">
        <f t="shared" si="21"/>
        <v>0.66600000000000004</v>
      </c>
      <c r="N1367" s="7" t="s">
        <v>1470</v>
      </c>
      <c r="O1367" s="12"/>
      <c r="P1367" s="12" t="s">
        <v>130</v>
      </c>
    </row>
    <row r="1368" spans="1:16" ht="102" hidden="1" customHeight="1" x14ac:dyDescent="0.35">
      <c r="A1368" s="12">
        <v>8046</v>
      </c>
      <c r="B1368" s="12" t="s">
        <v>100</v>
      </c>
      <c r="C1368" s="12" t="s">
        <v>105</v>
      </c>
      <c r="D1368" s="12" t="s">
        <v>106</v>
      </c>
      <c r="E1368" s="12" t="s">
        <v>126</v>
      </c>
      <c r="F1368" s="12" t="s">
        <v>39</v>
      </c>
      <c r="G1368" s="12" t="s">
        <v>65</v>
      </c>
      <c r="H1368" s="12">
        <v>17</v>
      </c>
      <c r="I1368" s="13">
        <v>45912.724004629599</v>
      </c>
      <c r="J1368" s="12" t="s">
        <v>127</v>
      </c>
      <c r="K1368" s="12" t="s">
        <v>142</v>
      </c>
      <c r="L1368" s="14">
        <v>0.33300000000000002</v>
      </c>
      <c r="M1368" s="14">
        <f t="shared" si="21"/>
        <v>0.33300000000000002</v>
      </c>
      <c r="N1368" s="7" t="s">
        <v>1471</v>
      </c>
      <c r="O1368" s="12"/>
      <c r="P1368" s="12" t="s">
        <v>130</v>
      </c>
    </row>
    <row r="1369" spans="1:16" ht="57" hidden="1" customHeight="1" x14ac:dyDescent="0.35">
      <c r="A1369" s="12">
        <v>8062</v>
      </c>
      <c r="B1369" s="12" t="s">
        <v>100</v>
      </c>
      <c r="C1369" s="12" t="s">
        <v>105</v>
      </c>
      <c r="D1369" s="12" t="s">
        <v>106</v>
      </c>
      <c r="E1369" s="12" t="s">
        <v>131</v>
      </c>
      <c r="F1369" s="12" t="s">
        <v>39</v>
      </c>
      <c r="G1369" s="12" t="s">
        <v>65</v>
      </c>
      <c r="H1369" s="12">
        <v>17</v>
      </c>
      <c r="I1369" s="13">
        <v>45912.724004629599</v>
      </c>
      <c r="J1369" s="12" t="s">
        <v>127</v>
      </c>
      <c r="K1369" s="12" t="s">
        <v>142</v>
      </c>
      <c r="L1369" s="14">
        <v>0.33300000000000002</v>
      </c>
      <c r="M1369" s="14">
        <f t="shared" si="21"/>
        <v>0.33300000000000002</v>
      </c>
      <c r="N1369" s="7" t="s">
        <v>1472</v>
      </c>
      <c r="O1369" s="12"/>
      <c r="P1369" s="12" t="s">
        <v>130</v>
      </c>
    </row>
    <row r="1370" spans="1:16" ht="45.75" hidden="1" customHeight="1" x14ac:dyDescent="0.35">
      <c r="A1370" s="12">
        <v>8047</v>
      </c>
      <c r="B1370" s="12" t="s">
        <v>100</v>
      </c>
      <c r="C1370" s="12" t="s">
        <v>107</v>
      </c>
      <c r="D1370" s="12" t="s">
        <v>108</v>
      </c>
      <c r="E1370" s="12" t="s">
        <v>126</v>
      </c>
      <c r="F1370" s="12" t="s">
        <v>39</v>
      </c>
      <c r="G1370" s="12" t="s">
        <v>65</v>
      </c>
      <c r="H1370" s="12">
        <v>17</v>
      </c>
      <c r="I1370" s="13">
        <v>45912.724004629599</v>
      </c>
      <c r="J1370" s="12" t="s">
        <v>127</v>
      </c>
      <c r="K1370" s="12" t="s">
        <v>132</v>
      </c>
      <c r="L1370" s="14">
        <v>0.66600000000000004</v>
      </c>
      <c r="M1370" s="14">
        <f t="shared" si="21"/>
        <v>0.66600000000000004</v>
      </c>
      <c r="N1370" s="7" t="s">
        <v>1473</v>
      </c>
      <c r="O1370" s="12"/>
      <c r="P1370" s="12" t="s">
        <v>130</v>
      </c>
    </row>
    <row r="1371" spans="1:16" ht="79.5" hidden="1" customHeight="1" x14ac:dyDescent="0.35">
      <c r="A1371" s="12">
        <v>8063</v>
      </c>
      <c r="B1371" s="12" t="s">
        <v>100</v>
      </c>
      <c r="C1371" s="12" t="s">
        <v>107</v>
      </c>
      <c r="D1371" s="12" t="s">
        <v>108</v>
      </c>
      <c r="E1371" s="12" t="s">
        <v>131</v>
      </c>
      <c r="F1371" s="12" t="s">
        <v>39</v>
      </c>
      <c r="G1371" s="12" t="s">
        <v>65</v>
      </c>
      <c r="H1371" s="12">
        <v>17</v>
      </c>
      <c r="I1371" s="13">
        <v>45912.724004629599</v>
      </c>
      <c r="J1371" s="12" t="s">
        <v>127</v>
      </c>
      <c r="K1371" s="12" t="s">
        <v>132</v>
      </c>
      <c r="L1371" s="14">
        <v>0.66600000000000004</v>
      </c>
      <c r="M1371" s="14">
        <f t="shared" si="21"/>
        <v>0.66600000000000004</v>
      </c>
      <c r="N1371" s="7" t="s">
        <v>1474</v>
      </c>
      <c r="O1371" s="12"/>
      <c r="P1371" s="12" t="s">
        <v>130</v>
      </c>
    </row>
    <row r="1372" spans="1:16" ht="102" hidden="1" customHeight="1" x14ac:dyDescent="0.35">
      <c r="A1372" s="12">
        <v>8086</v>
      </c>
      <c r="B1372" s="12" t="s">
        <v>100</v>
      </c>
      <c r="C1372" s="12" t="s">
        <v>107</v>
      </c>
      <c r="D1372" s="12" t="s">
        <v>108</v>
      </c>
      <c r="E1372" s="12" t="s">
        <v>134</v>
      </c>
      <c r="F1372" s="12" t="s">
        <v>39</v>
      </c>
      <c r="G1372" s="12" t="s">
        <v>65</v>
      </c>
      <c r="H1372" s="12">
        <v>17</v>
      </c>
      <c r="I1372" s="13">
        <v>45912.724004629599</v>
      </c>
      <c r="J1372" s="12" t="s">
        <v>127</v>
      </c>
      <c r="K1372" s="12" t="s">
        <v>132</v>
      </c>
      <c r="L1372" s="14">
        <v>0.66600000000000004</v>
      </c>
      <c r="M1372" s="14">
        <f t="shared" si="21"/>
        <v>0.66600000000000004</v>
      </c>
      <c r="N1372" s="7" t="s">
        <v>1475</v>
      </c>
      <c r="O1372" s="12"/>
      <c r="P1372" s="12" t="s">
        <v>130</v>
      </c>
    </row>
    <row r="1373" spans="1:16" ht="57" hidden="1" customHeight="1" x14ac:dyDescent="0.35">
      <c r="A1373" s="12">
        <v>8065</v>
      </c>
      <c r="B1373" s="12" t="s">
        <v>100</v>
      </c>
      <c r="C1373" s="12" t="s">
        <v>109</v>
      </c>
      <c r="D1373" s="12" t="s">
        <v>110</v>
      </c>
      <c r="E1373" s="12" t="s">
        <v>126</v>
      </c>
      <c r="F1373" s="12" t="s">
        <v>39</v>
      </c>
      <c r="G1373" s="12" t="s">
        <v>65</v>
      </c>
      <c r="H1373" s="12">
        <v>17</v>
      </c>
      <c r="I1373" s="13">
        <v>45912.724004629599</v>
      </c>
      <c r="J1373" s="12" t="s">
        <v>127</v>
      </c>
      <c r="K1373" s="12" t="s">
        <v>142</v>
      </c>
      <c r="L1373" s="14">
        <v>0.33300000000000002</v>
      </c>
      <c r="M1373" s="14">
        <f t="shared" si="21"/>
        <v>0.33300000000000002</v>
      </c>
      <c r="N1373" s="7" t="s">
        <v>1476</v>
      </c>
      <c r="O1373" s="12"/>
      <c r="P1373" s="12" t="s">
        <v>130</v>
      </c>
    </row>
    <row r="1374" spans="1:16" ht="90.75" hidden="1" customHeight="1" x14ac:dyDescent="0.35">
      <c r="A1374" s="12">
        <v>8087</v>
      </c>
      <c r="B1374" s="12" t="s">
        <v>100</v>
      </c>
      <c r="C1374" s="12" t="s">
        <v>109</v>
      </c>
      <c r="D1374" s="12" t="s">
        <v>110</v>
      </c>
      <c r="E1374" s="12" t="s">
        <v>131</v>
      </c>
      <c r="F1374" s="12" t="s">
        <v>39</v>
      </c>
      <c r="G1374" s="12" t="s">
        <v>65</v>
      </c>
      <c r="H1374" s="12">
        <v>17</v>
      </c>
      <c r="I1374" s="13">
        <v>45912.724004629599</v>
      </c>
      <c r="J1374" s="12" t="s">
        <v>127</v>
      </c>
      <c r="K1374" s="12" t="s">
        <v>142</v>
      </c>
      <c r="L1374" s="14">
        <v>0.33300000000000002</v>
      </c>
      <c r="M1374" s="14">
        <f t="shared" si="21"/>
        <v>0.33300000000000002</v>
      </c>
      <c r="N1374" s="7" t="s">
        <v>1477</v>
      </c>
      <c r="O1374" s="12"/>
      <c r="P1374" s="12" t="s">
        <v>130</v>
      </c>
    </row>
    <row r="1375" spans="1:16" ht="57" hidden="1" customHeight="1" x14ac:dyDescent="0.35">
      <c r="A1375" s="12">
        <v>8066</v>
      </c>
      <c r="B1375" s="12" t="s">
        <v>100</v>
      </c>
      <c r="C1375" s="12" t="s">
        <v>111</v>
      </c>
      <c r="D1375" s="12" t="s">
        <v>112</v>
      </c>
      <c r="E1375" s="12" t="s">
        <v>126</v>
      </c>
      <c r="F1375" s="12" t="s">
        <v>39</v>
      </c>
      <c r="G1375" s="12" t="s">
        <v>65</v>
      </c>
      <c r="H1375" s="12">
        <v>17</v>
      </c>
      <c r="I1375" s="13">
        <v>45912.724004629599</v>
      </c>
      <c r="J1375" s="12" t="s">
        <v>127</v>
      </c>
      <c r="K1375" s="12" t="s">
        <v>135</v>
      </c>
      <c r="L1375" s="14"/>
      <c r="M1375" s="14">
        <f t="shared" si="21"/>
        <v>0</v>
      </c>
      <c r="N1375" s="7" t="s">
        <v>1478</v>
      </c>
      <c r="O1375" s="12"/>
      <c r="P1375" s="12" t="s">
        <v>130</v>
      </c>
    </row>
    <row r="1376" spans="1:16" ht="90.75" hidden="1" customHeight="1" x14ac:dyDescent="0.35">
      <c r="A1376" s="12">
        <v>8067</v>
      </c>
      <c r="B1376" s="12" t="s">
        <v>100</v>
      </c>
      <c r="C1376" s="12" t="s">
        <v>111</v>
      </c>
      <c r="D1376" s="12" t="s">
        <v>112</v>
      </c>
      <c r="E1376" s="12" t="s">
        <v>131</v>
      </c>
      <c r="F1376" s="12" t="s">
        <v>39</v>
      </c>
      <c r="G1376" s="12" t="s">
        <v>65</v>
      </c>
      <c r="H1376" s="12">
        <v>17</v>
      </c>
      <c r="I1376" s="13">
        <v>45912.724004629599</v>
      </c>
      <c r="J1376" s="12" t="s">
        <v>127</v>
      </c>
      <c r="K1376" s="12" t="s">
        <v>135</v>
      </c>
      <c r="L1376" s="14"/>
      <c r="M1376" s="14">
        <f t="shared" si="21"/>
        <v>0</v>
      </c>
      <c r="N1376" s="7" t="s">
        <v>1479</v>
      </c>
      <c r="O1376" s="12"/>
      <c r="P1376" s="12" t="s">
        <v>130</v>
      </c>
    </row>
    <row r="1377" spans="1:16" ht="113.25" hidden="1" customHeight="1" x14ac:dyDescent="0.35">
      <c r="A1377" s="12">
        <v>8101</v>
      </c>
      <c r="B1377" s="12" t="s">
        <v>100</v>
      </c>
      <c r="C1377" s="12" t="s">
        <v>111</v>
      </c>
      <c r="D1377" s="12" t="s">
        <v>112</v>
      </c>
      <c r="E1377" s="12" t="s">
        <v>134</v>
      </c>
      <c r="F1377" s="12" t="s">
        <v>39</v>
      </c>
      <c r="G1377" s="12" t="s">
        <v>65</v>
      </c>
      <c r="H1377" s="12">
        <v>17</v>
      </c>
      <c r="I1377" s="13">
        <v>45912.724004629599</v>
      </c>
      <c r="J1377" s="12" t="s">
        <v>127</v>
      </c>
      <c r="K1377" s="12" t="s">
        <v>135</v>
      </c>
      <c r="L1377" s="14"/>
      <c r="M1377" s="14">
        <f t="shared" si="21"/>
        <v>0</v>
      </c>
      <c r="N1377" s="7" t="s">
        <v>1480</v>
      </c>
      <c r="O1377" s="12"/>
      <c r="P1377" s="12" t="s">
        <v>130</v>
      </c>
    </row>
    <row r="1378" spans="1:16" ht="57" hidden="1" customHeight="1" x14ac:dyDescent="0.35">
      <c r="A1378" s="12">
        <v>8102</v>
      </c>
      <c r="B1378" s="12" t="s">
        <v>100</v>
      </c>
      <c r="C1378" s="12" t="s">
        <v>113</v>
      </c>
      <c r="D1378" s="12" t="s">
        <v>114</v>
      </c>
      <c r="E1378" s="12" t="s">
        <v>126</v>
      </c>
      <c r="F1378" s="12" t="s">
        <v>39</v>
      </c>
      <c r="G1378" s="12" t="s">
        <v>65</v>
      </c>
      <c r="H1378" s="12">
        <v>17</v>
      </c>
      <c r="I1378" s="13">
        <v>45912.724004629599</v>
      </c>
      <c r="J1378" s="12" t="s">
        <v>127</v>
      </c>
      <c r="K1378" s="12" t="s">
        <v>135</v>
      </c>
      <c r="L1378" s="14"/>
      <c r="M1378" s="14">
        <f t="shared" si="21"/>
        <v>0</v>
      </c>
      <c r="N1378" s="7" t="s">
        <v>1481</v>
      </c>
      <c r="O1378" s="12"/>
      <c r="P1378" s="12" t="s">
        <v>130</v>
      </c>
    </row>
    <row r="1379" spans="1:16" ht="90.75" hidden="1" customHeight="1" x14ac:dyDescent="0.35">
      <c r="A1379" s="12">
        <v>8121</v>
      </c>
      <c r="B1379" s="12" t="s">
        <v>100</v>
      </c>
      <c r="C1379" s="12" t="s">
        <v>113</v>
      </c>
      <c r="D1379" s="12" t="s">
        <v>114</v>
      </c>
      <c r="E1379" s="12" t="s">
        <v>131</v>
      </c>
      <c r="F1379" s="12" t="s">
        <v>39</v>
      </c>
      <c r="G1379" s="12" t="s">
        <v>65</v>
      </c>
      <c r="H1379" s="12">
        <v>17</v>
      </c>
      <c r="I1379" s="13">
        <v>45912.724004629599</v>
      </c>
      <c r="J1379" s="12" t="s">
        <v>127</v>
      </c>
      <c r="K1379" s="12" t="s">
        <v>135</v>
      </c>
      <c r="L1379" s="14"/>
      <c r="M1379" s="14">
        <f t="shared" si="21"/>
        <v>0</v>
      </c>
      <c r="N1379" s="7" t="s">
        <v>1482</v>
      </c>
      <c r="O1379" s="12"/>
      <c r="P1379" s="12"/>
    </row>
    <row r="1380" spans="1:16" ht="168.75" hidden="1" customHeight="1" x14ac:dyDescent="0.35">
      <c r="A1380" s="12">
        <v>8141</v>
      </c>
      <c r="B1380" s="12" t="s">
        <v>100</v>
      </c>
      <c r="C1380" s="12" t="s">
        <v>113</v>
      </c>
      <c r="D1380" s="12" t="s">
        <v>114</v>
      </c>
      <c r="E1380" s="12" t="s">
        <v>134</v>
      </c>
      <c r="F1380" s="12" t="s">
        <v>39</v>
      </c>
      <c r="G1380" s="12" t="s">
        <v>65</v>
      </c>
      <c r="H1380" s="12">
        <v>17</v>
      </c>
      <c r="I1380" s="13">
        <v>45912.724004629599</v>
      </c>
      <c r="J1380" s="12" t="s">
        <v>127</v>
      </c>
      <c r="K1380" s="12" t="s">
        <v>142</v>
      </c>
      <c r="L1380" s="14">
        <v>0.33300000000000002</v>
      </c>
      <c r="M1380" s="14">
        <f t="shared" si="21"/>
        <v>0.33300000000000002</v>
      </c>
      <c r="N1380" s="7" t="s">
        <v>1483</v>
      </c>
      <c r="O1380" s="12"/>
      <c r="P1380" s="12" t="s">
        <v>130</v>
      </c>
    </row>
    <row r="1381" spans="1:16" ht="124.5" hidden="1" customHeight="1" x14ac:dyDescent="0.35">
      <c r="A1381" s="12">
        <v>4843</v>
      </c>
      <c r="B1381" s="12" t="s">
        <v>100</v>
      </c>
      <c r="C1381" s="12" t="s">
        <v>101</v>
      </c>
      <c r="D1381" s="12" t="s">
        <v>102</v>
      </c>
      <c r="E1381" s="12" t="s">
        <v>126</v>
      </c>
      <c r="F1381" s="12" t="s">
        <v>66</v>
      </c>
      <c r="G1381" s="12" t="s">
        <v>88</v>
      </c>
      <c r="H1381" s="12">
        <v>3205309</v>
      </c>
      <c r="I1381" s="13">
        <v>45912.631342592598</v>
      </c>
      <c r="J1381" s="12" t="s">
        <v>127</v>
      </c>
      <c r="K1381" s="12" t="s">
        <v>135</v>
      </c>
      <c r="L1381" s="14"/>
      <c r="M1381" s="14">
        <f t="shared" si="21"/>
        <v>0</v>
      </c>
      <c r="N1381" s="7" t="s">
        <v>1484</v>
      </c>
      <c r="O1381" s="12"/>
      <c r="P1381" s="12" t="s">
        <v>130</v>
      </c>
    </row>
    <row r="1382" spans="1:16" ht="23.25" hidden="1" customHeight="1" x14ac:dyDescent="0.35">
      <c r="A1382" s="12">
        <v>4818</v>
      </c>
      <c r="B1382" s="12" t="s">
        <v>100</v>
      </c>
      <c r="C1382" s="12" t="s">
        <v>101</v>
      </c>
      <c r="D1382" s="12" t="s">
        <v>102</v>
      </c>
      <c r="E1382" s="12" t="s">
        <v>131</v>
      </c>
      <c r="F1382" s="12" t="s">
        <v>66</v>
      </c>
      <c r="G1382" s="12" t="s">
        <v>88</v>
      </c>
      <c r="H1382" s="12">
        <v>3205309</v>
      </c>
      <c r="I1382" s="13">
        <v>45912.631342592598</v>
      </c>
      <c r="J1382" s="12" t="s">
        <v>127</v>
      </c>
      <c r="K1382" s="12" t="s">
        <v>135</v>
      </c>
      <c r="L1382" s="14"/>
      <c r="M1382" s="14">
        <f t="shared" si="21"/>
        <v>0</v>
      </c>
      <c r="N1382" s="7" t="s">
        <v>1485</v>
      </c>
      <c r="O1382" s="12"/>
      <c r="P1382" s="12" t="s">
        <v>130</v>
      </c>
    </row>
    <row r="1383" spans="1:16" ht="23.25" hidden="1" customHeight="1" x14ac:dyDescent="0.35">
      <c r="A1383" s="12">
        <v>4819</v>
      </c>
      <c r="B1383" s="12" t="s">
        <v>100</v>
      </c>
      <c r="C1383" s="12" t="s">
        <v>101</v>
      </c>
      <c r="D1383" s="12" t="s">
        <v>102</v>
      </c>
      <c r="E1383" s="12" t="s">
        <v>134</v>
      </c>
      <c r="F1383" s="12" t="s">
        <v>66</v>
      </c>
      <c r="G1383" s="12" t="s">
        <v>88</v>
      </c>
      <c r="H1383" s="12">
        <v>3205309</v>
      </c>
      <c r="I1383" s="13">
        <v>45912.631342592598</v>
      </c>
      <c r="J1383" s="12" t="s">
        <v>127</v>
      </c>
      <c r="K1383" s="12" t="s">
        <v>135</v>
      </c>
      <c r="L1383" s="14"/>
      <c r="M1383" s="14">
        <f t="shared" si="21"/>
        <v>0</v>
      </c>
      <c r="N1383" s="7" t="s">
        <v>1486</v>
      </c>
      <c r="O1383" s="12"/>
      <c r="P1383" s="12" t="s">
        <v>130</v>
      </c>
    </row>
    <row r="1384" spans="1:16" ht="68.25" hidden="1" customHeight="1" x14ac:dyDescent="0.35">
      <c r="A1384" s="12">
        <v>4882</v>
      </c>
      <c r="B1384" s="12" t="s">
        <v>100</v>
      </c>
      <c r="C1384" s="12" t="s">
        <v>103</v>
      </c>
      <c r="D1384" s="12" t="s">
        <v>104</v>
      </c>
      <c r="E1384" s="12" t="s">
        <v>126</v>
      </c>
      <c r="F1384" s="12" t="s">
        <v>66</v>
      </c>
      <c r="G1384" s="12" t="s">
        <v>88</v>
      </c>
      <c r="H1384" s="12">
        <v>3205309</v>
      </c>
      <c r="I1384" s="13">
        <v>45912.631342592598</v>
      </c>
      <c r="J1384" s="12" t="s">
        <v>127</v>
      </c>
      <c r="K1384" s="12" t="s">
        <v>142</v>
      </c>
      <c r="L1384" s="14">
        <v>0.33300000000000002</v>
      </c>
      <c r="M1384" s="14">
        <f t="shared" si="21"/>
        <v>0.33300000000000002</v>
      </c>
      <c r="N1384" s="7" t="s">
        <v>1487</v>
      </c>
      <c r="O1384" s="12"/>
      <c r="P1384" s="12" t="s">
        <v>130</v>
      </c>
    </row>
    <row r="1385" spans="1:16" ht="45.75" hidden="1" customHeight="1" x14ac:dyDescent="0.35">
      <c r="A1385" s="12">
        <v>4864</v>
      </c>
      <c r="B1385" s="12" t="s">
        <v>100</v>
      </c>
      <c r="C1385" s="12" t="s">
        <v>103</v>
      </c>
      <c r="D1385" s="12" t="s">
        <v>104</v>
      </c>
      <c r="E1385" s="12" t="s">
        <v>131</v>
      </c>
      <c r="F1385" s="12" t="s">
        <v>66</v>
      </c>
      <c r="G1385" s="12" t="s">
        <v>88</v>
      </c>
      <c r="H1385" s="12">
        <v>3205309</v>
      </c>
      <c r="I1385" s="13">
        <v>45912.631342592598</v>
      </c>
      <c r="J1385" s="12" t="s">
        <v>127</v>
      </c>
      <c r="K1385" s="12" t="s">
        <v>135</v>
      </c>
      <c r="L1385" s="14"/>
      <c r="M1385" s="14">
        <f t="shared" si="21"/>
        <v>0</v>
      </c>
      <c r="N1385" s="7" t="s">
        <v>1488</v>
      </c>
      <c r="O1385" s="12"/>
      <c r="P1385" s="12" t="s">
        <v>130</v>
      </c>
    </row>
    <row r="1386" spans="1:16" ht="34.5" hidden="1" customHeight="1" x14ac:dyDescent="0.35">
      <c r="A1386" s="12">
        <v>4947</v>
      </c>
      <c r="B1386" s="12" t="s">
        <v>100</v>
      </c>
      <c r="C1386" s="12" t="s">
        <v>103</v>
      </c>
      <c r="D1386" s="12" t="s">
        <v>104</v>
      </c>
      <c r="E1386" s="12" t="s">
        <v>134</v>
      </c>
      <c r="F1386" s="12" t="s">
        <v>66</v>
      </c>
      <c r="G1386" s="12" t="s">
        <v>88</v>
      </c>
      <c r="H1386" s="12">
        <v>3205309</v>
      </c>
      <c r="I1386" s="13">
        <v>45912.631342592598</v>
      </c>
      <c r="J1386" s="12" t="s">
        <v>127</v>
      </c>
      <c r="K1386" s="12" t="s">
        <v>135</v>
      </c>
      <c r="L1386" s="14"/>
      <c r="M1386" s="14">
        <f t="shared" si="21"/>
        <v>0</v>
      </c>
      <c r="N1386" s="7" t="s">
        <v>1489</v>
      </c>
      <c r="O1386" s="12"/>
      <c r="P1386" s="12" t="s">
        <v>130</v>
      </c>
    </row>
    <row r="1387" spans="1:16" ht="45.75" hidden="1" customHeight="1" x14ac:dyDescent="0.35">
      <c r="A1387" s="12">
        <v>4948</v>
      </c>
      <c r="B1387" s="12" t="s">
        <v>100</v>
      </c>
      <c r="C1387" s="12" t="s">
        <v>105</v>
      </c>
      <c r="D1387" s="12" t="s">
        <v>106</v>
      </c>
      <c r="E1387" s="12" t="s">
        <v>126</v>
      </c>
      <c r="F1387" s="12" t="s">
        <v>66</v>
      </c>
      <c r="G1387" s="12" t="s">
        <v>88</v>
      </c>
      <c r="H1387" s="12">
        <v>3205309</v>
      </c>
      <c r="I1387" s="13">
        <v>45912.631342592598</v>
      </c>
      <c r="J1387" s="12" t="s">
        <v>127</v>
      </c>
      <c r="K1387" s="12" t="s">
        <v>135</v>
      </c>
      <c r="L1387" s="14"/>
      <c r="M1387" s="14">
        <f t="shared" si="21"/>
        <v>0</v>
      </c>
      <c r="N1387" s="7" t="s">
        <v>1490</v>
      </c>
      <c r="O1387" s="12"/>
      <c r="P1387" s="12" t="s">
        <v>130</v>
      </c>
    </row>
    <row r="1388" spans="1:16" ht="23.25" hidden="1" customHeight="1" x14ac:dyDescent="0.35">
      <c r="A1388" s="12">
        <v>4949</v>
      </c>
      <c r="B1388" s="12" t="s">
        <v>100</v>
      </c>
      <c r="C1388" s="12" t="s">
        <v>105</v>
      </c>
      <c r="D1388" s="12" t="s">
        <v>106</v>
      </c>
      <c r="E1388" s="12" t="s">
        <v>131</v>
      </c>
      <c r="F1388" s="12" t="s">
        <v>66</v>
      </c>
      <c r="G1388" s="12" t="s">
        <v>88</v>
      </c>
      <c r="H1388" s="12">
        <v>3205309</v>
      </c>
      <c r="I1388" s="13">
        <v>45912.631342592598</v>
      </c>
      <c r="J1388" s="12" t="s">
        <v>127</v>
      </c>
      <c r="K1388" s="12" t="s">
        <v>135</v>
      </c>
      <c r="L1388" s="14"/>
      <c r="M1388" s="14">
        <f t="shared" si="21"/>
        <v>0</v>
      </c>
      <c r="N1388" s="7" t="s">
        <v>1491</v>
      </c>
      <c r="O1388" s="12"/>
      <c r="P1388" s="12" t="s">
        <v>130</v>
      </c>
    </row>
    <row r="1389" spans="1:16" ht="113.25" hidden="1" customHeight="1" x14ac:dyDescent="0.35">
      <c r="A1389" s="12">
        <v>4963</v>
      </c>
      <c r="B1389" s="12" t="s">
        <v>100</v>
      </c>
      <c r="C1389" s="12" t="s">
        <v>107</v>
      </c>
      <c r="D1389" s="12" t="s">
        <v>108</v>
      </c>
      <c r="E1389" s="12" t="s">
        <v>126</v>
      </c>
      <c r="F1389" s="12" t="s">
        <v>66</v>
      </c>
      <c r="G1389" s="12" t="s">
        <v>88</v>
      </c>
      <c r="H1389" s="12">
        <v>3205309</v>
      </c>
      <c r="I1389" s="13">
        <v>45912.631342592598</v>
      </c>
      <c r="J1389" s="12" t="s">
        <v>127</v>
      </c>
      <c r="K1389" s="12" t="s">
        <v>132</v>
      </c>
      <c r="L1389" s="14">
        <v>0.66600000000000004</v>
      </c>
      <c r="M1389" s="14">
        <f t="shared" si="21"/>
        <v>0.66600000000000004</v>
      </c>
      <c r="N1389" s="7" t="s">
        <v>1492</v>
      </c>
      <c r="O1389" s="12"/>
      <c r="P1389" s="12" t="s">
        <v>130</v>
      </c>
    </row>
    <row r="1390" spans="1:16" ht="23.25" hidden="1" customHeight="1" x14ac:dyDescent="0.35">
      <c r="A1390" s="12">
        <v>4952</v>
      </c>
      <c r="B1390" s="12" t="s">
        <v>100</v>
      </c>
      <c r="C1390" s="12" t="s">
        <v>107</v>
      </c>
      <c r="D1390" s="12" t="s">
        <v>108</v>
      </c>
      <c r="E1390" s="12" t="s">
        <v>131</v>
      </c>
      <c r="F1390" s="12" t="s">
        <v>66</v>
      </c>
      <c r="G1390" s="12" t="s">
        <v>88</v>
      </c>
      <c r="H1390" s="12">
        <v>3205309</v>
      </c>
      <c r="I1390" s="13">
        <v>45912.631342592598</v>
      </c>
      <c r="J1390" s="12" t="s">
        <v>127</v>
      </c>
      <c r="K1390" s="12" t="s">
        <v>135</v>
      </c>
      <c r="L1390" s="14"/>
      <c r="M1390" s="14">
        <f t="shared" si="21"/>
        <v>0</v>
      </c>
      <c r="N1390" s="7" t="s">
        <v>1493</v>
      </c>
      <c r="O1390" s="12"/>
      <c r="P1390" s="12" t="s">
        <v>130</v>
      </c>
    </row>
    <row r="1391" spans="1:16" ht="23.25" hidden="1" customHeight="1" x14ac:dyDescent="0.35">
      <c r="A1391" s="12">
        <v>4965</v>
      </c>
      <c r="B1391" s="12" t="s">
        <v>100</v>
      </c>
      <c r="C1391" s="12" t="s">
        <v>107</v>
      </c>
      <c r="D1391" s="12" t="s">
        <v>108</v>
      </c>
      <c r="E1391" s="12" t="s">
        <v>134</v>
      </c>
      <c r="F1391" s="12" t="s">
        <v>66</v>
      </c>
      <c r="G1391" s="12" t="s">
        <v>88</v>
      </c>
      <c r="H1391" s="12">
        <v>3205309</v>
      </c>
      <c r="I1391" s="13">
        <v>45912.631342592598</v>
      </c>
      <c r="J1391" s="12" t="s">
        <v>127</v>
      </c>
      <c r="K1391" s="12" t="s">
        <v>135</v>
      </c>
      <c r="L1391" s="14"/>
      <c r="M1391" s="14">
        <f t="shared" si="21"/>
        <v>0</v>
      </c>
      <c r="N1391" s="7" t="s">
        <v>1494</v>
      </c>
      <c r="O1391" s="12"/>
      <c r="P1391" s="12" t="s">
        <v>130</v>
      </c>
    </row>
    <row r="1392" spans="1:16" ht="168.75" hidden="1" customHeight="1" x14ac:dyDescent="0.35">
      <c r="A1392" s="12">
        <v>4966</v>
      </c>
      <c r="B1392" s="12" t="s">
        <v>100</v>
      </c>
      <c r="C1392" s="12" t="s">
        <v>109</v>
      </c>
      <c r="D1392" s="12" t="s">
        <v>110</v>
      </c>
      <c r="E1392" s="12" t="s">
        <v>126</v>
      </c>
      <c r="F1392" s="12" t="s">
        <v>66</v>
      </c>
      <c r="G1392" s="12" t="s">
        <v>88</v>
      </c>
      <c r="H1392" s="12">
        <v>3205309</v>
      </c>
      <c r="I1392" s="13">
        <v>45912.631342592598</v>
      </c>
      <c r="J1392" s="12" t="s">
        <v>127</v>
      </c>
      <c r="K1392" s="12" t="s">
        <v>142</v>
      </c>
      <c r="L1392" s="14">
        <v>0.33300000000000002</v>
      </c>
      <c r="M1392" s="14">
        <f t="shared" si="21"/>
        <v>0.33300000000000002</v>
      </c>
      <c r="N1392" s="7" t="s">
        <v>1495</v>
      </c>
      <c r="O1392" s="12"/>
      <c r="P1392" s="12" t="s">
        <v>130</v>
      </c>
    </row>
    <row r="1393" spans="1:16" ht="225" hidden="1" customHeight="1" x14ac:dyDescent="0.35">
      <c r="A1393" s="12">
        <v>4955</v>
      </c>
      <c r="B1393" s="12" t="s">
        <v>100</v>
      </c>
      <c r="C1393" s="12" t="s">
        <v>109</v>
      </c>
      <c r="D1393" s="12" t="s">
        <v>110</v>
      </c>
      <c r="E1393" s="12" t="s">
        <v>131</v>
      </c>
      <c r="F1393" s="12" t="s">
        <v>66</v>
      </c>
      <c r="G1393" s="12" t="s">
        <v>88</v>
      </c>
      <c r="H1393" s="12">
        <v>3205309</v>
      </c>
      <c r="I1393" s="13">
        <v>45912.631342592598</v>
      </c>
      <c r="J1393" s="12" t="s">
        <v>127</v>
      </c>
      <c r="K1393" s="12" t="s">
        <v>132</v>
      </c>
      <c r="L1393" s="14">
        <v>0.66600000000000004</v>
      </c>
      <c r="M1393" s="14">
        <f t="shared" si="21"/>
        <v>0.66600000000000004</v>
      </c>
      <c r="N1393" s="7" t="s">
        <v>1496</v>
      </c>
      <c r="O1393" s="12"/>
      <c r="P1393" s="12" t="s">
        <v>130</v>
      </c>
    </row>
    <row r="1394" spans="1:16" ht="113.25" hidden="1" customHeight="1" x14ac:dyDescent="0.35">
      <c r="A1394" s="12">
        <v>4958</v>
      </c>
      <c r="B1394" s="12" t="s">
        <v>100</v>
      </c>
      <c r="C1394" s="12" t="s">
        <v>111</v>
      </c>
      <c r="D1394" s="12" t="s">
        <v>112</v>
      </c>
      <c r="E1394" s="12" t="s">
        <v>126</v>
      </c>
      <c r="F1394" s="12" t="s">
        <v>66</v>
      </c>
      <c r="G1394" s="12" t="s">
        <v>88</v>
      </c>
      <c r="H1394" s="12">
        <v>3205309</v>
      </c>
      <c r="I1394" s="13">
        <v>45912.631342592598</v>
      </c>
      <c r="J1394" s="12" t="s">
        <v>127</v>
      </c>
      <c r="K1394" s="12" t="s">
        <v>135</v>
      </c>
      <c r="L1394" s="14"/>
      <c r="M1394" s="14">
        <f t="shared" si="21"/>
        <v>0</v>
      </c>
      <c r="N1394" s="7" t="s">
        <v>1497</v>
      </c>
      <c r="O1394" s="12"/>
      <c r="P1394" s="12" t="s">
        <v>130</v>
      </c>
    </row>
    <row r="1395" spans="1:16" ht="90.75" hidden="1" customHeight="1" x14ac:dyDescent="0.35">
      <c r="A1395" s="12">
        <v>4973</v>
      </c>
      <c r="B1395" s="12" t="s">
        <v>100</v>
      </c>
      <c r="C1395" s="12" t="s">
        <v>111</v>
      </c>
      <c r="D1395" s="12" t="s">
        <v>112</v>
      </c>
      <c r="E1395" s="12" t="s">
        <v>131</v>
      </c>
      <c r="F1395" s="12" t="s">
        <v>66</v>
      </c>
      <c r="G1395" s="12" t="s">
        <v>88</v>
      </c>
      <c r="H1395" s="12">
        <v>3205309</v>
      </c>
      <c r="I1395" s="13">
        <v>45912.631342592598</v>
      </c>
      <c r="J1395" s="12" t="s">
        <v>127</v>
      </c>
      <c r="K1395" s="12" t="s">
        <v>135</v>
      </c>
      <c r="L1395" s="14"/>
      <c r="M1395" s="14">
        <f t="shared" si="21"/>
        <v>0</v>
      </c>
      <c r="N1395" s="7" t="s">
        <v>1498</v>
      </c>
      <c r="O1395" s="12"/>
      <c r="P1395" s="12" t="s">
        <v>130</v>
      </c>
    </row>
    <row r="1396" spans="1:16" ht="34.5" hidden="1" customHeight="1" x14ac:dyDescent="0.35">
      <c r="A1396" s="12">
        <v>4975</v>
      </c>
      <c r="B1396" s="12" t="s">
        <v>100</v>
      </c>
      <c r="C1396" s="12" t="s">
        <v>111</v>
      </c>
      <c r="D1396" s="12" t="s">
        <v>112</v>
      </c>
      <c r="E1396" s="12" t="s">
        <v>134</v>
      </c>
      <c r="F1396" s="12" t="s">
        <v>66</v>
      </c>
      <c r="G1396" s="12" t="s">
        <v>88</v>
      </c>
      <c r="H1396" s="12">
        <v>3205309</v>
      </c>
      <c r="I1396" s="13">
        <v>45912.631342592598</v>
      </c>
      <c r="J1396" s="12" t="s">
        <v>127</v>
      </c>
      <c r="K1396" s="12" t="s">
        <v>545</v>
      </c>
      <c r="L1396" s="14"/>
      <c r="M1396" s="14" t="str">
        <f t="shared" si="21"/>
        <v/>
      </c>
      <c r="N1396" s="7" t="s">
        <v>1499</v>
      </c>
      <c r="O1396" s="12"/>
      <c r="P1396" s="12" t="s">
        <v>130</v>
      </c>
    </row>
    <row r="1397" spans="1:16" ht="113.25" hidden="1" customHeight="1" x14ac:dyDescent="0.35">
      <c r="A1397" s="12">
        <v>4976</v>
      </c>
      <c r="B1397" s="12" t="s">
        <v>100</v>
      </c>
      <c r="C1397" s="12" t="s">
        <v>113</v>
      </c>
      <c r="D1397" s="12" t="s">
        <v>114</v>
      </c>
      <c r="E1397" s="12" t="s">
        <v>126</v>
      </c>
      <c r="F1397" s="12" t="s">
        <v>66</v>
      </c>
      <c r="G1397" s="12" t="s">
        <v>88</v>
      </c>
      <c r="H1397" s="12">
        <v>3205309</v>
      </c>
      <c r="I1397" s="13">
        <v>45912.631342592598</v>
      </c>
      <c r="J1397" s="12" t="s">
        <v>127</v>
      </c>
      <c r="K1397" s="12" t="s">
        <v>135</v>
      </c>
      <c r="L1397" s="14"/>
      <c r="M1397" s="14">
        <f t="shared" si="21"/>
        <v>0</v>
      </c>
      <c r="N1397" s="7" t="s">
        <v>1500</v>
      </c>
      <c r="O1397" s="12"/>
      <c r="P1397" s="12" t="s">
        <v>130</v>
      </c>
    </row>
    <row r="1398" spans="1:16" ht="23.25" hidden="1" customHeight="1" x14ac:dyDescent="0.35">
      <c r="A1398" s="12">
        <v>4542</v>
      </c>
      <c r="B1398" s="12" t="s">
        <v>100</v>
      </c>
      <c r="C1398" s="12" t="s">
        <v>113</v>
      </c>
      <c r="D1398" s="12" t="s">
        <v>114</v>
      </c>
      <c r="E1398" s="12" t="s">
        <v>131</v>
      </c>
      <c r="F1398" s="12" t="s">
        <v>66</v>
      </c>
      <c r="G1398" s="12" t="s">
        <v>88</v>
      </c>
      <c r="H1398" s="12">
        <v>3205309</v>
      </c>
      <c r="I1398" s="13">
        <v>45912.631342592598</v>
      </c>
      <c r="J1398" s="12" t="s">
        <v>127</v>
      </c>
      <c r="K1398" s="12" t="s">
        <v>135</v>
      </c>
      <c r="L1398" s="14"/>
      <c r="M1398" s="14">
        <f t="shared" si="21"/>
        <v>0</v>
      </c>
      <c r="N1398" s="7" t="s">
        <v>1501</v>
      </c>
      <c r="O1398" s="12"/>
      <c r="P1398" s="12" t="s">
        <v>130</v>
      </c>
    </row>
    <row r="1399" spans="1:16" ht="409.6" hidden="1" customHeight="1" x14ac:dyDescent="0.35">
      <c r="A1399" s="12">
        <v>4543</v>
      </c>
      <c r="B1399" s="12" t="s">
        <v>100</v>
      </c>
      <c r="C1399" s="12" t="s">
        <v>113</v>
      </c>
      <c r="D1399" s="12" t="s">
        <v>114</v>
      </c>
      <c r="E1399" s="12" t="s">
        <v>134</v>
      </c>
      <c r="F1399" s="12" t="s">
        <v>66</v>
      </c>
      <c r="G1399" s="12" t="s">
        <v>88</v>
      </c>
      <c r="H1399" s="12">
        <v>3205309</v>
      </c>
      <c r="I1399" s="13">
        <v>45912.631342592598</v>
      </c>
      <c r="J1399" s="12" t="s">
        <v>127</v>
      </c>
      <c r="K1399" s="12" t="s">
        <v>688</v>
      </c>
      <c r="L1399" s="14"/>
      <c r="M1399" s="14" t="str">
        <f t="shared" si="21"/>
        <v/>
      </c>
      <c r="N1399" s="7" t="s">
        <v>1502</v>
      </c>
      <c r="O1399" s="12"/>
      <c r="P1399" s="12" t="s">
        <v>130</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Planilhas</vt:lpstr>
      </vt:variant>
      <vt:variant>
        <vt:i4>4</vt:i4>
      </vt:variant>
    </vt:vector>
  </HeadingPairs>
  <TitlesOfParts>
    <vt:vector size="4" baseType="lpstr">
      <vt:lpstr>Leia-me</vt:lpstr>
      <vt:lpstr>Resumo por Ente</vt:lpstr>
      <vt:lpstr>Resumo por Pilar</vt:lpstr>
      <vt:lpstr>Dados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Luis Henrique Martins Lima</cp:lastModifiedBy>
  <cp:revision>0</cp:revision>
  <dcterms:created xsi:type="dcterms:W3CDTF">2026-08-19T19:20:25Z</dcterms:created>
  <dcterms:modified xsi:type="dcterms:W3CDTF">2026-08-20T17:11:25Z</dcterms:modified>
  <dc:language>en-US</dc:language>
</cp:coreProperties>
</file>